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5"/>
    <sheet state="visible" name="Master Leads" sheetId="2" r:id="rId6"/>
    <sheet state="visible" name="Dashboard" sheetId="3" r:id="rId7"/>
    <sheet state="visible" name="Contact Log" sheetId="4" r:id="rId8"/>
    <sheet state="visible" name="Follow Ups" sheetId="5" r:id="rId9"/>
    <sheet state="visible" name="Healthcare - Pharma" sheetId="6" r:id="rId10"/>
    <sheet state="visible" name="Healthcare - Doctors" sheetId="7" r:id="rId11"/>
    <sheet state="visible" name="Healthcare - Other" sheetId="8" r:id="rId12"/>
    <sheet state="visible" name="Manufacturing" sheetId="9" r:id="rId13"/>
    <sheet state="visible" name="NGO &amp; Foundation" sheetId="10" r:id="rId14"/>
    <sheet state="visible" name="Other Services" sheetId="11" r:id="rId15"/>
    <sheet state="visible" name="Sanrakshya" sheetId="12" r:id="rId16"/>
    <sheet state="visible" name="Event OS" sheetId="13" r:id="rId17"/>
    <sheet state="visible" name="Pet Link OS" sheetId="14" r:id="rId18"/>
    <sheet state="visible" name="Optical" sheetId="15" r:id="rId19"/>
    <sheet state="visible" name="Other Products" sheetId="16" r:id="rId20"/>
    <sheet state="visible" name="Monthly Analytics" sheetId="17" r:id="rId21"/>
    <sheet state="visible" name="Dept Analytics" sheetId="18" r:id="rId22"/>
    <sheet state="visible" name="Source Analytics" sheetId="19" r:id="rId23"/>
    <sheet state="visible" name="Lists &amp; Settings" sheetId="20" r:id="rId24"/>
  </sheets>
  <definedNames/>
  <calcPr/>
</workbook>
</file>

<file path=xl/sharedStrings.xml><?xml version="1.0" encoding="utf-8"?>
<sst xmlns="http://schemas.openxmlformats.org/spreadsheetml/2006/main" count="2318" uniqueCount="653">
  <si>
    <t>TechSentinals CRM — Start Here</t>
  </si>
  <si>
    <t>A simple daily workflow for services and products. Enter data only in the two yellow input sheets; the other tabs update automatically.</t>
  </si>
  <si>
    <t>Daily workflow</t>
  </si>
  <si>
    <t>1</t>
  </si>
  <si>
    <t>Add every new opportunity in Master Leads.</t>
  </si>
  <si>
    <t>2</t>
  </si>
  <si>
    <t>Use Contact Log when you want a dated history of calls, WhatsApp, email, meetings, demos, proposals, or visits.</t>
  </si>
  <si>
    <t>3</t>
  </si>
  <si>
    <t>Update Last Contact, Next Follow-Up, Next Action, Follow-Up Round, Priority, and Sales Stage after each interaction.</t>
  </si>
  <si>
    <t>4</t>
  </si>
  <si>
    <t>Set Market to India or Foreign. Enter Deal Value as an INR equivalent so pipeline totals remain comparable.</t>
  </si>
  <si>
    <t>5</t>
  </si>
  <si>
    <t>When won, set Sales Stage to Converted and enter Conversion/Close Date. For non-wins, use Closed or Lost and record the reason.</t>
  </si>
  <si>
    <t>6</t>
  </si>
  <si>
    <t>Use Follow Ups every day for due and overdue work. Use department/product tabs as read-only views.</t>
  </si>
  <si>
    <t>7</t>
  </si>
  <si>
    <t>Dashboard and analytics tabs are formula-driven. Avoid typing in gray formula areas.</t>
  </si>
  <si>
    <t>8</t>
  </si>
  <si>
    <t>Replace Owner 1 / Owner 2 / Owner 3 with team names in the dropdown settings when ready.</t>
  </si>
  <si>
    <t>Definitions that keep the analytics clean</t>
  </si>
  <si>
    <t>Field</t>
  </si>
  <si>
    <t>Use it for</t>
  </si>
  <si>
    <t>Examples</t>
  </si>
  <si>
    <t>Priority</t>
  </si>
  <si>
    <t>How urgently the lead deserves attention</t>
  </si>
  <si>
    <t>Hot / Medium / Cold</t>
  </si>
  <si>
    <t>Follow-Up Round</t>
  </si>
  <si>
    <t>Where the contact sequence currently stands</t>
  </si>
  <si>
    <t>1st / 2nd / 3rd Follow-Up</t>
  </si>
  <si>
    <t>Sales Stage</t>
  </si>
  <si>
    <t>Where the commercial opportunity stands</t>
  </si>
  <si>
    <t>Qualified / Proposal Sent / Negotiation</t>
  </si>
  <si>
    <t>Converted</t>
  </si>
  <si>
    <t>Won and became a customer</t>
  </si>
  <si>
    <t>Enter the conversion date</t>
  </si>
  <si>
    <t>Closed / Lost</t>
  </si>
  <si>
    <t>No active opportunity; not a conversion</t>
  </si>
  <si>
    <t>Contact Log — Optional Detailed History</t>
  </si>
  <si>
    <t>Add the reason for learning</t>
  </si>
  <si>
    <t>Use one row for each call, WhatsApp, email, meeting, demo, proposal, visit, or other contact. Company and owner are filled from the Lead ID.</t>
  </si>
  <si>
    <t>Activity ID</t>
  </si>
  <si>
    <t>Master Leads — Main Data Entry</t>
  </si>
  <si>
    <t>Contact Date</t>
  </si>
  <si>
    <t>One row per lead. Yellow/white cells are for entry; gray columns are calculated automatically. Keep all leads here so every view and dashboard stays synchronized.</t>
  </si>
  <si>
    <t>Lead ID</t>
  </si>
  <si>
    <t>Company / Person</t>
  </si>
  <si>
    <t>Required for useful reporting: Lead ID, Date Added, Company/Person, Market, Business Side, Department/Product, Lead Source, Priority, Sales Stage, and Assigned To.</t>
  </si>
  <si>
    <t>Contact Type</t>
  </si>
  <si>
    <t>Outcome</t>
  </si>
  <si>
    <t>Next Follow-Up Date</t>
  </si>
  <si>
    <t>Assigned To</t>
  </si>
  <si>
    <t>Date Added</t>
  </si>
  <si>
    <t>Notes</t>
  </si>
  <si>
    <t>Contact Person</t>
  </si>
  <si>
    <t>Phone / WhatsApp</t>
  </si>
  <si>
    <t>Email</t>
  </si>
  <si>
    <t>City</t>
  </si>
  <si>
    <t>Country</t>
  </si>
  <si>
    <t>Market</t>
  </si>
  <si>
    <t>Business Side</t>
  </si>
  <si>
    <t>Department / Product</t>
  </si>
  <si>
    <t>Category</t>
  </si>
  <si>
    <t>Requirement / Interested In</t>
  </si>
  <si>
    <t>Lead Source</t>
  </si>
  <si>
    <t>Call</t>
  </si>
  <si>
    <t>Last Contact Date</t>
  </si>
  <si>
    <t>Initial</t>
  </si>
  <si>
    <t>Follow-Up Status</t>
  </si>
  <si>
    <t>Next Action</t>
  </si>
  <si>
    <t>Meeting / Demo Date</t>
  </si>
  <si>
    <t>Proposal Date</t>
  </si>
  <si>
    <t>Deal Value (INR)</t>
  </si>
  <si>
    <t>Probability</t>
  </si>
  <si>
    <t>Weighted Pipeline</t>
  </si>
  <si>
    <t>Conversion / Close Date</t>
  </si>
  <si>
    <t>Lost / Closed Reason</t>
  </si>
  <si>
    <t>Lead Month</t>
  </si>
  <si>
    <t>Conversion Month</t>
  </si>
  <si>
    <t>Open?</t>
  </si>
  <si>
    <t>Converted?</t>
  </si>
  <si>
    <t>Follow-Up Due?</t>
  </si>
  <si>
    <t>TechSentinals CRM Dashboard</t>
  </si>
  <si>
    <t>Inventa</t>
  </si>
  <si>
    <t>Overall funnel, India vs Foreign performance, pipeline value, conversions, and daily follow-up health.</t>
  </si>
  <si>
    <t>Darshit</t>
  </si>
  <si>
    <t>Total Leads</t>
  </si>
  <si>
    <t>7285043792</t>
  </si>
  <si>
    <t>inventasys@gmail.com</t>
  </si>
  <si>
    <t>Ahmedabad</t>
  </si>
  <si>
    <t>India</t>
  </si>
  <si>
    <t>Service</t>
  </si>
  <si>
    <t>Healthcare</t>
  </si>
  <si>
    <t>Pharma</t>
  </si>
  <si>
    <t>Open Leads</t>
  </si>
  <si>
    <t>Event/Expo</t>
  </si>
  <si>
    <t>Aastha</t>
  </si>
  <si>
    <t>Medium</t>
  </si>
  <si>
    <t>Follow-Up Complete</t>
  </si>
  <si>
    <t>Conversion Rate</t>
  </si>
  <si>
    <t>Open Pipeline</t>
  </si>
  <si>
    <t>Due Today</t>
  </si>
  <si>
    <t>Overdue</t>
  </si>
  <si>
    <t>India Leads</t>
  </si>
  <si>
    <t>Foreign Leads</t>
  </si>
  <si>
    <t>India Converted</t>
  </si>
  <si>
    <t>Follow-Ups — Daily Action Queue</t>
  </si>
  <si>
    <t>Open this tab each day. The table lists every open lead with a scheduled follow-up, sorted by Next Follow-Up Date.</t>
  </si>
  <si>
    <t>Foreign Converted</t>
  </si>
  <si>
    <t>Priority colors: Hot = urgent, Medium = active, Cold = nurture. Follow-up colors: red = overdue, amber = due today, green = upcoming.</t>
  </si>
  <si>
    <t>Next 7 Days</t>
  </si>
  <si>
    <t>No Date</t>
  </si>
  <si>
    <t>Rototech</t>
  </si>
  <si>
    <t>Jignesh Patel</t>
  </si>
  <si>
    <t>9998447948</t>
  </si>
  <si>
    <t>patel.jignesh1985@gmail.com</t>
  </si>
  <si>
    <t>Manufacturing</t>
  </si>
  <si>
    <t>Existing Client</t>
  </si>
  <si>
    <t>Hot</t>
  </si>
  <si>
    <t>Meteoric Pharma</t>
  </si>
  <si>
    <t>Mithun Acharya</t>
  </si>
  <si>
    <t>9227996623</t>
  </si>
  <si>
    <t>mithun.it@meteoricbiopharma.com</t>
  </si>
  <si>
    <t>Cold Outreach</t>
  </si>
  <si>
    <t>Proposal Sent</t>
  </si>
  <si>
    <t>Initial Contact</t>
  </si>
  <si>
    <t>Vishalwin</t>
  </si>
  <si>
    <t>Mayuri</t>
  </si>
  <si>
    <t>9510779939</t>
  </si>
  <si>
    <t>puunam@vishalwinfoundation.org/ puunam@vishalwinfoundation.org</t>
  </si>
  <si>
    <t>NGO &amp; Foundation</t>
  </si>
  <si>
    <t>NGO</t>
  </si>
  <si>
    <t>Healthcare / Pharma Leads</t>
  </si>
  <si>
    <t>Acme Industries</t>
  </si>
  <si>
    <t>Read-only view from Master Leads. Add and update records in Master Leads so all reporting stays synchronized.</t>
  </si>
  <si>
    <t>Ketan Shah</t>
  </si>
  <si>
    <t>9825060677</t>
  </si>
  <si>
    <t>Cold</t>
  </si>
  <si>
    <t>Lost</t>
  </si>
  <si>
    <t>Strikar</t>
  </si>
  <si>
    <t>Mitali</t>
  </si>
  <si>
    <t>9773433064</t>
  </si>
  <si>
    <t>Other Healthcare</t>
  </si>
  <si>
    <t>Divyang Opticals</t>
  </si>
  <si>
    <t>Divyang</t>
  </si>
  <si>
    <t>9825403704</t>
  </si>
  <si>
    <t>Optical</t>
  </si>
  <si>
    <t>Optical/Eyewear</t>
  </si>
  <si>
    <t>Negotiation</t>
  </si>
  <si>
    <t>3rd Follow-Up</t>
  </si>
  <si>
    <t>Karma Foundation</t>
  </si>
  <si>
    <t>Sagar</t>
  </si>
  <si>
    <t>9898760976</t>
  </si>
  <si>
    <t>Foundation</t>
  </si>
  <si>
    <t>Other</t>
  </si>
  <si>
    <t>Healthcare / Doctors Leads</t>
  </si>
  <si>
    <t>Udgam</t>
  </si>
  <si>
    <t>Mayur Joshi</t>
  </si>
  <si>
    <t>9427380788</t>
  </si>
  <si>
    <t>Priyanshi/Home Inventory</t>
  </si>
  <si>
    <t>Chirag Kayastha House Manager</t>
  </si>
  <si>
    <t>9727708384</t>
  </si>
  <si>
    <t>Other Services</t>
  </si>
  <si>
    <t>General Services</t>
  </si>
  <si>
    <t>Referral</t>
  </si>
  <si>
    <t>Demo/Meeting</t>
  </si>
  <si>
    <t xml:space="preserve">Anison Pharmatech </t>
  </si>
  <si>
    <t>Anis husain</t>
  </si>
  <si>
    <t>9499646116</t>
  </si>
  <si>
    <t>Qualified</t>
  </si>
  <si>
    <t>Bipin (Brother Spice Import Export)</t>
  </si>
  <si>
    <t>Bipin</t>
  </si>
  <si>
    <t>8320404750</t>
  </si>
  <si>
    <t>Healthcare / Other Healthcare Leads</t>
  </si>
  <si>
    <t>Contacted</t>
  </si>
  <si>
    <t>Abad Healthcare</t>
  </si>
  <si>
    <t>Heeram Ladhwala</t>
  </si>
  <si>
    <t>9106868413</t>
  </si>
  <si>
    <t>2nd Follow-Up</t>
  </si>
  <si>
    <t>Divine Secret Pharma</t>
  </si>
  <si>
    <t xml:space="preserve">Mayur Solanki </t>
  </si>
  <si>
    <t>9054070890</t>
  </si>
  <si>
    <t>New</t>
  </si>
  <si>
    <t>Not Started</t>
  </si>
  <si>
    <t>Manufacturing Leads</t>
  </si>
  <si>
    <t>Jigneshkumar</t>
  </si>
  <si>
    <t>9428081191</t>
  </si>
  <si>
    <t>Bhagat Pharmatech</t>
  </si>
  <si>
    <t>Manoj VNSGU</t>
  </si>
  <si>
    <t>9723526717 / 9023424674</t>
  </si>
  <si>
    <t>Neo India Lifeline</t>
  </si>
  <si>
    <t>Khevna Maniar</t>
  </si>
  <si>
    <t>9898107362</t>
  </si>
  <si>
    <t>Chapter 1</t>
  </si>
  <si>
    <t>Ankit Mandal</t>
  </si>
  <si>
    <t>8530465246</t>
  </si>
  <si>
    <t>hello@chapter1.finance</t>
  </si>
  <si>
    <t>Surat</t>
  </si>
  <si>
    <t>Raj Polymer</t>
  </si>
  <si>
    <t>Vipin Tiwari</t>
  </si>
  <si>
    <t>9945185088 / 8970350803</t>
  </si>
  <si>
    <t>vipin@rajploymer.com rajpolymer00@gmail.com</t>
  </si>
  <si>
    <t>Chikka Gollarahatti Bengaluru, Karnataka</t>
  </si>
  <si>
    <t>Novatoz Scientific LLP</t>
  </si>
  <si>
    <t>Sandip Patel</t>
  </si>
  <si>
    <t>9724330701</t>
  </si>
  <si>
    <t>info.novatoz@gmail.com</t>
  </si>
  <si>
    <t>NGO &amp; Foundation Leads</t>
  </si>
  <si>
    <t xml:space="preserve">Sheel Overseas </t>
  </si>
  <si>
    <t>Sheel Shah</t>
  </si>
  <si>
    <t>9586855566</t>
  </si>
  <si>
    <t>info@sheelloverseas.com</t>
  </si>
  <si>
    <t>Shamura Polytech PVT. Ltd</t>
  </si>
  <si>
    <t>Rajesh Rami (Marketing Manager)</t>
  </si>
  <si>
    <t>9913864345; 902325424</t>
  </si>
  <si>
    <t>shamurapolytechpvt.ltd@gmail.com</t>
  </si>
  <si>
    <t>Vijapur</t>
  </si>
  <si>
    <t>Marengo CIMS Hospital / Marengo Asia Healthcare Private Limited</t>
  </si>
  <si>
    <t>Dr Bhagyesh Shah</t>
  </si>
  <si>
    <t>9099068938</t>
  </si>
  <si>
    <t>bhagyesh.shah@marengoasia.com; marengocims.opd.rec@marengoasia.com</t>
  </si>
  <si>
    <t>Enervia Nutraceuticals Private Limited</t>
  </si>
  <si>
    <t>Sachin Thakkar (Director)</t>
  </si>
  <si>
    <t>9925044953</t>
  </si>
  <si>
    <t>sachin.thakkar@enervia.in</t>
  </si>
  <si>
    <t>Vishva World</t>
  </si>
  <si>
    <t>Jigaa Kapadia (Global Network Connector)</t>
  </si>
  <si>
    <t>7570788686</t>
  </si>
  <si>
    <t>info@vishva.world</t>
  </si>
  <si>
    <t>Other Services Leads</t>
  </si>
  <si>
    <t>Bizkey Consultancy</t>
  </si>
  <si>
    <t>Vani Mehta (Founder)</t>
  </si>
  <si>
    <t>8980778631</t>
  </si>
  <si>
    <t>vani.mehta@bizkey.biz</t>
  </si>
  <si>
    <t>Other Products</t>
  </si>
  <si>
    <t>Adfinmark Multisolution Pvt. Ltd.</t>
  </si>
  <si>
    <t>Chinmay H Mehta (Zone Director)</t>
  </si>
  <si>
    <t>7600084422</t>
  </si>
  <si>
    <t>chinmay@adfinmark.com</t>
  </si>
  <si>
    <t>Yamuna Nagar / Nagpur / Amritsar / Ahmedabad</t>
  </si>
  <si>
    <t>D.N. Laser</t>
  </si>
  <si>
    <t>Dharmesh / Gaurang</t>
  </si>
  <si>
    <t>9998100274; 9428671616</t>
  </si>
  <si>
    <t>d.n.laser1996@gmail.com</t>
  </si>
  <si>
    <t>REIN ENTERPRISE</t>
  </si>
  <si>
    <t>reinenterprise3015@gmail.com</t>
  </si>
  <si>
    <t>Sanrakshya Leads</t>
  </si>
  <si>
    <t>SINGH ENTERPRISES</t>
  </si>
  <si>
    <t>Ekyot Singh</t>
  </si>
  <si>
    <t>9619134047; 9820070228</t>
  </si>
  <si>
    <t>singh_enterprises7@yahoo.com; info@singh-enterprises.com</t>
  </si>
  <si>
    <t>Mumbai</t>
  </si>
  <si>
    <t>DEV OPUS PVT. LTD.</t>
  </si>
  <si>
    <t>Akash Dabhi (Senior Business Development Executive)</t>
  </si>
  <si>
    <t>8734010864</t>
  </si>
  <si>
    <t>bade@devopus.com</t>
  </si>
  <si>
    <t>FLUID FLOW ENGINEERS</t>
  </si>
  <si>
    <t>Dingare Yogesh</t>
  </si>
  <si>
    <t>fluidflowengg20213@gmail.com</t>
  </si>
  <si>
    <t>Pune</t>
  </si>
  <si>
    <t>Anax Lifescience Private Limited</t>
  </si>
  <si>
    <t>Samir Patel (Managing Director)</t>
  </si>
  <si>
    <t>9879105608</t>
  </si>
  <si>
    <t>info@anaxlifescience.in</t>
  </si>
  <si>
    <t>Sachdev Scientific Equipments / Blancoz</t>
  </si>
  <si>
    <t>Aditya Sachdev (Director)</t>
  </si>
  <si>
    <t>90330 07000; 7721-290133</t>
  </si>
  <si>
    <t>info@blancoz.in; sachdevaditya@hotmail.com</t>
  </si>
  <si>
    <t>Raipur</t>
  </si>
  <si>
    <t>Kalpana Lights / Seridone</t>
  </si>
  <si>
    <t>Event OS Leads</t>
  </si>
  <si>
    <t>Vijaysingh Rajput / Arjunsingh Rajput</t>
  </si>
  <si>
    <t>9773479961; 9930479535; 079 22155334</t>
  </si>
  <si>
    <t>CHL / Communities Heritage Limited</t>
  </si>
  <si>
    <t>Gaurav Kumar (Sales Head)</t>
  </si>
  <si>
    <t>8209941243</t>
  </si>
  <si>
    <t>ahmedabad@chlgroup.org</t>
  </si>
  <si>
    <t>Walpar Group of Companies</t>
  </si>
  <si>
    <t>Brijesh Vora (Production Head)</t>
  </si>
  <si>
    <t>9722946420</t>
  </si>
  <si>
    <t>brijesh.walpar@gmail.com</t>
  </si>
  <si>
    <t>Kalol</t>
  </si>
  <si>
    <t>Doctors</t>
  </si>
  <si>
    <t>Pet Link OS Leads</t>
  </si>
  <si>
    <t>GPE EXPO PVT. LTD.</t>
  </si>
  <si>
    <t>Dhiraj Rathod (Executive, Exhibitions)</t>
  </si>
  <si>
    <t>8980193333</t>
  </si>
  <si>
    <t>info@GPEexpo.com</t>
  </si>
  <si>
    <t>Metropharm Wellness</t>
  </si>
  <si>
    <t>Vatsal Dixit (Managing Director)</t>
  </si>
  <si>
    <t>9925249992</t>
  </si>
  <si>
    <t>vatsal@metropharmwellness.com</t>
  </si>
  <si>
    <t>Glotex Solutions Pvt. Ltd.</t>
  </si>
  <si>
    <t>Zahid Rais (Sr. Manager-Sales)</t>
  </si>
  <si>
    <t>9212302986</t>
  </si>
  <si>
    <t>sales3@glotexinc.com</t>
  </si>
  <si>
    <t>Vadodara</t>
  </si>
  <si>
    <t>Research Delta Advisors</t>
  </si>
  <si>
    <t>Chintan Mehta (Co. Founder, Tech Lead)</t>
  </si>
  <si>
    <t>9428551146</t>
  </si>
  <si>
    <t>chintan@researchdelta.com</t>
  </si>
  <si>
    <t>Optical Leads</t>
  </si>
  <si>
    <t>Satyamev Infotech</t>
  </si>
  <si>
    <t>Devang Pancholi</t>
  </si>
  <si>
    <t>9825026304</t>
  </si>
  <si>
    <t>devang@satyamev.com</t>
  </si>
  <si>
    <t>Nandi Tours &amp; Travels</t>
  </si>
  <si>
    <t>Hiren Raval</t>
  </si>
  <si>
    <t>8200853156; 9687576959</t>
  </si>
  <si>
    <t>nandi@toursandtravels.com</t>
  </si>
  <si>
    <t>Other Products Leads</t>
  </si>
  <si>
    <t>Madhav Plastomech Pvt. Ltd.</t>
  </si>
  <si>
    <t>Perish Nasit (Sales Executive)</t>
  </si>
  <si>
    <t>9879252126</t>
  </si>
  <si>
    <t>sales@madhavplastomech.com</t>
  </si>
  <si>
    <t>Konica Minolta Business Solutions India Pvt. Ltd.</t>
  </si>
  <si>
    <t>Yatin Gulati (Business Development Manager)</t>
  </si>
  <si>
    <t>9319285303</t>
  </si>
  <si>
    <t>yatin.gulati@konicaminolta.com</t>
  </si>
  <si>
    <t>Gurgaon</t>
  </si>
  <si>
    <t>Malhari Projects Pvt. Ltd.</t>
  </si>
  <si>
    <t>Vaibhav Patel / Dhruv Chauhan / Mihir Dixit</t>
  </si>
  <si>
    <t>99788 31112; 81402 22477</t>
  </si>
  <si>
    <t>sales@malhariprojects.com; info@malhariprojects.com</t>
  </si>
  <si>
    <t>Dandekar (HVACR) System</t>
  </si>
  <si>
    <t>Roshni Panchal</t>
  </si>
  <si>
    <t>9426472954</t>
  </si>
  <si>
    <t>dandekarhvacrsystem@hotmail.com; dandekarsons@hotmail.com</t>
  </si>
  <si>
    <t>Ramdoot Packaging</t>
  </si>
  <si>
    <t>Design Team</t>
  </si>
  <si>
    <t>9601349884; 8238139002</t>
  </si>
  <si>
    <t>ramdootpackaging@gmail.com</t>
  </si>
  <si>
    <t>Adilinf</t>
  </si>
  <si>
    <t>Brijesh Chodavadiya (CEO &amp; Founder)</t>
  </si>
  <si>
    <t>9428362964</t>
  </si>
  <si>
    <t>brijesh.chodavadiya@adilinf.co.in</t>
  </si>
  <si>
    <t>Spares House</t>
  </si>
  <si>
    <t>Unnati Sonawane (Founder)</t>
  </si>
  <si>
    <t>9574854812; 7434945262</t>
  </si>
  <si>
    <t>spareshouse2107@gmail.com</t>
  </si>
  <si>
    <t>Monthly Analytics</t>
  </si>
  <si>
    <t>Change the analysis year in B3. Counts and values update from Master Leads.</t>
  </si>
  <si>
    <t>Analysis Year</t>
  </si>
  <si>
    <t>Month</t>
  </si>
  <si>
    <t>New Leads</t>
  </si>
  <si>
    <t>New Pipeline</t>
  </si>
  <si>
    <t>Follow-Ups Scheduled</t>
  </si>
  <si>
    <t>Currently Overdue</t>
  </si>
  <si>
    <t>Chart Month</t>
  </si>
  <si>
    <t>PROSMIT (by SMIT Digital Marketing Pvt Ltd)</t>
  </si>
  <si>
    <t>Amish S. (Director)</t>
  </si>
  <si>
    <t>9033008020; 8866008020</t>
  </si>
  <si>
    <t>sales@prosmit.in; amish@smit.co.in</t>
  </si>
  <si>
    <t>Ajwin / Light Hub</t>
  </si>
  <si>
    <t>Kishan Patel</t>
  </si>
  <si>
    <t>9898419754</t>
  </si>
  <si>
    <t>iSiemens Industries Private Limited</t>
  </si>
  <si>
    <t>Ritu Patel (Sales Executive)</t>
  </si>
  <si>
    <t>9898497526</t>
  </si>
  <si>
    <t>salesisiemensahmedabad@gmail.com</t>
  </si>
  <si>
    <t>The Food's Life (TFL) / United Nutritions</t>
  </si>
  <si>
    <t>Mr. Vishal Prajapati (BDE)</t>
  </si>
  <si>
    <t>6352807509</t>
  </si>
  <si>
    <t>info.thefoodslife@gmail.com</t>
  </si>
  <si>
    <t>Department &amp; Product Analytics</t>
  </si>
  <si>
    <t>Compare lead volume, conversion, pipeline, and follow-up health across every service department and product.</t>
  </si>
  <si>
    <t>Hot Open</t>
  </si>
  <si>
    <t>Bhajan InfraTech Pvt. Ltd.</t>
  </si>
  <si>
    <t>Dhaval Khemi (Managing Director)</t>
  </si>
  <si>
    <t>9725001300</t>
  </si>
  <si>
    <t>mail@bhajanec.com</t>
  </si>
  <si>
    <t>Surat / Ahmedabad</t>
  </si>
  <si>
    <t>PAIous Advisors</t>
  </si>
  <si>
    <t>Dr. Jigar Pancholi (Patent &amp; Trademark Agent; TTO Professional)</t>
  </si>
  <si>
    <t>7030281801</t>
  </si>
  <si>
    <t>info@paious.com; drjigarpancholi81@gmail.com</t>
  </si>
  <si>
    <t>JP Enterprise</t>
  </si>
  <si>
    <t>Jatin Patel</t>
  </si>
  <si>
    <t>7600825011</t>
  </si>
  <si>
    <t>jatinpatel3187@gmail.com</t>
  </si>
  <si>
    <t>Ahmedabad / Chhatral</t>
  </si>
  <si>
    <t>Newtech Engineers</t>
  </si>
  <si>
    <t>Siddharth Panchal / Narambhai Panchal</t>
  </si>
  <si>
    <t>8740814449; 9998678321; 9988217647</t>
  </si>
  <si>
    <t>sales@newtechfurniture.com</t>
  </si>
  <si>
    <t>Sanrakshya</t>
  </si>
  <si>
    <t>Product</t>
  </si>
  <si>
    <t>NEO India Lifeline Private Limited</t>
  </si>
  <si>
    <t>Khevna Maniar (HR Manager)</t>
  </si>
  <si>
    <t>khevna.maniar@neohealthgroup.com</t>
  </si>
  <si>
    <t>Event OS</t>
  </si>
  <si>
    <t>airX</t>
  </si>
  <si>
    <t>Urvish Mandaliya (Marketing Associate)</t>
  </si>
  <si>
    <t>777916898</t>
  </si>
  <si>
    <t>urvish@airxwellness.com</t>
  </si>
  <si>
    <t>Pet Link OS</t>
  </si>
  <si>
    <t>Fabi Iron Engineers Pvt. Ltd.</t>
  </si>
  <si>
    <t>Adarsh Dudhat (Director) / Vinubhai Dudhat (Director)</t>
  </si>
  <si>
    <t>9712122320; 825049949</t>
  </si>
  <si>
    <t>fabiron@yahoo.com</t>
  </si>
  <si>
    <t>JP Perfumery Works Private Limited</t>
  </si>
  <si>
    <t>Haresh K. Buddhdev / Hardik H. Buddhdev / Akash H. Buddhdev / Yash H. Buddhdev</t>
  </si>
  <si>
    <t>93759 27106; 9974402605; 9825746462; 9428242724</t>
  </si>
  <si>
    <t>info@jpperfumery.com</t>
  </si>
  <si>
    <t>Notion Electronics Pvt. Ltd.</t>
  </si>
  <si>
    <t>Pooja Bhavsar</t>
  </si>
  <si>
    <t>9512711349; 9824679970; 9727679970; 9825879970</t>
  </si>
  <si>
    <t>sales@notionelectronics.com</t>
  </si>
  <si>
    <t>Lead Source Analytics</t>
  </si>
  <si>
    <t>MPRS Group of Companies</t>
  </si>
  <si>
    <t>Sapan Shah (Branch Manager)</t>
  </si>
  <si>
    <t>See which sources generate volume, conversions, pipeline, hot leads, and overdue follow-ups.</t>
  </si>
  <si>
    <t>9892365844</t>
  </si>
  <si>
    <t>sapan.shah@mprshipping.com</t>
  </si>
  <si>
    <t>Ahmedabad / Mumbai</t>
  </si>
  <si>
    <t>Hot Leads</t>
  </si>
  <si>
    <t>Foreign</t>
  </si>
  <si>
    <t>MindQuad</t>
  </si>
  <si>
    <t>Website</t>
  </si>
  <si>
    <t>Manthan Parmar (Client Success Specialist)</t>
  </si>
  <si>
    <t>9213015680</t>
  </si>
  <si>
    <t>manthan.p@mindquad.com</t>
  </si>
  <si>
    <t>Closed</t>
  </si>
  <si>
    <t>LinkedIn</t>
  </si>
  <si>
    <t>United Nutritions</t>
  </si>
  <si>
    <t>Mr. Jainal Kothari (BDE)</t>
  </si>
  <si>
    <t>635280748</t>
  </si>
  <si>
    <t>sales.unitednutri@gmail.com</t>
  </si>
  <si>
    <t>WhatsApp</t>
  </si>
  <si>
    <t>Lists &amp; Settings</t>
  </si>
  <si>
    <t>Reference lists for the CRM. Keep category names consistent. To add dropdown choices later, edit the relevant Google Sheets table column dropdown.</t>
  </si>
  <si>
    <t>Unassigned</t>
  </si>
  <si>
    <t>Owner 1</t>
  </si>
  <si>
    <t>1st Follow-Up</t>
  </si>
  <si>
    <t>Owner 2</t>
  </si>
  <si>
    <t>Owner 3</t>
  </si>
  <si>
    <t>Phone</t>
  </si>
  <si>
    <t>Security &amp; Safety</t>
  </si>
  <si>
    <t>Partner</t>
  </si>
  <si>
    <t>Event Management</t>
  </si>
  <si>
    <t>Nurture</t>
  </si>
  <si>
    <t>Pet Care</t>
  </si>
  <si>
    <t>Google</t>
  </si>
  <si>
    <t>Social Media</t>
  </si>
  <si>
    <t>Recommended probability guide</t>
  </si>
  <si>
    <t>Stage</t>
  </si>
  <si>
    <t>Suggested Probability</t>
  </si>
  <si>
    <t>Stage meaning
Converted = won customer. Closed = no further action and not converted. Lost = clearly lost/no fit. Nurture = revisit later.
Data entry
Master Leads is the single source for opportunity status. Contact Log is optional detail. Department/product tabs, Follow Ups, Dashboard, and analytics are calculated views.</t>
  </si>
  <si>
    <t>Paramount Corporation Inc</t>
  </si>
  <si>
    <t>Payal Panchal (Manager)</t>
  </si>
  <si>
    <t>9965038038</t>
  </si>
  <si>
    <t>mail@paramountcorp.co.in</t>
  </si>
  <si>
    <t>ICH DIEN WELLNESS / ICH DIEN Nutraceutical</t>
  </si>
  <si>
    <t>Patel Priyen</t>
  </si>
  <si>
    <t>9327000673</t>
  </si>
  <si>
    <t>ichdienwellness1970@gmail.com; ichdienwellness.export@gmail.com</t>
  </si>
  <si>
    <t>Palanpur</t>
  </si>
  <si>
    <t>MSC NUTRA</t>
  </si>
  <si>
    <t>Chandana K B (Sales and Marketing Executive)</t>
  </si>
  <si>
    <t>9513681010</t>
  </si>
  <si>
    <t>business@mscchemicals.co.in</t>
  </si>
  <si>
    <t>Bengaluru / Mumbai</t>
  </si>
  <si>
    <t>SAL Hospital</t>
  </si>
  <si>
    <t>Dipak Dasgupta (Hospital Administrator)</t>
  </si>
  <si>
    <t>9586527057; 6357007130</t>
  </si>
  <si>
    <t>dipak.dasgupta@sal.edu.in; salhospitalsciencecity@gmail.com</t>
  </si>
  <si>
    <t>Rajesh Agrawal (Marketing Manager)</t>
  </si>
  <si>
    <t>7405375350</t>
  </si>
  <si>
    <t>Ahmedabad / Palanpur</t>
  </si>
  <si>
    <t>Religence Pharmaceuticals Private Limited</t>
  </si>
  <si>
    <t>Mohit Patel</t>
  </si>
  <si>
    <t>9825966650; 9727173573</t>
  </si>
  <si>
    <t>mohit@religence.in; info@religence.in</t>
  </si>
  <si>
    <t>Bhavnagar / Bharuch</t>
  </si>
  <si>
    <t>Decefrag Pharmaceuticals</t>
  </si>
  <si>
    <t>Mahek Thakur (Global Sales Manager)</t>
  </si>
  <si>
    <t>9924627787</t>
  </si>
  <si>
    <t>mahek.thakur@decefragpharma.com; mahek.singh2204@gmail.com</t>
  </si>
  <si>
    <t>SmartCare Nutrition</t>
  </si>
  <si>
    <t>Huzefa Vanthliwala (Director)</t>
  </si>
  <si>
    <t>9833286871</t>
  </si>
  <si>
    <t>support@smartcarenutrition.in</t>
  </si>
  <si>
    <t>Andheri</t>
  </si>
  <si>
    <t>Mint Packaging</t>
  </si>
  <si>
    <t>Gaurav Agrawal / Pratik Agrawal</t>
  </si>
  <si>
    <t>9099965517; 9687628803</t>
  </si>
  <si>
    <t>gaurav@mintp.in</t>
  </si>
  <si>
    <t>Moraiya, Ahmedabad</t>
  </si>
  <si>
    <t>Prem Green Private Limited</t>
  </si>
  <si>
    <t>Ashwin Patel (Deputy General Manager, R &amp; D)</t>
  </si>
  <si>
    <t>7374007777; 9509288840</t>
  </si>
  <si>
    <t>ashwin.patel@premgreen.com</t>
  </si>
  <si>
    <t>Gandhinagar</t>
  </si>
  <si>
    <t>MICRAH / Miorah</t>
  </si>
  <si>
    <t>Jigneshkumar G. Malakiya</t>
  </si>
  <si>
    <t>7046197999; 9428081191</t>
  </si>
  <si>
    <t>malakiyajignesh@miorah.biz</t>
  </si>
  <si>
    <t>Connote Healthcare Pvt. Ltd. / Connote Group of Companies</t>
  </si>
  <si>
    <t>Shreyansh Prajapati (Sr. Executive - Regulatory Affairs)</t>
  </si>
  <si>
    <t>6358190882</t>
  </si>
  <si>
    <t>RA@Connotehealthcare.com</t>
  </si>
  <si>
    <t>Completed</t>
  </si>
  <si>
    <t>Apexa Bhatt &amp; Co.</t>
  </si>
  <si>
    <t>CA Apexa Bhatt (Proprietor)</t>
  </si>
  <si>
    <t>9664708788</t>
  </si>
  <si>
    <t>caapexabhatt@gmail.com</t>
  </si>
  <si>
    <t>Prey Healthcare</t>
  </si>
  <si>
    <t>Ashish Patel</t>
  </si>
  <si>
    <t>9725202772</t>
  </si>
  <si>
    <t>preyhealthcare@gmail.com</t>
  </si>
  <si>
    <t>Virsad</t>
  </si>
  <si>
    <t>Zyanorix Cyber Defeat Private Limited</t>
  </si>
  <si>
    <t>Mukesh Leuva</t>
  </si>
  <si>
    <t>9898450170</t>
  </si>
  <si>
    <t>mukesh.leuva@zyanorixcyberdefeat.com</t>
  </si>
  <si>
    <t>Beyond Healthcare</t>
  </si>
  <si>
    <t>Pitroda Smit (Director, M.E. Biomedical)</t>
  </si>
  <si>
    <t>9428358182</t>
  </si>
  <si>
    <t>beyondhealthcareindia@gmail.com</t>
  </si>
  <si>
    <t>AVINYA</t>
  </si>
  <si>
    <t>Manan Vyas (Founder &amp; Director)</t>
  </si>
  <si>
    <t>9426166486</t>
  </si>
  <si>
    <t>vyasmanan01@gmail.com; connect@avinyaleather.com</t>
  </si>
  <si>
    <t>Grok Learning Pvt. Ltd.</t>
  </si>
  <si>
    <t>Ameet G. Parikh (Strategic Advisor)</t>
  </si>
  <si>
    <t>98250 12301</t>
  </si>
  <si>
    <t>ameet.parikh@grokstem.com</t>
  </si>
  <si>
    <t>SEVEN DOT</t>
  </si>
  <si>
    <t>Sunny Jani (Founder)</t>
  </si>
  <si>
    <t>9913271211; 9324571211</t>
  </si>
  <si>
    <t>sunny@sevendotproductions.com</t>
  </si>
  <si>
    <t>INREAN PHARMACEUTICAL</t>
  </si>
  <si>
    <t>Amol Indurkar (Director)</t>
  </si>
  <si>
    <t>9713099555</t>
  </si>
  <si>
    <t>amol@inrean.com</t>
  </si>
  <si>
    <t>Thinkwik Technology Private Limited</t>
  </si>
  <si>
    <t>Kalyan Acharya (Director, Global Sales)</t>
  </si>
  <si>
    <t>9909847950</t>
  </si>
  <si>
    <t>kalyan@thinkwik.com</t>
  </si>
  <si>
    <t>Adventure Chemicals Suppliers</t>
  </si>
  <si>
    <t>9979862649</t>
  </si>
  <si>
    <t>adventure@adventureoverseas.com</t>
  </si>
  <si>
    <t>ASOJ SOFT CAPS PVT. LTD.</t>
  </si>
  <si>
    <t>Parul Patel (Jr. Manager - Purchase)</t>
  </si>
  <si>
    <t>89808 08776; 8980083898</t>
  </si>
  <si>
    <t>purchase@asojsoftcaps.com</t>
  </si>
  <si>
    <t>Baroda</t>
  </si>
  <si>
    <t>Africa SME Assembly</t>
  </si>
  <si>
    <t>Treasure David Enyinnaya(founder)</t>
  </si>
  <si>
    <t xml:space="preserve">2348168174372  </t>
  </si>
  <si>
    <t>africasmeassembly.org</t>
  </si>
  <si>
    <t>Nigeria</t>
  </si>
  <si>
    <t>South Africa</t>
  </si>
  <si>
    <t>Vansh</t>
  </si>
  <si>
    <t>Women Changemakers for Education</t>
  </si>
  <si>
    <t>Rejoice Adzivor</t>
  </si>
  <si>
    <r>
      <rPr>
        <color rgb="FF1155CC"/>
        <u/>
      </rPr>
      <t>ririadzivor@gmail.com</t>
    </r>
  </si>
  <si>
    <t>Accra</t>
  </si>
  <si>
    <t>SLA INTEGRATED LOGISTICS &amp; ASSURANCE SERVICES LIMITED</t>
  </si>
  <si>
    <t xml:space="preserve">Mercy (Selina) Olasiji
</t>
  </si>
  <si>
    <t>814952 8369</t>
  </si>
  <si>
    <t>mercyselinaolubade@gmail.com</t>
  </si>
  <si>
    <t>Swastik Financial</t>
  </si>
  <si>
    <t xml:space="preserve">Darshan Salot </t>
  </si>
  <si>
    <t>9099056070</t>
  </si>
  <si>
    <t xml:space="preserve">SCOPE KENYA </t>
  </si>
  <si>
    <t>Dr. Maina Wambugu HSC</t>
  </si>
  <si>
    <t>mainaseb@yahoo.com</t>
  </si>
  <si>
    <t>Kenya</t>
  </si>
  <si>
    <t>African Coalition for Social Impact</t>
  </si>
  <si>
    <t>Kenneth Kabagambe</t>
  </si>
  <si>
    <t>kkabagambe2013@gmail.com</t>
  </si>
  <si>
    <t>Uganda</t>
  </si>
  <si>
    <t>Director - Success Shows Pvt Ltd</t>
  </si>
  <si>
    <t>Vivek More</t>
  </si>
  <si>
    <t>9945484244</t>
  </si>
  <si>
    <r>
      <rPr>
        <color rgb="FF1155CC"/>
        <u/>
      </rPr>
      <t>vivekmore85@gmail.com</t>
    </r>
  </si>
  <si>
    <t>Banglore</t>
  </si>
  <si>
    <t>Founder Afyalitics</t>
  </si>
  <si>
    <t>Oduor (Otieno) Kevin</t>
  </si>
  <si>
    <t>oduorkevin@stowelink.com</t>
  </si>
  <si>
    <t>Navigene Genetic Science Pvt Ltd</t>
  </si>
  <si>
    <t xml:space="preserve">Anirvan Dam
</t>
  </si>
  <si>
    <t>9898000022</t>
  </si>
  <si>
    <t>damanirvan@yahoo.co.in</t>
  </si>
  <si>
    <t>Ministry of Heailth</t>
  </si>
  <si>
    <t>EMMANUEL AINEBYOONA</t>
  </si>
  <si>
    <t>emmabyoona@gmail.com</t>
  </si>
  <si>
    <t>Kampala</t>
  </si>
  <si>
    <t>Rwenzori Anti-Corruption Coalition</t>
  </si>
  <si>
    <t xml:space="preserve">Byangwa Angela
</t>
  </si>
  <si>
    <t>byangwasmart@yahoo.co.uk</t>
  </si>
  <si>
    <t>Wee</t>
  </si>
  <si>
    <t>Anton Sizemin</t>
  </si>
  <si>
    <t>7 917 567 74 13</t>
  </si>
  <si>
    <t>anton.sizemin@gmail.com</t>
  </si>
  <si>
    <t>UAE</t>
  </si>
  <si>
    <t>Dubai</t>
  </si>
  <si>
    <t>Rainbow Foundation Ind</t>
  </si>
  <si>
    <t>9871655860</t>
  </si>
  <si>
    <t>V Help Foundation</t>
  </si>
  <si>
    <t>8758753600</t>
  </si>
  <si>
    <t>Anamica Opticals</t>
  </si>
  <si>
    <t>Ridham</t>
  </si>
  <si>
    <t>7043990817</t>
  </si>
  <si>
    <t>Fabuler Life Sciences</t>
  </si>
  <si>
    <t>Parth Vyas</t>
  </si>
  <si>
    <t>7575076762</t>
  </si>
  <si>
    <t>Vidhyadaan Foundation</t>
  </si>
  <si>
    <t>9714671919</t>
  </si>
  <si>
    <t>Shivarpan Charitable Foundation</t>
  </si>
  <si>
    <t>9898038241</t>
  </si>
  <si>
    <t>Marpu Foundation</t>
  </si>
  <si>
    <t>7997801001</t>
  </si>
  <si>
    <t>Saksham Foundation</t>
  </si>
  <si>
    <t>9173827722</t>
  </si>
  <si>
    <t>TOMORROW AFTER 11 AM CALL</t>
  </si>
  <si>
    <t xml:space="preserve">Sai Foundation </t>
  </si>
  <si>
    <t>8238878763</t>
  </si>
  <si>
    <t>CALL AFTER 10:30 AM</t>
  </si>
  <si>
    <t>Umeed Child Foundation</t>
  </si>
  <si>
    <t>Mukesh Chauhan</t>
  </si>
  <si>
    <t>8980090465</t>
  </si>
  <si>
    <t>Share Document</t>
  </si>
  <si>
    <t>Dynamic Cables Limited</t>
  </si>
  <si>
    <t>Ashok Sharma</t>
  </si>
  <si>
    <t>9887394888</t>
  </si>
  <si>
    <t xml:space="preserve"> gm.delhi@dynamiccables.co.in</t>
  </si>
  <si>
    <t>Bharat Packs</t>
  </si>
  <si>
    <t>Pratik Patell</t>
  </si>
  <si>
    <t>8460203534</t>
  </si>
  <si>
    <t>Ashray Foundation</t>
  </si>
  <si>
    <t>Sanjana</t>
  </si>
  <si>
    <t>9898030611</t>
  </si>
  <si>
    <t>Dream Foundation</t>
  </si>
  <si>
    <t>8238236499</t>
  </si>
  <si>
    <t>Samvedna Foundation</t>
  </si>
  <si>
    <t>Priyanka Lakhwani</t>
  </si>
  <si>
    <t>8128923990</t>
  </si>
  <si>
    <t>Furniture</t>
  </si>
  <si>
    <t>Manish</t>
  </si>
  <si>
    <t>9924958891</t>
  </si>
  <si>
    <t>Opes Healthcare</t>
  </si>
  <si>
    <t xml:space="preserve">Ashok </t>
  </si>
  <si>
    <t>9824974641</t>
  </si>
  <si>
    <t>KES Security</t>
  </si>
  <si>
    <t>Jivesh Khanna</t>
  </si>
  <si>
    <t>8728955559</t>
  </si>
  <si>
    <t>Ludhiana</t>
  </si>
  <si>
    <t>Calcite Learning</t>
  </si>
  <si>
    <t>Parth Kakkad</t>
  </si>
  <si>
    <t>9512212391</t>
  </si>
  <si>
    <t>Kukuram Pet Foundation</t>
  </si>
  <si>
    <t>Naitikkumar Jayeshbhai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</si>
</sst>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m-yyyy"/>
    <numFmt numFmtId="165" formatCode="₹#,##0"/>
    <numFmt numFmtId="166" formatCode="mmm yyyy"/>
    <numFmt numFmtId="167" formatCode="yyyy-mm-dd"/>
  </numFmts>
  <fonts count="26">
    <font>
      <sz val="11.0"/>
      <color rgb="FF000000"/>
      <name val="Carlito"/>
      <scheme val="minor"/>
    </font>
    <font>
      <b/>
      <sz val="18.0"/>
      <color rgb="FF0F172A"/>
      <name val="Carlito"/>
    </font>
    <font>
      <sz val="10.0"/>
      <color rgb="FF475569"/>
      <name val="Carlito"/>
    </font>
    <font>
      <b/>
      <sz val="11.0"/>
      <color rgb="FF0F172A"/>
      <name val="Carlito"/>
    </font>
    <font/>
    <font>
      <b/>
      <sz val="11.0"/>
      <color rgb="FF2563EB"/>
      <name val="Carlito"/>
    </font>
    <font>
      <sz val="11.0"/>
      <color rgb="FF0F172A"/>
      <name val="Carlito"/>
    </font>
    <font>
      <sz val="11.0"/>
      <color theme="1"/>
      <name val="Carlito"/>
    </font>
    <font>
      <b/>
      <sz val="11.0"/>
      <color theme="1"/>
      <name val="Carlito"/>
    </font>
    <font>
      <i/>
      <sz val="11.0"/>
      <color rgb="FFB45309"/>
      <name val="Carlito"/>
    </font>
    <font>
      <sz val="11.0"/>
      <color rgb="FFB174E7"/>
      <name val="Carlito"/>
    </font>
    <font>
      <b/>
      <sz val="11.0"/>
      <color rgb="FF475569"/>
      <name val="Carlito"/>
    </font>
    <font>
      <b/>
      <sz val="14.0"/>
      <color rgb="FF2563EB"/>
      <name val="Carlito"/>
    </font>
    <font>
      <i/>
      <sz val="11.0"/>
      <color rgb="FF475569"/>
      <name val="Carlito"/>
    </font>
    <font>
      <color theme="1"/>
      <name val="Carlito"/>
      <scheme val="minor"/>
    </font>
    <font>
      <sz val="9.0"/>
      <color rgb="FF0F172A"/>
      <name val="Google Sans Mono"/>
    </font>
    <font>
      <color rgb="FF000000"/>
      <name val="Carlito"/>
      <scheme val="minor"/>
    </font>
    <font>
      <u/>
      <color rgb="FF0000FF"/>
    </font>
    <font>
      <color theme="1"/>
      <name val="Arial"/>
    </font>
    <font>
      <sz val="9.0"/>
      <color rgb="FF1157CE"/>
      <name val="Google Sans Mono"/>
    </font>
    <font>
      <sz val="11.0"/>
      <color rgb="FF475569"/>
      <name val="Carlito"/>
    </font>
    <font>
      <color rgb="FFB174E7"/>
      <name val="Carlito"/>
      <scheme val="minor"/>
    </font>
    <font>
      <sz val="11.0"/>
      <color rgb="FF000000"/>
      <name val="Arial"/>
    </font>
    <font>
      <u/>
      <sz val="11.0"/>
      <color rgb="FF0000FF"/>
      <name val="Carlito"/>
    </font>
    <font>
      <sz val="11.0"/>
      <color rgb="FFB174E7"/>
      <name val="Roboto"/>
    </font>
    <font>
      <u/>
      <color rgb="FF0000FF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DBEAFE"/>
        <bgColor rgb="FFDBEAFE"/>
      </patternFill>
    </fill>
    <fill>
      <patternFill patternType="solid">
        <fgColor rgb="FFFFFFFF"/>
        <bgColor rgb="FFFFFFFF"/>
      </patternFill>
    </fill>
    <fill>
      <patternFill patternType="solid">
        <fgColor rgb="FFF1F5F9"/>
        <bgColor rgb="FFF1F5F9"/>
      </patternFill>
    </fill>
    <fill>
      <patternFill patternType="solid">
        <fgColor rgb="FFFEF3C7"/>
        <bgColor rgb="FFFEF3C7"/>
      </patternFill>
    </fill>
    <fill>
      <patternFill patternType="solid">
        <fgColor rgb="FFF8FAFC"/>
        <bgColor rgb="FFF8FAFC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E2E8F0"/>
        <bgColor rgb="FFE2E8F0"/>
      </patternFill>
    </fill>
  </fills>
  <borders count="16">
    <border/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top style="thin">
        <color rgb="FFCBD5E1"/>
      </top>
    </border>
    <border>
      <top style="thin">
        <color rgb="FFCBD5E1"/>
      </top>
    </border>
    <border>
      <right style="thin">
        <color rgb="FFCBD5E1"/>
      </right>
      <top style="thin">
        <color rgb="FFCBD5E1"/>
      </top>
    </border>
    <border>
      <left style="thin">
        <color rgb="FFCBD5E1"/>
      </left>
    </border>
    <border>
      <right style="thin">
        <color rgb="FFCBD5E1"/>
      </right>
    </border>
    <border>
      <left style="thin">
        <color rgb="FFCBD5E1"/>
      </left>
      <bottom style="thin">
        <color rgb="FFCBD5E1"/>
      </bottom>
    </border>
    <border>
      <bottom style="thin">
        <color rgb="FFCBD5E1"/>
      </bottom>
    </border>
    <border>
      <right style="thin">
        <color rgb="FFCBD5E1"/>
      </right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</border>
    <border>
      <left style="thin">
        <color rgb="FFCBD5E1"/>
      </left>
      <right style="thin">
        <color rgb="FFCBD5E1"/>
      </right>
    </border>
    <border>
      <left style="thin">
        <color rgb="FFCBD5E1"/>
      </left>
      <right style="thin">
        <color rgb="FFCBD5E1"/>
      </right>
      <bottom style="thin">
        <color rgb="FFCBD5E1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3" fontId="2" numFmtId="0" xfId="0" applyAlignment="1" applyFill="1" applyFont="1">
      <alignment shrinkToFit="0" vertical="center" wrapText="1"/>
    </xf>
    <xf borderId="1" fillId="4" fontId="3" numFmtId="0" xfId="0" applyAlignment="1" applyBorder="1" applyFill="1" applyFont="1">
      <alignment shrinkToFit="0" vertical="center" wrapText="1"/>
    </xf>
    <xf borderId="2" fillId="0" fontId="4" numFmtId="0" xfId="0" applyBorder="1" applyFont="1"/>
    <xf borderId="3" fillId="0" fontId="4" numFmtId="0" xfId="0" applyBorder="1" applyFont="1"/>
    <xf borderId="0" fillId="2" fontId="5" numFmtId="0" xfId="0" applyAlignment="1" applyFill="1" applyFont="1">
      <alignment horizontal="center"/>
    </xf>
    <xf borderId="0" fillId="0" fontId="6" numFmtId="0" xfId="0" applyAlignment="1" applyFont="1">
      <alignment shrinkToFit="0" vertical="center" wrapText="1"/>
    </xf>
    <xf borderId="2" fillId="4" fontId="3" numFmtId="0" xfId="0" applyAlignment="1" applyBorder="1" applyFill="1" applyFont="1">
      <alignment shrinkToFit="0" vertical="center" wrapText="1"/>
    </xf>
    <xf borderId="3" fillId="4" fontId="3" numFmtId="0" xfId="0" applyAlignment="1" applyBorder="1" applyFill="1" applyFont="1">
      <alignment shrinkToFit="0" vertical="center" wrapText="1"/>
    </xf>
    <xf borderId="4" fillId="0" fontId="7" numFmtId="0" xfId="0" applyAlignment="1" applyBorder="1" applyFont="1">
      <alignment shrinkToFit="0" wrapText="1"/>
    </xf>
    <xf borderId="5" fillId="0" fontId="7" numFmtId="0" xfId="0" applyAlignment="1" applyBorder="1" applyFont="1">
      <alignment shrinkToFit="0" wrapText="1"/>
    </xf>
    <xf borderId="6" fillId="0" fontId="7" numFmtId="0" xfId="0" applyAlignment="1" applyBorder="1" applyFont="1">
      <alignment shrinkToFit="0" wrapText="1"/>
    </xf>
    <xf borderId="7" fillId="0" fontId="7" numFmtId="0" xfId="0" applyAlignment="1" applyBorder="1" applyFont="1">
      <alignment shrinkToFit="0" wrapText="1"/>
    </xf>
    <xf borderId="0" fillId="0" fontId="7" numFmtId="0" xfId="0" applyAlignment="1" applyFont="1">
      <alignment shrinkToFit="0" wrapText="1"/>
    </xf>
    <xf borderId="8" fillId="0" fontId="7" numFmtId="0" xfId="0" applyAlignment="1" applyBorder="1" applyFont="1">
      <alignment shrinkToFit="0" wrapText="1"/>
    </xf>
    <xf borderId="9" fillId="0" fontId="7" numFmtId="0" xfId="0" applyAlignment="1" applyBorder="1" applyFont="1">
      <alignment shrinkToFit="0" wrapText="1"/>
    </xf>
    <xf borderId="10" fillId="0" fontId="7" numFmtId="0" xfId="0" applyAlignment="1" applyBorder="1" applyFont="1">
      <alignment shrinkToFit="0" wrapText="1"/>
    </xf>
    <xf borderId="11" fillId="0" fontId="7" numFmtId="0" xfId="0" applyAlignment="1" applyBorder="1" applyFont="1">
      <alignment shrinkToFit="0" wrapText="1"/>
    </xf>
    <xf borderId="0" fillId="0" fontId="8" numFmtId="0" xfId="0" applyAlignment="1" applyFont="1">
      <alignment horizontal="left" readingOrder="0" shrinkToFit="0" vertical="center" wrapText="1"/>
    </xf>
    <xf borderId="0" fillId="5" fontId="9" numFmtId="0" xfId="0" applyAlignment="1" applyFill="1" applyFont="1">
      <alignment shrinkToFit="0" wrapText="1"/>
    </xf>
    <xf borderId="0" fillId="3" fontId="7" numFmtId="0" xfId="0" applyAlignment="1" applyFill="1" applyFont="1">
      <alignment shrinkToFit="0" vertical="center" wrapText="0"/>
    </xf>
    <xf borderId="0" fillId="3" fontId="7" numFmtId="164" xfId="0" applyAlignment="1" applyFill="1" applyFont="1" applyNumberFormat="1">
      <alignment shrinkToFit="0" vertical="center" wrapText="0"/>
    </xf>
    <xf borderId="0" fillId="6" fontId="7" numFmtId="0" xfId="0" applyAlignment="1" applyFill="1" applyFont="1">
      <alignment shrinkToFit="0" vertical="center" wrapText="0"/>
    </xf>
    <xf borderId="0" fillId="3" fontId="7" numFmtId="0" xfId="0" applyAlignment="1" applyFill="1" applyFont="1">
      <alignment shrinkToFit="0" vertical="center" wrapText="0"/>
    </xf>
    <xf borderId="0" fillId="7" fontId="6" numFmtId="0" xfId="0" applyAlignment="1" applyFill="1" applyFont="1">
      <alignment readingOrder="0" shrinkToFit="0" vertical="center" wrapText="0"/>
    </xf>
    <xf borderId="0" fillId="7" fontId="6" numFmtId="164" xfId="0" applyAlignment="1" applyFill="1" applyFont="1" applyNumberFormat="1">
      <alignment readingOrder="0" shrinkToFit="0" vertical="center" wrapText="0"/>
    </xf>
    <xf borderId="0" fillId="7" fontId="10" numFmtId="0" xfId="0" applyAlignment="1" applyFill="1" applyFont="1">
      <alignment horizontal="left" readingOrder="0" shrinkToFit="0" vertical="center" wrapText="0"/>
    </xf>
    <xf borderId="1" fillId="3" fontId="11" numFmtId="0" xfId="0" applyAlignment="1" applyBorder="1" applyFill="1" applyFont="1">
      <alignment vertical="center"/>
    </xf>
    <xf borderId="0" fillId="7" fontId="6" numFmtId="0" xfId="0" applyAlignment="1" applyFill="1" applyFont="1">
      <alignment readingOrder="0" shrinkToFit="0" vertical="center" wrapText="0"/>
    </xf>
    <xf borderId="0" fillId="3" fontId="7" numFmtId="0" xfId="0" applyAlignment="1" applyFill="1" applyFont="1">
      <alignment shrinkToFit="0" vertical="center" wrapText="0"/>
    </xf>
    <xf borderId="0" fillId="7" fontId="6" numFmtId="49" xfId="0" applyAlignment="1" applyFill="1" applyFont="1" applyNumberFormat="1">
      <alignment readingOrder="0" shrinkToFit="0" vertical="center" wrapText="0"/>
    </xf>
    <xf borderId="0" fillId="7" fontId="6" numFmtId="0" xfId="0" applyAlignment="1" applyFill="1" applyFont="1">
      <alignment shrinkToFit="0" vertical="center" wrapText="0"/>
    </xf>
    <xf borderId="3" fillId="3" fontId="12" numFmtId="0" xfId="0" applyAlignment="1" applyBorder="1" applyFill="1" applyFont="1">
      <alignment vertical="center"/>
    </xf>
    <xf borderId="0" fillId="7" fontId="6" numFmtId="0" xfId="0" applyAlignment="1" applyFill="1" applyFont="1">
      <alignment shrinkToFit="0" vertical="center" wrapText="0"/>
    </xf>
    <xf borderId="0" fillId="7" fontId="6" numFmtId="0" xfId="0" applyAlignment="1" applyFill="1" applyFont="1">
      <alignment readingOrder="0" shrinkToFit="0" vertical="center" wrapText="0"/>
    </xf>
    <xf borderId="0" fillId="3" fontId="6" numFmtId="164" xfId="0" applyAlignment="1" applyFill="1" applyFont="1" applyNumberFormat="1">
      <alignment readingOrder="0" shrinkToFit="0" vertical="center" wrapText="0"/>
    </xf>
    <xf borderId="0" fillId="8" fontId="6" numFmtId="164" xfId="0" applyAlignment="1" applyFill="1" applyFont="1" applyNumberFormat="1">
      <alignment shrinkToFit="0" vertical="center" wrapText="0"/>
    </xf>
    <xf borderId="3" fillId="3" fontId="12" numFmtId="9" xfId="0" applyAlignment="1" applyBorder="1" applyFill="1" applyFont="1" applyNumberFormat="1">
      <alignment vertical="center"/>
    </xf>
    <xf borderId="3" fillId="3" fontId="12" numFmtId="165" xfId="0" applyAlignment="1" applyBorder="1" applyFill="1" applyFont="1" applyNumberFormat="1">
      <alignment vertical="center"/>
    </xf>
    <xf borderId="0" fillId="6" fontId="6" numFmtId="0" xfId="0" applyAlignment="1" applyFill="1" applyFont="1">
      <alignment shrinkToFit="0" vertical="center" wrapText="0"/>
    </xf>
    <xf borderId="0" fillId="3" fontId="6" numFmtId="0" xfId="0" applyAlignment="1" applyFill="1" applyFont="1">
      <alignment shrinkToFit="0" vertical="center" wrapText="0"/>
    </xf>
    <xf borderId="0" fillId="3" fontId="6" numFmtId="164" xfId="0" applyAlignment="1" applyFill="1" applyFont="1" applyNumberFormat="1">
      <alignment shrinkToFit="0" vertical="center" wrapText="0"/>
    </xf>
    <xf borderId="0" fillId="3" fontId="6" numFmtId="165" xfId="0" applyAlignment="1" applyFill="1" applyFont="1" applyNumberFormat="1">
      <alignment shrinkToFit="0" vertical="center" wrapText="0"/>
    </xf>
    <xf borderId="0" fillId="3" fontId="6" numFmtId="9" xfId="0" applyAlignment="1" applyFill="1" applyFont="1" applyNumberFormat="1">
      <alignment shrinkToFit="0" vertical="center" wrapText="0"/>
    </xf>
    <xf borderId="0" fillId="6" fontId="6" numFmtId="165" xfId="0" applyAlignment="1" applyFill="1" applyFont="1" applyNumberFormat="1">
      <alignment shrinkToFit="0" vertical="center" wrapText="0"/>
    </xf>
    <xf borderId="0" fillId="6" fontId="6" numFmtId="166" xfId="0" applyAlignment="1" applyFill="1" applyFont="1" applyNumberFormat="1">
      <alignment shrinkToFit="0" vertical="center" wrapText="0"/>
    </xf>
    <xf borderId="1" fillId="9" fontId="3" numFmtId="0" xfId="0" applyBorder="1" applyFill="1" applyFont="1"/>
    <xf borderId="3" fillId="9" fontId="3" numFmtId="0" xfId="0" applyBorder="1" applyFill="1" applyFont="1"/>
    <xf borderId="0" fillId="4" fontId="13" numFmtId="0" xfId="0" applyAlignment="1" applyFill="1" applyFont="1">
      <alignment shrinkToFit="0" wrapText="1"/>
    </xf>
    <xf borderId="0" fillId="0" fontId="14" numFmtId="0" xfId="0" applyFont="1"/>
    <xf borderId="0" fillId="0" fontId="14" numFmtId="167" xfId="0" applyFont="1" applyNumberFormat="1"/>
    <xf borderId="0" fillId="6" fontId="15" numFmtId="166" xfId="0" applyAlignment="1" applyFill="1" applyFont="1" applyNumberFormat="1">
      <alignment readingOrder="0" shrinkToFit="0" vertical="center" wrapText="0"/>
    </xf>
    <xf borderId="0" fillId="6" fontId="6" numFmtId="0" xfId="0" applyAlignment="1" applyFill="1" applyFont="1">
      <alignment readingOrder="0" shrinkToFit="0" vertical="center" wrapText="0"/>
    </xf>
    <xf borderId="0" fillId="6" fontId="6" numFmtId="164" xfId="0" applyAlignment="1" applyFill="1" applyFont="1" applyNumberFormat="1">
      <alignment readingOrder="0" shrinkToFit="0" vertical="center" wrapText="0"/>
    </xf>
    <xf borderId="0" fillId="6" fontId="10" numFmtId="0" xfId="0" applyAlignment="1" applyFill="1" applyFont="1">
      <alignment horizontal="left" readingOrder="0" shrinkToFit="0" vertical="center" wrapText="0"/>
    </xf>
    <xf borderId="0" fillId="6" fontId="6" numFmtId="0" xfId="0" applyAlignment="1" applyFill="1" applyFont="1">
      <alignment readingOrder="0" shrinkToFit="0" vertical="center" wrapText="0"/>
    </xf>
    <xf borderId="0" fillId="6" fontId="6" numFmtId="49" xfId="0" applyAlignment="1" applyFill="1" applyFont="1" applyNumberFormat="1">
      <alignment readingOrder="0" shrinkToFit="0" vertical="center" wrapText="0"/>
    </xf>
    <xf borderId="0" fillId="6" fontId="6" numFmtId="0" xfId="0" applyAlignment="1" applyFill="1" applyFont="1">
      <alignment shrinkToFit="0" vertical="center" wrapText="0"/>
    </xf>
    <xf borderId="0" fillId="6" fontId="6" numFmtId="0" xfId="0" applyAlignment="1" applyFill="1" applyFont="1">
      <alignment readingOrder="0" shrinkToFit="0" vertical="center" wrapText="0"/>
    </xf>
    <xf borderId="0" fillId="3" fontId="6" numFmtId="0" xfId="0" applyAlignment="1" applyFill="1" applyFont="1">
      <alignment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3" fontId="6" numFmtId="0" xfId="0" applyAlignment="1" applyFill="1" applyFont="1">
      <alignment readingOrder="0" shrinkToFit="0" vertical="center" wrapText="0"/>
    </xf>
    <xf borderId="0" fillId="3" fontId="6" numFmtId="49" xfId="0" applyAlignment="1" applyFill="1" applyFont="1" applyNumberFormat="1">
      <alignment readingOrder="0" shrinkToFit="0" vertical="center" wrapText="0"/>
    </xf>
    <xf borderId="0" fillId="3" fontId="6" numFmtId="49" xfId="0" applyAlignment="1" applyFill="1" applyFont="1" applyNumberFormat="1">
      <alignment shrinkToFit="0" vertical="center" wrapText="0"/>
    </xf>
    <xf borderId="0" fillId="3" fontId="6" numFmtId="0" xfId="0" applyAlignment="1" applyFill="1" applyFont="1">
      <alignment shrinkToFit="0" vertical="center" wrapText="0"/>
    </xf>
    <xf borderId="0" fillId="3" fontId="6" numFmtId="0" xfId="0" applyAlignment="1" applyFill="1" applyFont="1">
      <alignment readingOrder="0" shrinkToFit="0" vertical="center" wrapText="0"/>
    </xf>
    <xf borderId="0" fillId="7" fontId="6" numFmtId="49" xfId="0" applyAlignment="1" applyFill="1" applyFont="1" applyNumberFormat="1">
      <alignment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7" fontId="10" numFmtId="0" xfId="0" applyAlignment="1" applyFill="1" applyFont="1">
      <alignment readingOrder="0" shrinkToFit="0" vertical="center" wrapText="0"/>
    </xf>
    <xf borderId="0" fillId="7" fontId="6" numFmtId="164" xfId="0" applyAlignment="1" applyFill="1" applyFont="1" applyNumberFormat="1">
      <alignment shrinkToFit="0" vertical="center" wrapText="0"/>
    </xf>
    <xf borderId="0" fillId="3" fontId="10" numFmtId="0" xfId="0" applyAlignment="1" applyFill="1" applyFont="1">
      <alignment readingOrder="0" shrinkToFit="0" vertical="center" wrapText="0"/>
    </xf>
    <xf borderId="0" fillId="0" fontId="17" numFmtId="0" xfId="0" applyFont="1"/>
    <xf borderId="0" fillId="0" fontId="10" numFmtId="0" xfId="0" applyAlignment="1" applyFont="1">
      <alignment shrinkToFit="0" vertical="bottom" wrapText="0"/>
    </xf>
    <xf borderId="0" fillId="0" fontId="18" numFmtId="0" xfId="0" applyAlignment="1" applyFont="1">
      <alignment shrinkToFit="0" vertical="bottom" wrapText="0"/>
    </xf>
    <xf borderId="0" fillId="0" fontId="18" numFmtId="49" xfId="0" applyAlignment="1" applyFont="1" applyNumberFormat="1">
      <alignment readingOrder="0" shrinkToFit="0" vertical="bottom" wrapText="0"/>
    </xf>
    <xf borderId="0" fillId="0" fontId="18" numFmtId="49" xfId="0" applyAlignment="1" applyFont="1" applyNumberFormat="1">
      <alignment shrinkToFit="0" vertical="bottom" wrapText="0"/>
    </xf>
    <xf borderId="0" fillId="0" fontId="18" numFmtId="49" xfId="0" applyAlignment="1" applyFont="1" applyNumberFormat="1">
      <alignment horizontal="right" readingOrder="0" shrinkToFit="0" vertical="bottom" wrapText="0"/>
    </xf>
    <xf borderId="0" fillId="0" fontId="18" numFmtId="49" xfId="0" applyAlignment="1" applyFont="1" applyNumberFormat="1">
      <alignment horizontal="right" shrinkToFit="0" vertical="bottom" wrapText="0"/>
    </xf>
    <xf borderId="0" fillId="0" fontId="19" numFmtId="49" xfId="0" applyAlignment="1" applyFont="1" applyNumberFormat="1">
      <alignment readingOrder="0" shrinkToFit="0" vertical="bottom" wrapText="0"/>
    </xf>
    <xf borderId="1" fillId="5" fontId="3" numFmtId="0" xfId="0" applyBorder="1" applyFill="1" applyFont="1"/>
    <xf borderId="3" fillId="5" fontId="3" numFmtId="0" xfId="0" applyBorder="1" applyFill="1" applyFont="1"/>
    <xf borderId="0" fillId="0" fontId="7" numFmtId="166" xfId="0" applyFont="1" applyNumberFormat="1"/>
    <xf borderId="0" fillId="0" fontId="7" numFmtId="9" xfId="0" applyFont="1" applyNumberFormat="1"/>
    <xf borderId="0" fillId="0" fontId="7" numFmtId="165" xfId="0" applyFont="1" applyNumberFormat="1"/>
    <xf borderId="12" fillId="4" fontId="3" numFmtId="0" xfId="0" applyAlignment="1" applyBorder="1" applyFill="1" applyFont="1">
      <alignment shrinkToFit="0" vertical="center" wrapText="1"/>
    </xf>
    <xf borderId="13" fillId="3" fontId="7" numFmtId="0" xfId="0" applyAlignment="1" applyBorder="1" applyFill="1" applyFont="1">
      <alignment shrinkToFit="0" wrapText="1"/>
    </xf>
    <xf borderId="14" fillId="3" fontId="7" numFmtId="0" xfId="0" applyAlignment="1" applyBorder="1" applyFill="1" applyFont="1">
      <alignment shrinkToFit="0" wrapText="1"/>
    </xf>
    <xf borderId="15" fillId="3" fontId="7" numFmtId="0" xfId="0" applyAlignment="1" applyBorder="1" applyFill="1" applyFont="1">
      <alignment shrinkToFit="0" wrapText="1"/>
    </xf>
    <xf borderId="4" fillId="6" fontId="20" numFmtId="0" xfId="0" applyAlignment="1" applyBorder="1" applyFill="1" applyFont="1">
      <alignment shrinkToFit="0" vertical="top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0" fillId="7" fontId="10" numFmtId="0" xfId="0" applyAlignment="1" applyFill="1" applyFont="1">
      <alignment shrinkToFit="0" vertical="bottom" wrapText="0"/>
    </xf>
    <xf borderId="0" fillId="7" fontId="18" numFmtId="0" xfId="0" applyAlignment="1" applyFill="1" applyFont="1">
      <alignment shrinkToFit="0" vertical="bottom" wrapText="0"/>
    </xf>
    <xf borderId="0" fillId="7" fontId="18" numFmtId="49" xfId="0" applyAlignment="1" applyFill="1" applyFont="1" applyNumberFormat="1">
      <alignment readingOrder="0" shrinkToFit="0" vertical="bottom" wrapText="0"/>
    </xf>
    <xf borderId="0" fillId="7" fontId="18" numFmtId="49" xfId="0" applyAlignment="1" applyFill="1" applyFont="1" applyNumberFormat="1">
      <alignment shrinkToFit="0" vertical="bottom" wrapText="0"/>
    </xf>
    <xf borderId="0" fillId="7" fontId="6" numFmtId="165" xfId="0" applyAlignment="1" applyFill="1" applyFont="1" applyNumberFormat="1">
      <alignment shrinkToFit="0" vertical="center" wrapText="0"/>
    </xf>
    <xf borderId="0" fillId="7" fontId="6" numFmtId="9" xfId="0" applyAlignment="1" applyFill="1" applyFont="1" applyNumberFormat="1">
      <alignment shrinkToFit="0" vertical="center" wrapText="0"/>
    </xf>
    <xf borderId="0" fillId="5" fontId="6" numFmtId="0" xfId="0" applyAlignment="1" applyFill="1" applyFont="1">
      <alignment readingOrder="0" shrinkToFit="0" vertical="center" wrapText="0"/>
    </xf>
    <xf borderId="0" fillId="5" fontId="6" numFmtId="164" xfId="0" applyAlignment="1" applyFill="1" applyFont="1" applyNumberFormat="1">
      <alignment readingOrder="0" shrinkToFit="0" vertical="center" wrapText="0"/>
    </xf>
    <xf borderId="0" fillId="5" fontId="10" numFmtId="0" xfId="0" applyAlignment="1" applyFill="1" applyFont="1">
      <alignment shrinkToFit="0" vertical="bottom" wrapText="0"/>
    </xf>
    <xf borderId="0" fillId="5" fontId="18" numFmtId="0" xfId="0" applyAlignment="1" applyFill="1" applyFont="1">
      <alignment shrinkToFit="0" vertical="bottom" wrapText="0"/>
    </xf>
    <xf borderId="0" fillId="5" fontId="18" numFmtId="49" xfId="0" applyAlignment="1" applyFill="1" applyFont="1" applyNumberFormat="1">
      <alignment readingOrder="0" shrinkToFit="0" vertical="bottom" wrapText="0"/>
    </xf>
    <xf borderId="0" fillId="5" fontId="18" numFmtId="49" xfId="0" applyAlignment="1" applyFill="1" applyFont="1" applyNumberFormat="1">
      <alignment shrinkToFit="0" vertical="bottom" wrapText="0"/>
    </xf>
    <xf borderId="0" fillId="5" fontId="6" numFmtId="0" xfId="0" applyAlignment="1" applyFill="1" applyFont="1">
      <alignment readingOrder="0" shrinkToFit="0" vertical="center" wrapText="0"/>
    </xf>
    <xf borderId="0" fillId="5" fontId="6" numFmtId="0" xfId="0" applyAlignment="1" applyFill="1" applyFont="1">
      <alignment readingOrder="0" shrinkToFit="0" vertical="center" wrapText="0"/>
    </xf>
    <xf borderId="0" fillId="5" fontId="6" numFmtId="0" xfId="0" applyAlignment="1" applyFill="1" applyFont="1">
      <alignment shrinkToFit="0" vertical="center" wrapText="0"/>
    </xf>
    <xf borderId="0" fillId="5" fontId="6" numFmtId="0" xfId="0" applyAlignment="1" applyFill="1" applyFont="1">
      <alignment shrinkToFit="0" vertical="center" wrapText="0"/>
    </xf>
    <xf borderId="0" fillId="5" fontId="6" numFmtId="164" xfId="0" applyAlignment="1" applyFill="1" applyFont="1" applyNumberFormat="1">
      <alignment shrinkToFit="0" vertical="center" wrapText="0"/>
    </xf>
    <xf borderId="0" fillId="5" fontId="6" numFmtId="165" xfId="0" applyAlignment="1" applyFill="1" applyFont="1" applyNumberFormat="1">
      <alignment shrinkToFit="0" vertical="center" wrapText="0"/>
    </xf>
    <xf borderId="0" fillId="5" fontId="6" numFmtId="9" xfId="0" applyAlignment="1" applyFill="1" applyFont="1" applyNumberFormat="1">
      <alignment shrinkToFit="0" vertical="center" wrapText="0"/>
    </xf>
    <xf borderId="0" fillId="5" fontId="6" numFmtId="166" xfId="0" applyAlignment="1" applyFill="1" applyFont="1" applyNumberFormat="1">
      <alignment shrinkToFit="0" vertical="center" wrapText="0"/>
    </xf>
    <xf borderId="0" fillId="0" fontId="21" numFmtId="0" xfId="0" applyAlignment="1" applyFont="1">
      <alignment readingOrder="0" shrinkToFit="0" vertical="center" wrapText="0"/>
    </xf>
    <xf borderId="0" fillId="3" fontId="22" numFmtId="49" xfId="0" applyAlignment="1" applyFill="1" applyFont="1" applyNumberFormat="1">
      <alignment readingOrder="0" shrinkToFit="0" vertical="center" wrapText="0"/>
    </xf>
    <xf borderId="0" fillId="3" fontId="23" numFmtId="49" xfId="0" applyAlignment="1" applyFill="1" applyFont="1" applyNumberFormat="1">
      <alignment readingOrder="0" shrinkToFit="0" vertical="center" wrapText="0"/>
    </xf>
    <xf borderId="0" fillId="3" fontId="24" numFmtId="0" xfId="0" applyAlignment="1" applyFill="1" applyFont="1">
      <alignment readingOrder="0" shrinkToFit="0" vertical="center" wrapText="0"/>
    </xf>
    <xf borderId="0" fillId="0" fontId="25" numFmtId="49" xfId="0" applyAlignment="1" applyFont="1" applyNumberFormat="1">
      <alignment readingOrder="0" shrinkToFit="0" vertical="center" wrapText="0"/>
    </xf>
    <xf borderId="0" fillId="3" fontId="6" numFmtId="0" xfId="0" applyAlignment="1" applyFill="1" applyFont="1">
      <alignment shrinkToFit="0" vertical="center" wrapText="0"/>
    </xf>
    <xf borderId="0" fillId="7" fontId="6" numFmtId="166" xfId="0" applyAlignment="1" applyFill="1" applyFont="1" applyNumberFormat="1">
      <alignment shrinkToFit="0" vertical="center" wrapText="0"/>
    </xf>
    <xf borderId="0" fillId="3" fontId="10" numFmtId="0" xfId="0" applyAlignment="1" applyFill="1" applyFont="1">
      <alignment shrinkToFit="0" vertical="center" wrapText="0"/>
    </xf>
    <xf borderId="0" fillId="3" fontId="6" numFmtId="0" xfId="0" applyAlignment="1" applyFill="1" applyFont="1">
      <alignment shrinkToFit="0" vertical="center" wrapText="0"/>
    </xf>
    <xf borderId="0" fillId="3" fontId="6" numFmtId="0" xfId="0" applyAlignment="1" applyFill="1" applyFont="1">
      <alignment shrinkToFit="0" vertical="center" wrapText="0"/>
    </xf>
    <xf borderId="0" fillId="3" fontId="6" numFmtId="164" xfId="0" applyAlignment="1" applyFill="1" applyFont="1" applyNumberFormat="1">
      <alignment readingOrder="0" shrinkToFit="0" vertical="center" wrapText="0"/>
    </xf>
    <xf borderId="0" fillId="3" fontId="6" numFmtId="0" xfId="0" applyAlignment="1" applyFill="1" applyFont="1">
      <alignment shrinkToFit="0" vertical="center" wrapText="0"/>
    </xf>
    <xf borderId="0" fillId="3" fontId="6" numFmtId="49" xfId="0" applyAlignment="1" applyFill="1" applyFont="1" applyNumberFormat="1">
      <alignment shrinkToFit="0" vertical="center" wrapText="0"/>
    </xf>
    <xf borderId="0" fillId="3" fontId="6" numFmtId="0" xfId="0" applyAlignment="1" applyFill="1" applyFont="1">
      <alignment shrinkToFit="0" vertical="center" wrapText="0"/>
    </xf>
    <xf borderId="0" fillId="3" fontId="6" numFmtId="0" xfId="0" applyAlignment="1" applyFill="1" applyFont="1">
      <alignment shrinkToFit="0" vertical="center" wrapText="0"/>
    </xf>
    <xf borderId="0" fillId="3" fontId="6" numFmtId="164" xfId="0" applyAlignment="1" applyFill="1" applyFont="1" applyNumberFormat="1">
      <alignment shrinkToFit="0" vertical="center" wrapText="0"/>
    </xf>
    <xf borderId="0" fillId="6" fontId="6" numFmtId="0" xfId="0" applyAlignment="1" applyFill="1" applyFont="1">
      <alignment shrinkToFit="0" vertical="center" wrapText="0"/>
    </xf>
    <xf borderId="0" fillId="3" fontId="6" numFmtId="165" xfId="0" applyAlignment="1" applyFill="1" applyFont="1" applyNumberFormat="1">
      <alignment shrinkToFit="0" vertical="center" wrapText="0"/>
    </xf>
    <xf borderId="0" fillId="3" fontId="6" numFmtId="9" xfId="0" applyAlignment="1" applyFill="1" applyFont="1" applyNumberFormat="1">
      <alignment shrinkToFit="0" vertical="center" wrapText="0"/>
    </xf>
    <xf borderId="0" fillId="6" fontId="6" numFmtId="165" xfId="0" applyAlignment="1" applyFill="1" applyFont="1" applyNumberFormat="1">
      <alignment shrinkToFit="0" vertical="center" wrapText="0"/>
    </xf>
    <xf borderId="0" fillId="6" fontId="6" numFmtId="166" xfId="0" applyAlignment="1" applyFill="1" applyFont="1" applyNumberFormat="1">
      <alignment shrinkToFit="0" vertical="center" wrapText="0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  <color rgb="FFB91C1C"/>
      </font>
      <fill>
        <patternFill patternType="solid">
          <fgColor rgb="FFFEE2E2"/>
          <bgColor rgb="FFFEE2E2"/>
        </patternFill>
      </fill>
      <border/>
    </dxf>
    <dxf>
      <font>
        <b/>
        <color rgb="FFB45309"/>
      </font>
      <fill>
        <patternFill patternType="solid">
          <fgColor rgb="FFFEF3C7"/>
          <bgColor rgb="FFFEF3C7"/>
        </patternFill>
      </fill>
      <border/>
    </dxf>
    <dxf>
      <font>
        <color rgb="FF2563EB"/>
      </font>
      <fill>
        <patternFill patternType="solid">
          <fgColor rgb="FFDBEAFE"/>
          <bgColor rgb="FFDBEAFE"/>
        </patternFill>
      </fill>
      <border/>
    </dxf>
    <dxf>
      <font>
        <b/>
        <color rgb="FF15803D"/>
      </font>
      <fill>
        <patternFill patternType="solid">
          <fgColor rgb="FFDCFCE7"/>
          <bgColor rgb="FFDCFCE7"/>
        </patternFill>
      </fill>
      <border/>
    </dxf>
    <dxf>
      <font>
        <color rgb="FF475569"/>
      </font>
      <fill>
        <patternFill patternType="solid">
          <fgColor rgb="FFE5E7EB"/>
          <bgColor rgb="FFE5E7EB"/>
        </patternFill>
      </fill>
      <border/>
    </dxf>
    <dxf>
      <font>
        <color rgb="FFB91C1C"/>
      </font>
      <fill>
        <patternFill patternType="solid">
          <fgColor rgb="FFFEE2E2"/>
          <bgColor rgb="FFFEE2E2"/>
        </patternFill>
      </fill>
      <border/>
    </dxf>
    <dxf>
      <font>
        <color rgb="FF15803D"/>
      </font>
      <fill>
        <patternFill patternType="solid">
          <fgColor rgb="FFDCFCE7"/>
          <bgColor rgb="FFDCFCE7"/>
        </patternFill>
      </fill>
      <border/>
    </dxf>
  </dxfs>
  <tableStyles count="2">
    <tableStyle count="4" pivot="0" name="Contact 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ster Lead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Leads and Conversions</a:t>
            </a:r>
          </a:p>
        </c:rich>
      </c:tx>
      <c:overlay val="0"/>
    </c:title>
    <c:plotArea>
      <c:layout/>
      <c:lineChart>
        <c:ser>
          <c:idx val="0"/>
          <c:order val="0"/>
          <c:tx>
            <c:v>New Leads</c:v>
          </c:tx>
          <c:spPr>
            <a:ln cmpd="sng">
              <a:solidFill>
                <a:srgbClr val="2563EB"/>
              </a:solidFill>
            </a:ln>
          </c:spPr>
          <c:marker>
            <c:symbol val="none"/>
          </c:marker>
          <c:cat>
            <c:strRef>
              <c:f>'Monthly Analytics'!$J$6:$J$17</c:f>
            </c:strRef>
          </c:cat>
          <c:val>
            <c:numRef>
              <c:f>'Monthly Analytics'!$B$6:$B$17</c:f>
              <c:numCache/>
            </c:numRef>
          </c:val>
          <c:smooth val="0"/>
        </c:ser>
        <c:ser>
          <c:idx val="1"/>
          <c:order val="1"/>
          <c:tx>
            <c:v>Converted</c:v>
          </c:tx>
          <c:spPr>
            <a:ln cmpd="sng">
              <a:solidFill>
                <a:srgbClr val="15803D"/>
              </a:solidFill>
            </a:ln>
          </c:spPr>
          <c:marker>
            <c:symbol val="none"/>
          </c:marker>
          <c:cat>
            <c:strRef>
              <c:f>'Monthly Analytics'!$J$6:$J$17</c:f>
            </c:strRef>
          </c:cat>
          <c:val>
            <c:numRef>
              <c:f>'Monthly Analytics'!$C$6:$C$17</c:f>
              <c:numCache/>
            </c:numRef>
          </c:val>
          <c:smooth val="0"/>
        </c:ser>
        <c:axId val="1024104830"/>
        <c:axId val="1440634226"/>
      </c:lineChart>
      <c:catAx>
        <c:axId val="10241048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600">
                <a:solidFill>
                  <a:srgbClr val="000000"/>
                </a:solidFill>
                <a:latin typeface="+mn-lt"/>
              </a:defRPr>
            </a:pPr>
          </a:p>
        </c:txPr>
        <c:crossAx val="1440634226"/>
      </c:catAx>
      <c:valAx>
        <c:axId val="14406342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410483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Open Pipeline by Department / Product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Open Pipeline</c:v>
          </c:tx>
          <c:spPr>
            <a:solidFill>
              <a:srgbClr val="2563EB"/>
            </a:solidFill>
            <a:ln cmpd="sng">
              <a:noFill/>
            </a:ln>
          </c:spPr>
          <c:invertIfNegative val="0"/>
          <c:cat>
            <c:strRef>
              <c:f>'Dept Analytics'!$A$6:$A$14</c:f>
            </c:strRef>
          </c:cat>
          <c:val>
            <c:numRef>
              <c:f>'Dept Analytics'!$I$6:$I$14</c:f>
              <c:numCache/>
            </c:numRef>
          </c:val>
        </c:ser>
        <c:axId val="1757747076"/>
        <c:axId val="2045608596"/>
      </c:barChart>
      <c:catAx>
        <c:axId val="17577470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600">
                <a:solidFill>
                  <a:srgbClr val="000000"/>
                </a:solidFill>
                <a:latin typeface="+mn-lt"/>
              </a:defRPr>
            </a:pPr>
          </a:p>
        </c:txPr>
        <c:crossAx val="2045608596"/>
      </c:catAx>
      <c:valAx>
        <c:axId val="20456085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₹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7747076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0</xdr:rowOff>
    </xdr:from>
    <xdr:ext cx="7191375" cy="32004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13</xdr:row>
      <xdr:rowOff>0</xdr:rowOff>
    </xdr:from>
    <xdr:ext cx="6238875" cy="32004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AI496" displayName="MasterLeadsTable" name="MasterLeadsTable" id="2">
  <tableColumns count="35">
    <tableColumn name="Lead ID" id="1"/>
    <tableColumn name="Date Added" id="2"/>
    <tableColumn name="Company / Person" id="3"/>
    <tableColumn name="Contact Person" id="4"/>
    <tableColumn name="Phone / WhatsApp" id="5"/>
    <tableColumn name="Email" id="6"/>
    <tableColumn name="City" id="7"/>
    <tableColumn name="Country" id="8"/>
    <tableColumn name="Market" id="9"/>
    <tableColumn name="Business Side" id="10"/>
    <tableColumn name="Department / Product" id="11"/>
    <tableColumn name="Category" id="12"/>
    <tableColumn name="Requirement / Interested In" id="13"/>
    <tableColumn name="Lead Source" id="14"/>
    <tableColumn name="Assigned To" id="15"/>
    <tableColumn name="Priority" id="16"/>
    <tableColumn name="Sales Stage" id="17"/>
    <tableColumn name="Follow-Up Round" id="18"/>
    <tableColumn name="Last Contact Date" id="19"/>
    <tableColumn name="Next Follow-Up Date" id="20"/>
    <tableColumn name="Follow-Up Status" id="21"/>
    <tableColumn name="Next Action" id="22"/>
    <tableColumn name="Meeting / Demo Date" id="23"/>
    <tableColumn name="Proposal Date" id="24"/>
    <tableColumn name="Deal Value (INR)" id="25"/>
    <tableColumn name="Probability" id="26"/>
    <tableColumn name="Weighted Pipeline" id="27"/>
    <tableColumn name="Conversion / Close Date" id="28"/>
    <tableColumn name="Lost / Closed Reason" id="29"/>
    <tableColumn name="Notes" id="30"/>
    <tableColumn name="Lead Month" id="31"/>
    <tableColumn name="Conversion Month" id="32"/>
    <tableColumn name="Open?" id="33"/>
    <tableColumn name="Converted?" id="34"/>
    <tableColumn name="Follow-Up Due?" id="35"/>
  </tableColumns>
  <tableStyleInfo name="Master Leads-style" showColumnStripes="0" showFirstColumn="1" showLastColumn="1" showRowStripes="1"/>
</table>
</file>

<file path=xl/tables/table2.xml><?xml version="1.0" encoding="utf-8"?>
<table xmlns="http://schemas.openxmlformats.org/spreadsheetml/2006/main" ref="A5:J505" displayName="ContactLogTable" name="ContactLogTable" id="1">
  <tableColumns count="10">
    <tableColumn name="Activity ID" id="1"/>
    <tableColumn name="Contact Date" id="2"/>
    <tableColumn name="Lead ID" id="3"/>
    <tableColumn name="Company / Person" id="4"/>
    <tableColumn name="Contact Type" id="5"/>
    <tableColumn name="Follow-Up Round" id="6"/>
    <tableColumn name="Outcome" id="7"/>
    <tableColumn name="Next Follow-Up Date" id="8"/>
    <tableColumn name="Assigned To" id="9"/>
    <tableColumn name="Notes" id="10"/>
  </tableColumns>
  <tableStyleInfo name="Contact 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fricasmeassembly.org/" TargetMode="External"/><Relationship Id="rId2" Type="http://schemas.openxmlformats.org/officeDocument/2006/relationships/hyperlink" Target="mailto:ririadzivor@gmail.com" TargetMode="External"/><Relationship Id="rId3" Type="http://schemas.openxmlformats.org/officeDocument/2006/relationships/hyperlink" Target="mailto:vivekmore85@gmail.com" TargetMode="External"/><Relationship Id="rId4" Type="http://schemas.openxmlformats.org/officeDocument/2006/relationships/drawing" Target="../drawings/drawing2.xml"/><Relationship Id="rId6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africasmeassembly.org/" TargetMode="External"/><Relationship Id="rId2" Type="http://schemas.openxmlformats.org/officeDocument/2006/relationships/hyperlink" Target="mailto:ririadzivor@gmail.com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vivekmore85@gmail.com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75"/>
    <col customWidth="1" min="2" max="2" width="51.25"/>
    <col customWidth="1" min="3" max="3" width="30.0"/>
    <col customWidth="1" min="4" max="10" width="5.0"/>
    <col customWidth="1" min="11" max="26" width="8.63"/>
  </cols>
  <sheetData>
    <row r="1" ht="27.0" customHeight="1">
      <c r="A1" s="1" t="s">
        <v>0</v>
      </c>
    </row>
    <row r="2" ht="25.5" customHeight="1">
      <c r="A2" s="2" t="s">
        <v>1</v>
      </c>
    </row>
    <row r="4">
      <c r="A4" s="3" t="s">
        <v>2</v>
      </c>
      <c r="B4" s="4"/>
      <c r="C4" s="4"/>
      <c r="D4" s="4"/>
      <c r="E4" s="4"/>
      <c r="F4" s="4"/>
      <c r="G4" s="4"/>
      <c r="H4" s="4"/>
      <c r="I4" s="4"/>
      <c r="J4" s="5"/>
    </row>
    <row r="5" ht="25.5" customHeight="1">
      <c r="A5" s="6" t="s">
        <v>3</v>
      </c>
      <c r="B5" s="7" t="s">
        <v>4</v>
      </c>
    </row>
    <row r="6" ht="25.5" customHeight="1">
      <c r="A6" s="6" t="s">
        <v>5</v>
      </c>
      <c r="B6" s="7" t="s">
        <v>6</v>
      </c>
    </row>
    <row r="7" ht="25.5" customHeight="1">
      <c r="A7" s="6" t="s">
        <v>7</v>
      </c>
      <c r="B7" s="7" t="s">
        <v>8</v>
      </c>
    </row>
    <row r="8" ht="25.5" customHeight="1">
      <c r="A8" s="6" t="s">
        <v>9</v>
      </c>
      <c r="B8" s="7" t="s">
        <v>10</v>
      </c>
    </row>
    <row r="9" ht="25.5" customHeight="1">
      <c r="A9" s="6" t="s">
        <v>11</v>
      </c>
      <c r="B9" s="7" t="s">
        <v>12</v>
      </c>
    </row>
    <row r="10" ht="25.5" customHeight="1">
      <c r="A10" s="6" t="s">
        <v>13</v>
      </c>
      <c r="B10" s="7" t="s">
        <v>14</v>
      </c>
    </row>
    <row r="11" ht="25.5" customHeight="1">
      <c r="A11" s="6" t="s">
        <v>15</v>
      </c>
      <c r="B11" s="7" t="s">
        <v>16</v>
      </c>
    </row>
    <row r="12" ht="25.5" customHeight="1">
      <c r="A12" s="6" t="s">
        <v>17</v>
      </c>
      <c r="B12" s="7" t="s">
        <v>18</v>
      </c>
    </row>
    <row r="14">
      <c r="A14" s="3" t="s">
        <v>19</v>
      </c>
      <c r="B14" s="4"/>
      <c r="C14" s="4"/>
      <c r="D14" s="4"/>
      <c r="E14" s="4"/>
      <c r="F14" s="4"/>
      <c r="G14" s="4"/>
      <c r="H14" s="4"/>
      <c r="I14" s="4"/>
      <c r="J14" s="5"/>
    </row>
    <row r="15">
      <c r="A15" s="3" t="s">
        <v>20</v>
      </c>
      <c r="B15" s="8" t="s">
        <v>21</v>
      </c>
      <c r="C15" s="9" t="s">
        <v>22</v>
      </c>
    </row>
    <row r="16">
      <c r="A16" s="10" t="s">
        <v>23</v>
      </c>
      <c r="B16" s="11" t="s">
        <v>24</v>
      </c>
      <c r="C16" s="12" t="s">
        <v>25</v>
      </c>
    </row>
    <row r="17">
      <c r="A17" s="13" t="s">
        <v>26</v>
      </c>
      <c r="B17" s="14" t="s">
        <v>27</v>
      </c>
      <c r="C17" s="15" t="s">
        <v>28</v>
      </c>
    </row>
    <row r="18">
      <c r="A18" s="13" t="s">
        <v>29</v>
      </c>
      <c r="B18" s="14" t="s">
        <v>30</v>
      </c>
      <c r="C18" s="15" t="s">
        <v>31</v>
      </c>
    </row>
    <row r="19">
      <c r="A19" s="13" t="s">
        <v>32</v>
      </c>
      <c r="B19" s="14" t="s">
        <v>33</v>
      </c>
      <c r="C19" s="15" t="s">
        <v>34</v>
      </c>
    </row>
    <row r="20">
      <c r="A20" s="16" t="s">
        <v>35</v>
      </c>
      <c r="B20" s="17" t="s">
        <v>36</v>
      </c>
      <c r="C20" s="18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9:J9"/>
    <mergeCell ref="B10:J10"/>
    <mergeCell ref="B11:J11"/>
    <mergeCell ref="B12:J12"/>
    <mergeCell ref="A14:J14"/>
    <mergeCell ref="A1:J1"/>
    <mergeCell ref="A2:J2"/>
    <mergeCell ref="A4:J4"/>
    <mergeCell ref="B5:J5"/>
    <mergeCell ref="B6:J6"/>
    <mergeCell ref="B7:J7"/>
    <mergeCell ref="B8:J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38"/>
    <col customWidth="1" min="2" max="2" width="13.88"/>
    <col customWidth="1" min="3" max="3" width="27.38"/>
    <col customWidth="1" min="4" max="4" width="19.88"/>
    <col customWidth="1" min="5" max="5" width="32.75"/>
    <col customWidth="1" min="6" max="6" width="46.75"/>
    <col customWidth="1" min="7" max="7" width="13.75"/>
    <col customWidth="1" min="8" max="8" width="13.13"/>
    <col customWidth="1" min="9" max="9" width="13.75"/>
    <col customWidth="1" min="10" max="10" width="15.13"/>
    <col customWidth="1" min="11" max="11" width="19.75"/>
    <col customWidth="1" min="12" max="12" width="16.0"/>
    <col customWidth="1" min="13" max="13" width="27.5"/>
    <col customWidth="1" min="14" max="14" width="14.38"/>
    <col customWidth="1" min="15" max="15" width="16.63"/>
    <col customWidth="1" min="16" max="16" width="13.13"/>
    <col customWidth="1" min="17" max="17" width="14.38"/>
    <col customWidth="1" min="18" max="18" width="17.25"/>
    <col customWidth="1" min="19" max="19" width="15.38"/>
    <col customWidth="1" min="20" max="20" width="17.25"/>
    <col customWidth="1" min="21" max="21" width="14.38"/>
    <col customWidth="1" min="22" max="22" width="26.25"/>
    <col customWidth="1" min="23" max="23" width="17.5"/>
    <col customWidth="1" min="24" max="24" width="16.25"/>
    <col customWidth="1" min="25" max="25" width="17.63"/>
    <col customWidth="1" min="26" max="26" width="15.88"/>
    <col customWidth="1" min="27" max="27" width="16.75"/>
    <col customWidth="1" min="28" max="28" width="19.38"/>
    <col customWidth="1" min="29" max="29" width="21.25"/>
    <col customWidth="1" min="30" max="30" width="30.0"/>
    <col customWidth="1" min="31" max="31" width="13.88"/>
    <col customWidth="1" min="32" max="32" width="16.75"/>
    <col customWidth="1" min="33" max="33" width="15.75"/>
    <col customWidth="1" min="34" max="34" width="16.38"/>
    <col customWidth="1" min="35" max="35" width="14.63"/>
  </cols>
  <sheetData>
    <row r="1" ht="27.0" customHeight="1">
      <c r="A1" s="1" t="s">
        <v>41</v>
      </c>
    </row>
    <row r="2" ht="25.5" customHeight="1">
      <c r="A2" s="2" t="s">
        <v>43</v>
      </c>
    </row>
    <row r="3">
      <c r="A3" s="20" t="s">
        <v>46</v>
      </c>
    </row>
    <row r="5" ht="22.5" customHeight="1">
      <c r="A5" s="19" t="s">
        <v>44</v>
      </c>
      <c r="B5" s="19" t="s">
        <v>51</v>
      </c>
      <c r="C5" s="19" t="s">
        <v>45</v>
      </c>
      <c r="D5" s="19" t="s">
        <v>53</v>
      </c>
      <c r="E5" s="19" t="s">
        <v>54</v>
      </c>
      <c r="F5" s="19" t="s">
        <v>55</v>
      </c>
      <c r="G5" s="19" t="s">
        <v>56</v>
      </c>
      <c r="H5" s="19" t="s">
        <v>57</v>
      </c>
      <c r="I5" s="19" t="s">
        <v>58</v>
      </c>
      <c r="J5" s="19" t="s">
        <v>59</v>
      </c>
      <c r="K5" s="19" t="s">
        <v>60</v>
      </c>
      <c r="L5" s="19" t="s">
        <v>61</v>
      </c>
      <c r="M5" s="19" t="s">
        <v>62</v>
      </c>
      <c r="N5" s="19" t="s">
        <v>63</v>
      </c>
      <c r="O5" s="19" t="s">
        <v>50</v>
      </c>
      <c r="P5" s="19" t="s">
        <v>23</v>
      </c>
      <c r="Q5" s="19" t="s">
        <v>29</v>
      </c>
      <c r="R5" s="19" t="s">
        <v>26</v>
      </c>
      <c r="S5" s="19" t="s">
        <v>65</v>
      </c>
      <c r="T5" s="19" t="s">
        <v>49</v>
      </c>
      <c r="U5" s="19" t="s">
        <v>67</v>
      </c>
      <c r="V5" s="19" t="s">
        <v>68</v>
      </c>
      <c r="W5" s="19" t="s">
        <v>69</v>
      </c>
      <c r="X5" s="19" t="s">
        <v>70</v>
      </c>
      <c r="Y5" s="19" t="s">
        <v>71</v>
      </c>
      <c r="Z5" s="19" t="s">
        <v>72</v>
      </c>
      <c r="AA5" s="19" t="s">
        <v>73</v>
      </c>
      <c r="AB5" s="19" t="s">
        <v>74</v>
      </c>
      <c r="AC5" s="19" t="s">
        <v>75</v>
      </c>
      <c r="AD5" s="19" t="s">
        <v>52</v>
      </c>
      <c r="AE5" s="19" t="s">
        <v>76</v>
      </c>
      <c r="AF5" s="19" t="s">
        <v>77</v>
      </c>
      <c r="AG5" s="19" t="s">
        <v>78</v>
      </c>
      <c r="AH5" s="19" t="s">
        <v>79</v>
      </c>
      <c r="AI5" s="19" t="s">
        <v>80</v>
      </c>
    </row>
    <row r="6" ht="22.5" customHeight="1">
      <c r="A6" s="25">
        <v>1.0</v>
      </c>
      <c r="B6" s="26">
        <v>46264.0</v>
      </c>
      <c r="C6" s="27" t="s">
        <v>82</v>
      </c>
      <c r="D6" s="29" t="s">
        <v>84</v>
      </c>
      <c r="E6" s="31" t="s">
        <v>86</v>
      </c>
      <c r="F6" s="31" t="s">
        <v>87</v>
      </c>
      <c r="G6" s="29" t="s">
        <v>88</v>
      </c>
      <c r="H6" s="29" t="s">
        <v>89</v>
      </c>
      <c r="I6" s="32" t="s">
        <v>89</v>
      </c>
      <c r="J6" s="32" t="s">
        <v>90</v>
      </c>
      <c r="K6" s="32" t="s">
        <v>91</v>
      </c>
      <c r="L6" s="32" t="s">
        <v>92</v>
      </c>
      <c r="M6" s="34"/>
      <c r="N6" s="35" t="s">
        <v>94</v>
      </c>
      <c r="O6" s="35" t="s">
        <v>95</v>
      </c>
      <c r="P6" s="32" t="s">
        <v>96</v>
      </c>
      <c r="Q6" s="35" t="s">
        <v>32</v>
      </c>
      <c r="R6" s="35" t="s">
        <v>97</v>
      </c>
      <c r="S6" s="36">
        <v>46254.0</v>
      </c>
      <c r="T6" s="37"/>
      <c r="U6" s="40" t="str">
        <f t="shared" ref="U6:U82" si="1">IF($A6="","",IF(OR($Q6="Converted",$Q6="Closed",$Q6="Lost"),"Completed",IF($T6="","Not Scheduled",IF($T6&lt;TODAY(),"Overdue",IF($T6=TODAY(),"Due Today","Upcoming")))))</f>
        <v>Completed</v>
      </c>
      <c r="V6" s="41"/>
      <c r="W6" s="42"/>
      <c r="X6" s="42"/>
      <c r="Y6" s="43"/>
      <c r="Z6" s="44">
        <v>0.1</v>
      </c>
      <c r="AA6" s="45">
        <f t="shared" ref="AA6:AA496" si="2">IF($A6="","",IFERROR($Y6*$Z6,0))</f>
        <v>0</v>
      </c>
      <c r="AB6" s="36">
        <v>46235.0</v>
      </c>
      <c r="AC6" s="41"/>
      <c r="AD6" s="41"/>
      <c r="AE6" s="46">
        <f t="shared" ref="AE6:AE496" si="3">IF($B6="","",DATE(YEAR($B6),MONTH($B6),1))</f>
        <v>46235</v>
      </c>
      <c r="AF6" s="46">
        <f>IF($AB6="","",DATE(YEAR($AB6),MONTH($AB6),1))</f>
        <v>46235</v>
      </c>
      <c r="AG6" s="40" t="str">
        <f t="shared" ref="AG6:AG496" si="4">IF($A6="","",IF(OR($Q6="Converted",$Q6="Closed",$Q6="Lost"),"No","Yes"))</f>
        <v>No</v>
      </c>
      <c r="AH6" s="40" t="str">
        <f t="shared" ref="AH6:AH496" si="5">IF($A6="","",IF($Q6="Converted","Yes","No"))</f>
        <v>Yes</v>
      </c>
      <c r="AI6" s="40" t="str">
        <f t="shared" ref="AI6:AI496" si="6">IF($A6="","",IF(OR($U6="Overdue",$U6="Due Today"),"Yes","No"))</f>
        <v>No</v>
      </c>
    </row>
    <row r="7" ht="22.5" customHeight="1">
      <c r="A7" s="25">
        <v>2.0</v>
      </c>
      <c r="B7" s="26">
        <v>46264.0</v>
      </c>
      <c r="C7" s="27" t="s">
        <v>111</v>
      </c>
      <c r="D7" s="29" t="s">
        <v>112</v>
      </c>
      <c r="E7" s="31" t="s">
        <v>113</v>
      </c>
      <c r="F7" s="31" t="s">
        <v>114</v>
      </c>
      <c r="G7" s="29" t="s">
        <v>88</v>
      </c>
      <c r="H7" s="29" t="s">
        <v>89</v>
      </c>
      <c r="I7" s="32" t="s">
        <v>89</v>
      </c>
      <c r="J7" s="32" t="s">
        <v>90</v>
      </c>
      <c r="K7" s="35" t="s">
        <v>115</v>
      </c>
      <c r="L7" s="35" t="s">
        <v>115</v>
      </c>
      <c r="M7" s="34"/>
      <c r="N7" s="35" t="s">
        <v>116</v>
      </c>
      <c r="O7" s="35" t="s">
        <v>95</v>
      </c>
      <c r="P7" s="35" t="s">
        <v>117</v>
      </c>
      <c r="Q7" s="35" t="s">
        <v>32</v>
      </c>
      <c r="R7" s="35" t="s">
        <v>97</v>
      </c>
      <c r="S7" s="36">
        <v>46259.0</v>
      </c>
      <c r="T7" s="42"/>
      <c r="U7" s="40" t="str">
        <f t="shared" si="1"/>
        <v>Completed</v>
      </c>
      <c r="V7" s="41"/>
      <c r="W7" s="42"/>
      <c r="X7" s="42"/>
      <c r="Y7" s="43"/>
      <c r="Z7" s="44"/>
      <c r="AA7" s="45">
        <f t="shared" si="2"/>
        <v>0</v>
      </c>
      <c r="AB7" s="42"/>
      <c r="AC7" s="41"/>
      <c r="AD7" s="41"/>
      <c r="AE7" s="46">
        <f t="shared" si="3"/>
        <v>46235</v>
      </c>
      <c r="AF7" s="52">
        <v>46235.0</v>
      </c>
      <c r="AG7" s="40" t="str">
        <f t="shared" si="4"/>
        <v>No</v>
      </c>
      <c r="AH7" s="40" t="str">
        <f t="shared" si="5"/>
        <v>Yes</v>
      </c>
      <c r="AI7" s="40" t="str">
        <f t="shared" si="6"/>
        <v>No</v>
      </c>
    </row>
    <row r="8" ht="22.5" customHeight="1">
      <c r="A8" s="53">
        <v>3.0</v>
      </c>
      <c r="B8" s="54">
        <v>46264.0</v>
      </c>
      <c r="C8" s="55" t="s">
        <v>118</v>
      </c>
      <c r="D8" s="56" t="s">
        <v>119</v>
      </c>
      <c r="E8" s="57" t="s">
        <v>120</v>
      </c>
      <c r="F8" s="57" t="s">
        <v>121</v>
      </c>
      <c r="G8" s="56" t="s">
        <v>88</v>
      </c>
      <c r="H8" s="56" t="s">
        <v>89</v>
      </c>
      <c r="I8" s="58" t="s">
        <v>89</v>
      </c>
      <c r="J8" s="58" t="s">
        <v>90</v>
      </c>
      <c r="K8" s="59" t="s">
        <v>91</v>
      </c>
      <c r="L8" s="59" t="s">
        <v>92</v>
      </c>
      <c r="M8" s="40"/>
      <c r="N8" s="59" t="s">
        <v>122</v>
      </c>
      <c r="O8" s="59" t="s">
        <v>95</v>
      </c>
      <c r="P8" s="59" t="s">
        <v>117</v>
      </c>
      <c r="Q8" s="59" t="s">
        <v>123</v>
      </c>
      <c r="R8" s="59" t="s">
        <v>124</v>
      </c>
      <c r="S8" s="54">
        <v>46272.0</v>
      </c>
      <c r="T8" s="42"/>
      <c r="U8" s="40" t="str">
        <f t="shared" si="1"/>
        <v>Not Scheduled</v>
      </c>
      <c r="V8" s="41"/>
      <c r="W8" s="42"/>
      <c r="X8" s="42"/>
      <c r="Y8" s="43"/>
      <c r="Z8" s="44"/>
      <c r="AA8" s="45">
        <f t="shared" si="2"/>
        <v>0</v>
      </c>
      <c r="AB8" s="42"/>
      <c r="AC8" s="41"/>
      <c r="AD8" s="41"/>
      <c r="AE8" s="46">
        <f t="shared" si="3"/>
        <v>46235</v>
      </c>
      <c r="AF8" s="46" t="str">
        <f t="shared" ref="AF8:AF496" si="7">IF($AB8="","",DATE(YEAR($AB8),MONTH($AB8),1))</f>
        <v/>
      </c>
      <c r="AG8" s="40" t="str">
        <f t="shared" si="4"/>
        <v>Yes</v>
      </c>
      <c r="AH8" s="40" t="str">
        <f t="shared" si="5"/>
        <v>No</v>
      </c>
      <c r="AI8" s="40" t="str">
        <f t="shared" si="6"/>
        <v>No</v>
      </c>
    </row>
    <row r="9" ht="22.5" customHeight="1">
      <c r="A9" s="25">
        <v>4.0</v>
      </c>
      <c r="B9" s="26">
        <v>46264.0</v>
      </c>
      <c r="C9" s="27" t="s">
        <v>125</v>
      </c>
      <c r="D9" s="29" t="s">
        <v>126</v>
      </c>
      <c r="E9" s="31" t="s">
        <v>127</v>
      </c>
      <c r="F9" s="31" t="s">
        <v>128</v>
      </c>
      <c r="G9" s="29" t="s">
        <v>88</v>
      </c>
      <c r="H9" s="29" t="s">
        <v>89</v>
      </c>
      <c r="I9" s="32" t="s">
        <v>89</v>
      </c>
      <c r="J9" s="32" t="s">
        <v>90</v>
      </c>
      <c r="K9" s="35" t="s">
        <v>129</v>
      </c>
      <c r="L9" s="35" t="s">
        <v>130</v>
      </c>
      <c r="M9" s="34"/>
      <c r="N9" s="35" t="s">
        <v>122</v>
      </c>
      <c r="O9" s="59" t="s">
        <v>95</v>
      </c>
      <c r="P9" s="35" t="s">
        <v>117</v>
      </c>
      <c r="Q9" s="35" t="s">
        <v>32</v>
      </c>
      <c r="R9" s="35" t="s">
        <v>97</v>
      </c>
      <c r="S9" s="54">
        <v>46273.0</v>
      </c>
      <c r="T9" s="42"/>
      <c r="U9" s="40" t="str">
        <f t="shared" si="1"/>
        <v>Completed</v>
      </c>
      <c r="V9" s="41"/>
      <c r="W9" s="42"/>
      <c r="X9" s="42"/>
      <c r="Y9" s="43"/>
      <c r="Z9" s="44"/>
      <c r="AA9" s="45">
        <f t="shared" si="2"/>
        <v>0</v>
      </c>
      <c r="AB9" s="42"/>
      <c r="AC9" s="41"/>
      <c r="AD9" s="41"/>
      <c r="AE9" s="46">
        <f t="shared" si="3"/>
        <v>46235</v>
      </c>
      <c r="AF9" s="46" t="str">
        <f t="shared" si="7"/>
        <v/>
      </c>
      <c r="AG9" s="40" t="str">
        <f t="shared" si="4"/>
        <v>No</v>
      </c>
      <c r="AH9" s="40" t="str">
        <f t="shared" si="5"/>
        <v>Yes</v>
      </c>
      <c r="AI9" s="40" t="str">
        <f t="shared" si="6"/>
        <v>No</v>
      </c>
    </row>
    <row r="10" ht="22.5" customHeight="1">
      <c r="A10" s="60">
        <v>5.0</v>
      </c>
      <c r="B10" s="36">
        <v>46264.0</v>
      </c>
      <c r="C10" s="61" t="s">
        <v>132</v>
      </c>
      <c r="D10" s="62" t="s">
        <v>134</v>
      </c>
      <c r="E10" s="63" t="s">
        <v>135</v>
      </c>
      <c r="F10" s="64"/>
      <c r="G10" s="62" t="s">
        <v>88</v>
      </c>
      <c r="H10" s="62" t="s">
        <v>89</v>
      </c>
      <c r="I10" s="65" t="s">
        <v>89</v>
      </c>
      <c r="J10" s="65" t="s">
        <v>90</v>
      </c>
      <c r="K10" s="66" t="s">
        <v>115</v>
      </c>
      <c r="L10" s="66" t="s">
        <v>115</v>
      </c>
      <c r="M10" s="41"/>
      <c r="N10" s="66" t="s">
        <v>122</v>
      </c>
      <c r="O10" s="59" t="s">
        <v>95</v>
      </c>
      <c r="P10" s="66" t="s">
        <v>136</v>
      </c>
      <c r="Q10" s="66" t="s">
        <v>137</v>
      </c>
      <c r="R10" s="66" t="s">
        <v>97</v>
      </c>
      <c r="S10" s="42"/>
      <c r="T10" s="42"/>
      <c r="U10" s="40" t="str">
        <f t="shared" si="1"/>
        <v>Completed</v>
      </c>
      <c r="V10" s="41"/>
      <c r="W10" s="42"/>
      <c r="X10" s="42"/>
      <c r="Y10" s="43"/>
      <c r="Z10" s="44"/>
      <c r="AA10" s="45">
        <f t="shared" si="2"/>
        <v>0</v>
      </c>
      <c r="AB10" s="42"/>
      <c r="AC10" s="41"/>
      <c r="AD10" s="41"/>
      <c r="AE10" s="46">
        <f t="shared" si="3"/>
        <v>46235</v>
      </c>
      <c r="AF10" s="46" t="str">
        <f t="shared" si="7"/>
        <v/>
      </c>
      <c r="AG10" s="40" t="str">
        <f t="shared" si="4"/>
        <v>No</v>
      </c>
      <c r="AH10" s="40" t="str">
        <f t="shared" si="5"/>
        <v>No</v>
      </c>
      <c r="AI10" s="40" t="str">
        <f t="shared" si="6"/>
        <v>No</v>
      </c>
    </row>
    <row r="11" ht="22.5" customHeight="1">
      <c r="A11" s="25">
        <v>6.0</v>
      </c>
      <c r="B11" s="26">
        <v>46264.0</v>
      </c>
      <c r="C11" s="27" t="s">
        <v>138</v>
      </c>
      <c r="D11" s="29" t="s">
        <v>139</v>
      </c>
      <c r="E11" s="31" t="s">
        <v>140</v>
      </c>
      <c r="F11" s="67"/>
      <c r="G11" s="29" t="s">
        <v>88</v>
      </c>
      <c r="H11" s="29" t="s">
        <v>89</v>
      </c>
      <c r="I11" s="32" t="s">
        <v>89</v>
      </c>
      <c r="J11" s="32" t="s">
        <v>90</v>
      </c>
      <c r="K11" s="35" t="s">
        <v>91</v>
      </c>
      <c r="L11" s="35" t="s">
        <v>141</v>
      </c>
      <c r="M11" s="34"/>
      <c r="N11" s="35" t="s">
        <v>94</v>
      </c>
      <c r="O11" s="59" t="s">
        <v>95</v>
      </c>
      <c r="P11" s="35" t="s">
        <v>117</v>
      </c>
      <c r="Q11" s="35" t="s">
        <v>32</v>
      </c>
      <c r="R11" s="35" t="s">
        <v>97</v>
      </c>
      <c r="S11" s="36">
        <v>46272.0</v>
      </c>
      <c r="T11" s="42"/>
      <c r="U11" s="40" t="str">
        <f t="shared" si="1"/>
        <v>Completed</v>
      </c>
      <c r="V11" s="41"/>
      <c r="W11" s="42"/>
      <c r="X11" s="42"/>
      <c r="Y11" s="43"/>
      <c r="Z11" s="44"/>
      <c r="AA11" s="45">
        <f t="shared" si="2"/>
        <v>0</v>
      </c>
      <c r="AB11" s="42"/>
      <c r="AC11" s="41"/>
      <c r="AD11" s="41"/>
      <c r="AE11" s="46">
        <f t="shared" si="3"/>
        <v>46235</v>
      </c>
      <c r="AF11" s="46" t="str">
        <f t="shared" si="7"/>
        <v/>
      </c>
      <c r="AG11" s="40" t="str">
        <f t="shared" si="4"/>
        <v>No</v>
      </c>
      <c r="AH11" s="40" t="str">
        <f t="shared" si="5"/>
        <v>Yes</v>
      </c>
      <c r="AI11" s="40" t="str">
        <f t="shared" si="6"/>
        <v>No</v>
      </c>
    </row>
    <row r="12" ht="22.5" customHeight="1">
      <c r="A12" s="60">
        <v>7.0</v>
      </c>
      <c r="B12" s="36">
        <v>46264.0</v>
      </c>
      <c r="C12" s="61" t="s">
        <v>142</v>
      </c>
      <c r="D12" s="62" t="s">
        <v>143</v>
      </c>
      <c r="E12" s="63" t="s">
        <v>144</v>
      </c>
      <c r="F12" s="64"/>
      <c r="G12" s="62" t="s">
        <v>88</v>
      </c>
      <c r="H12" s="62" t="s">
        <v>89</v>
      </c>
      <c r="I12" s="65" t="s">
        <v>89</v>
      </c>
      <c r="J12" s="65" t="s">
        <v>90</v>
      </c>
      <c r="K12" s="66" t="s">
        <v>145</v>
      </c>
      <c r="L12" s="66" t="s">
        <v>146</v>
      </c>
      <c r="M12" s="41"/>
      <c r="N12" s="66" t="s">
        <v>122</v>
      </c>
      <c r="O12" s="59" t="s">
        <v>95</v>
      </c>
      <c r="P12" s="66" t="s">
        <v>117</v>
      </c>
      <c r="Q12" s="66" t="s">
        <v>147</v>
      </c>
      <c r="R12" s="66" t="s">
        <v>148</v>
      </c>
      <c r="S12" s="36">
        <v>46270.0</v>
      </c>
      <c r="T12" s="42"/>
      <c r="U12" s="40" t="str">
        <f t="shared" si="1"/>
        <v>Not Scheduled</v>
      </c>
      <c r="V12" s="41"/>
      <c r="W12" s="42"/>
      <c r="X12" s="42"/>
      <c r="Y12" s="43"/>
      <c r="Z12" s="44"/>
      <c r="AA12" s="45">
        <f t="shared" si="2"/>
        <v>0</v>
      </c>
      <c r="AB12" s="42"/>
      <c r="AC12" s="41"/>
      <c r="AD12" s="41"/>
      <c r="AE12" s="46">
        <f t="shared" si="3"/>
        <v>46235</v>
      </c>
      <c r="AF12" s="46" t="str">
        <f t="shared" si="7"/>
        <v/>
      </c>
      <c r="AG12" s="40" t="str">
        <f t="shared" si="4"/>
        <v>Yes</v>
      </c>
      <c r="AH12" s="40" t="str">
        <f t="shared" si="5"/>
        <v>No</v>
      </c>
      <c r="AI12" s="40" t="str">
        <f t="shared" si="6"/>
        <v>No</v>
      </c>
    </row>
    <row r="13" ht="22.5" customHeight="1">
      <c r="A13" s="60">
        <v>8.0</v>
      </c>
      <c r="B13" s="36">
        <v>46264.0</v>
      </c>
      <c r="C13" s="61" t="s">
        <v>149</v>
      </c>
      <c r="D13" s="62" t="s">
        <v>150</v>
      </c>
      <c r="E13" s="63" t="s">
        <v>151</v>
      </c>
      <c r="F13" s="64"/>
      <c r="G13" s="62" t="s">
        <v>88</v>
      </c>
      <c r="H13" s="62" t="s">
        <v>89</v>
      </c>
      <c r="I13" s="65" t="s">
        <v>89</v>
      </c>
      <c r="J13" s="65" t="s">
        <v>90</v>
      </c>
      <c r="K13" s="68" t="s">
        <v>129</v>
      </c>
      <c r="L13" s="66" t="s">
        <v>152</v>
      </c>
      <c r="M13" s="41"/>
      <c r="N13" s="66" t="s">
        <v>153</v>
      </c>
      <c r="O13" s="59" t="s">
        <v>95</v>
      </c>
      <c r="P13" s="66" t="s">
        <v>117</v>
      </c>
      <c r="Q13" s="66" t="s">
        <v>147</v>
      </c>
      <c r="R13" s="66" t="s">
        <v>148</v>
      </c>
      <c r="S13" s="36">
        <v>46272.0</v>
      </c>
      <c r="T13" s="42"/>
      <c r="U13" s="40" t="str">
        <f t="shared" si="1"/>
        <v>Not Scheduled</v>
      </c>
      <c r="V13" s="41"/>
      <c r="W13" s="42"/>
      <c r="X13" s="42"/>
      <c r="Y13" s="43"/>
      <c r="Z13" s="44"/>
      <c r="AA13" s="45">
        <f t="shared" si="2"/>
        <v>0</v>
      </c>
      <c r="AB13" s="42"/>
      <c r="AC13" s="41"/>
      <c r="AD13" s="41"/>
      <c r="AE13" s="46">
        <f t="shared" si="3"/>
        <v>46235</v>
      </c>
      <c r="AF13" s="46" t="str">
        <f t="shared" si="7"/>
        <v/>
      </c>
      <c r="AG13" s="40" t="str">
        <f t="shared" si="4"/>
        <v>Yes</v>
      </c>
      <c r="AH13" s="40" t="str">
        <f t="shared" si="5"/>
        <v>No</v>
      </c>
      <c r="AI13" s="40" t="str">
        <f t="shared" si="6"/>
        <v>No</v>
      </c>
    </row>
    <row r="14" ht="22.5" customHeight="1">
      <c r="A14" s="60">
        <v>9.0</v>
      </c>
      <c r="B14" s="36">
        <v>46264.0</v>
      </c>
      <c r="C14" s="61" t="s">
        <v>155</v>
      </c>
      <c r="D14" s="62" t="s">
        <v>156</v>
      </c>
      <c r="E14" s="63" t="s">
        <v>157</v>
      </c>
      <c r="F14" s="64"/>
      <c r="G14" s="62" t="s">
        <v>88</v>
      </c>
      <c r="H14" s="62" t="s">
        <v>89</v>
      </c>
      <c r="I14" s="65" t="s">
        <v>89</v>
      </c>
      <c r="J14" s="65" t="s">
        <v>90</v>
      </c>
      <c r="K14" s="66" t="s">
        <v>129</v>
      </c>
      <c r="L14" s="66" t="s">
        <v>152</v>
      </c>
      <c r="M14" s="41"/>
      <c r="N14" s="66" t="s">
        <v>122</v>
      </c>
      <c r="O14" s="59" t="s">
        <v>95</v>
      </c>
      <c r="P14" s="66" t="s">
        <v>117</v>
      </c>
      <c r="Q14" s="66" t="s">
        <v>32</v>
      </c>
      <c r="R14" s="66" t="s">
        <v>97</v>
      </c>
      <c r="S14" s="36">
        <v>46254.0</v>
      </c>
      <c r="T14" s="42"/>
      <c r="U14" s="40" t="str">
        <f t="shared" si="1"/>
        <v>Completed</v>
      </c>
      <c r="V14" s="41"/>
      <c r="W14" s="42"/>
      <c r="X14" s="42"/>
      <c r="Y14" s="43"/>
      <c r="Z14" s="44"/>
      <c r="AA14" s="45">
        <f t="shared" si="2"/>
        <v>0</v>
      </c>
      <c r="AB14" s="42"/>
      <c r="AC14" s="41"/>
      <c r="AD14" s="41"/>
      <c r="AE14" s="46">
        <f t="shared" si="3"/>
        <v>46235</v>
      </c>
      <c r="AF14" s="46" t="str">
        <f t="shared" si="7"/>
        <v/>
      </c>
      <c r="AG14" s="40" t="str">
        <f t="shared" si="4"/>
        <v>No</v>
      </c>
      <c r="AH14" s="40" t="str">
        <f t="shared" si="5"/>
        <v>Yes</v>
      </c>
      <c r="AI14" s="40" t="str">
        <f t="shared" si="6"/>
        <v>No</v>
      </c>
    </row>
    <row r="15" ht="22.5" customHeight="1">
      <c r="A15" s="60">
        <v>10.0</v>
      </c>
      <c r="B15" s="36">
        <v>46264.0</v>
      </c>
      <c r="C15" s="61" t="s">
        <v>158</v>
      </c>
      <c r="D15" s="62" t="s">
        <v>159</v>
      </c>
      <c r="E15" s="63" t="s">
        <v>160</v>
      </c>
      <c r="F15" s="64"/>
      <c r="G15" s="62" t="s">
        <v>88</v>
      </c>
      <c r="H15" s="62" t="s">
        <v>89</v>
      </c>
      <c r="I15" s="65" t="s">
        <v>89</v>
      </c>
      <c r="J15" s="65" t="s">
        <v>90</v>
      </c>
      <c r="K15" s="66" t="s">
        <v>161</v>
      </c>
      <c r="L15" s="66" t="s">
        <v>162</v>
      </c>
      <c r="M15" s="41"/>
      <c r="N15" s="66" t="s">
        <v>163</v>
      </c>
      <c r="O15" s="59" t="s">
        <v>95</v>
      </c>
      <c r="P15" s="66" t="s">
        <v>117</v>
      </c>
      <c r="Q15" s="66" t="s">
        <v>164</v>
      </c>
      <c r="R15" s="66" t="s">
        <v>148</v>
      </c>
      <c r="S15" s="36">
        <v>46272.0</v>
      </c>
      <c r="T15" s="42"/>
      <c r="U15" s="40" t="str">
        <f t="shared" si="1"/>
        <v>Not Scheduled</v>
      </c>
      <c r="V15" s="41"/>
      <c r="W15" s="42"/>
      <c r="X15" s="42"/>
      <c r="Y15" s="43"/>
      <c r="Z15" s="44"/>
      <c r="AA15" s="45">
        <f t="shared" si="2"/>
        <v>0</v>
      </c>
      <c r="AB15" s="42"/>
      <c r="AC15" s="41"/>
      <c r="AD15" s="41"/>
      <c r="AE15" s="46">
        <f t="shared" si="3"/>
        <v>46235</v>
      </c>
      <c r="AF15" s="46" t="str">
        <f t="shared" si="7"/>
        <v/>
      </c>
      <c r="AG15" s="40" t="str">
        <f t="shared" si="4"/>
        <v>Yes</v>
      </c>
      <c r="AH15" s="40" t="str">
        <f t="shared" si="5"/>
        <v>No</v>
      </c>
      <c r="AI15" s="40" t="str">
        <f t="shared" si="6"/>
        <v>No</v>
      </c>
    </row>
    <row r="16" ht="22.5" customHeight="1">
      <c r="A16" s="60">
        <v>11.0</v>
      </c>
      <c r="B16" s="36">
        <v>46264.0</v>
      </c>
      <c r="C16" s="61" t="s">
        <v>165</v>
      </c>
      <c r="D16" s="62" t="s">
        <v>166</v>
      </c>
      <c r="E16" s="63" t="s">
        <v>167</v>
      </c>
      <c r="F16" s="64"/>
      <c r="G16" s="62" t="s">
        <v>88</v>
      </c>
      <c r="H16" s="62" t="s">
        <v>89</v>
      </c>
      <c r="I16" s="65" t="s">
        <v>89</v>
      </c>
      <c r="J16" s="65" t="s">
        <v>90</v>
      </c>
      <c r="K16" s="66" t="s">
        <v>91</v>
      </c>
      <c r="L16" s="66" t="s">
        <v>141</v>
      </c>
      <c r="M16" s="41"/>
      <c r="N16" s="66" t="s">
        <v>94</v>
      </c>
      <c r="O16" s="59" t="s">
        <v>95</v>
      </c>
      <c r="P16" s="66" t="s">
        <v>96</v>
      </c>
      <c r="Q16" s="66" t="s">
        <v>168</v>
      </c>
      <c r="R16" s="66" t="s">
        <v>97</v>
      </c>
      <c r="S16" s="36">
        <v>46264.0</v>
      </c>
      <c r="T16" s="42"/>
      <c r="U16" s="40" t="str">
        <f t="shared" si="1"/>
        <v>Not Scheduled</v>
      </c>
      <c r="V16" s="41"/>
      <c r="W16" s="42"/>
      <c r="X16" s="42"/>
      <c r="Y16" s="43"/>
      <c r="Z16" s="44"/>
      <c r="AA16" s="45">
        <f t="shared" si="2"/>
        <v>0</v>
      </c>
      <c r="AB16" s="42"/>
      <c r="AC16" s="41"/>
      <c r="AD16" s="41"/>
      <c r="AE16" s="46">
        <f t="shared" si="3"/>
        <v>46235</v>
      </c>
      <c r="AF16" s="46" t="str">
        <f t="shared" si="7"/>
        <v/>
      </c>
      <c r="AG16" s="40" t="str">
        <f t="shared" si="4"/>
        <v>Yes</v>
      </c>
      <c r="AH16" s="40" t="str">
        <f t="shared" si="5"/>
        <v>No</v>
      </c>
      <c r="AI16" s="40" t="str">
        <f t="shared" si="6"/>
        <v>No</v>
      </c>
    </row>
    <row r="17" ht="22.5" customHeight="1">
      <c r="A17" s="60">
        <v>14.0</v>
      </c>
      <c r="B17" s="36">
        <v>46264.0</v>
      </c>
      <c r="C17" s="61" t="s">
        <v>169</v>
      </c>
      <c r="D17" s="62" t="s">
        <v>170</v>
      </c>
      <c r="E17" s="63" t="s">
        <v>171</v>
      </c>
      <c r="F17" s="64"/>
      <c r="G17" s="62" t="s">
        <v>88</v>
      </c>
      <c r="H17" s="62" t="s">
        <v>89</v>
      </c>
      <c r="I17" s="65" t="s">
        <v>89</v>
      </c>
      <c r="J17" s="65" t="s">
        <v>90</v>
      </c>
      <c r="K17" s="66" t="s">
        <v>161</v>
      </c>
      <c r="L17" s="66" t="s">
        <v>162</v>
      </c>
      <c r="M17" s="41"/>
      <c r="N17" s="66" t="s">
        <v>94</v>
      </c>
      <c r="O17" s="59" t="s">
        <v>95</v>
      </c>
      <c r="P17" s="66" t="s">
        <v>96</v>
      </c>
      <c r="Q17" s="66" t="s">
        <v>173</v>
      </c>
      <c r="R17" s="66" t="s">
        <v>97</v>
      </c>
      <c r="S17" s="36">
        <v>46261.0</v>
      </c>
      <c r="T17" s="42"/>
      <c r="U17" s="40" t="str">
        <f t="shared" si="1"/>
        <v>Not Scheduled</v>
      </c>
      <c r="V17" s="41"/>
      <c r="W17" s="42"/>
      <c r="X17" s="42"/>
      <c r="Y17" s="43"/>
      <c r="Z17" s="44"/>
      <c r="AA17" s="45">
        <f t="shared" si="2"/>
        <v>0</v>
      </c>
      <c r="AB17" s="42"/>
      <c r="AC17" s="41"/>
      <c r="AD17" s="41"/>
      <c r="AE17" s="46">
        <f t="shared" si="3"/>
        <v>46235</v>
      </c>
      <c r="AF17" s="46" t="str">
        <f t="shared" si="7"/>
        <v/>
      </c>
      <c r="AG17" s="40" t="str">
        <f t="shared" si="4"/>
        <v>Yes</v>
      </c>
      <c r="AH17" s="40" t="str">
        <f t="shared" si="5"/>
        <v>No</v>
      </c>
      <c r="AI17" s="40" t="str">
        <f t="shared" si="6"/>
        <v>No</v>
      </c>
    </row>
    <row r="18" ht="15.75" customHeight="1">
      <c r="A18" s="60">
        <v>16.0</v>
      </c>
      <c r="B18" s="36">
        <v>46264.0</v>
      </c>
      <c r="C18" s="61" t="s">
        <v>174</v>
      </c>
      <c r="D18" s="62" t="s">
        <v>175</v>
      </c>
      <c r="E18" s="63" t="s">
        <v>176</v>
      </c>
      <c r="F18" s="64"/>
      <c r="G18" s="62" t="s">
        <v>88</v>
      </c>
      <c r="H18" s="62" t="s">
        <v>89</v>
      </c>
      <c r="I18" s="65" t="s">
        <v>89</v>
      </c>
      <c r="J18" s="65" t="s">
        <v>90</v>
      </c>
      <c r="K18" s="66" t="s">
        <v>91</v>
      </c>
      <c r="L18" s="66" t="s">
        <v>141</v>
      </c>
      <c r="M18" s="41"/>
      <c r="N18" s="66" t="s">
        <v>94</v>
      </c>
      <c r="O18" s="59" t="s">
        <v>95</v>
      </c>
      <c r="P18" s="66" t="s">
        <v>117</v>
      </c>
      <c r="Q18" s="66" t="s">
        <v>164</v>
      </c>
      <c r="R18" s="66" t="s">
        <v>177</v>
      </c>
      <c r="S18" s="36">
        <v>46265.0</v>
      </c>
      <c r="T18" s="42"/>
      <c r="U18" s="40" t="str">
        <f t="shared" si="1"/>
        <v>Not Scheduled</v>
      </c>
      <c r="V18" s="41"/>
      <c r="W18" s="42"/>
      <c r="X18" s="42"/>
      <c r="Y18" s="43"/>
      <c r="Z18" s="44"/>
      <c r="AA18" s="45">
        <f t="shared" si="2"/>
        <v>0</v>
      </c>
      <c r="AB18" s="42"/>
      <c r="AC18" s="41"/>
      <c r="AD18" s="41"/>
      <c r="AE18" s="46">
        <f t="shared" si="3"/>
        <v>46235</v>
      </c>
      <c r="AF18" s="46" t="str">
        <f t="shared" si="7"/>
        <v/>
      </c>
      <c r="AG18" s="40" t="str">
        <f t="shared" si="4"/>
        <v>Yes</v>
      </c>
      <c r="AH18" s="40" t="str">
        <f t="shared" si="5"/>
        <v>No</v>
      </c>
      <c r="AI18" s="40" t="str">
        <f t="shared" si="6"/>
        <v>No</v>
      </c>
    </row>
    <row r="19" ht="15.75" customHeight="1">
      <c r="A19" s="60">
        <v>17.0</v>
      </c>
      <c r="B19" s="36">
        <v>46264.0</v>
      </c>
      <c r="C19" s="61" t="s">
        <v>178</v>
      </c>
      <c r="D19" s="62" t="s">
        <v>179</v>
      </c>
      <c r="E19" s="63" t="s">
        <v>180</v>
      </c>
      <c r="F19" s="64"/>
      <c r="G19" s="62" t="s">
        <v>88</v>
      </c>
      <c r="H19" s="62" t="s">
        <v>89</v>
      </c>
      <c r="I19" s="65" t="s">
        <v>89</v>
      </c>
      <c r="J19" s="65" t="s">
        <v>90</v>
      </c>
      <c r="K19" s="66" t="s">
        <v>91</v>
      </c>
      <c r="L19" s="66" t="s">
        <v>141</v>
      </c>
      <c r="M19" s="41"/>
      <c r="N19" s="66" t="s">
        <v>94</v>
      </c>
      <c r="O19" s="59" t="s">
        <v>95</v>
      </c>
      <c r="P19" s="66" t="s">
        <v>136</v>
      </c>
      <c r="Q19" s="66" t="s">
        <v>181</v>
      </c>
      <c r="R19" s="66" t="s">
        <v>182</v>
      </c>
      <c r="S19" s="42"/>
      <c r="T19" s="42"/>
      <c r="U19" s="40" t="str">
        <f t="shared" si="1"/>
        <v>Not Scheduled</v>
      </c>
      <c r="V19" s="41"/>
      <c r="W19" s="42"/>
      <c r="X19" s="42"/>
      <c r="Y19" s="43"/>
      <c r="Z19" s="44"/>
      <c r="AA19" s="45">
        <f t="shared" si="2"/>
        <v>0</v>
      </c>
      <c r="AB19" s="42"/>
      <c r="AC19" s="41"/>
      <c r="AD19" s="41"/>
      <c r="AE19" s="46">
        <f t="shared" si="3"/>
        <v>46235</v>
      </c>
      <c r="AF19" s="46" t="str">
        <f t="shared" si="7"/>
        <v/>
      </c>
      <c r="AG19" s="40" t="str">
        <f t="shared" si="4"/>
        <v>Yes</v>
      </c>
      <c r="AH19" s="40" t="str">
        <f t="shared" si="5"/>
        <v>No</v>
      </c>
      <c r="AI19" s="40" t="str">
        <f t="shared" si="6"/>
        <v>No</v>
      </c>
    </row>
    <row r="20" ht="15.75" customHeight="1">
      <c r="A20" s="60">
        <v>18.0</v>
      </c>
      <c r="B20" s="36">
        <v>46264.0</v>
      </c>
      <c r="C20" s="61" t="s">
        <v>184</v>
      </c>
      <c r="D20" s="62" t="s">
        <v>184</v>
      </c>
      <c r="E20" s="63" t="s">
        <v>185</v>
      </c>
      <c r="F20" s="64"/>
      <c r="G20" s="62" t="s">
        <v>88</v>
      </c>
      <c r="H20" s="62" t="s">
        <v>89</v>
      </c>
      <c r="I20" s="65" t="s">
        <v>89</v>
      </c>
      <c r="J20" s="65" t="s">
        <v>90</v>
      </c>
      <c r="K20" s="66" t="s">
        <v>91</v>
      </c>
      <c r="L20" s="66" t="s">
        <v>141</v>
      </c>
      <c r="M20" s="41"/>
      <c r="N20" s="66" t="s">
        <v>94</v>
      </c>
      <c r="O20" s="59" t="s">
        <v>95</v>
      </c>
      <c r="P20" s="66" t="s">
        <v>117</v>
      </c>
      <c r="Q20" s="66" t="s">
        <v>173</v>
      </c>
      <c r="R20" s="66" t="s">
        <v>124</v>
      </c>
      <c r="S20" s="36">
        <v>46269.0</v>
      </c>
      <c r="T20" s="42"/>
      <c r="U20" s="40" t="str">
        <f t="shared" si="1"/>
        <v>Not Scheduled</v>
      </c>
      <c r="V20" s="41"/>
      <c r="W20" s="42"/>
      <c r="X20" s="42"/>
      <c r="Y20" s="43"/>
      <c r="Z20" s="44"/>
      <c r="AA20" s="45">
        <f t="shared" si="2"/>
        <v>0</v>
      </c>
      <c r="AB20" s="42"/>
      <c r="AC20" s="41"/>
      <c r="AD20" s="41"/>
      <c r="AE20" s="46">
        <f t="shared" si="3"/>
        <v>46235</v>
      </c>
      <c r="AF20" s="46" t="str">
        <f t="shared" si="7"/>
        <v/>
      </c>
      <c r="AG20" s="40" t="str">
        <f t="shared" si="4"/>
        <v>Yes</v>
      </c>
      <c r="AH20" s="40" t="str">
        <f t="shared" si="5"/>
        <v>No</v>
      </c>
      <c r="AI20" s="40" t="str">
        <f t="shared" si="6"/>
        <v>No</v>
      </c>
    </row>
    <row r="21" ht="15.75" customHeight="1">
      <c r="A21" s="60">
        <v>20.0</v>
      </c>
      <c r="B21" s="36">
        <v>46264.0</v>
      </c>
      <c r="C21" s="61" t="s">
        <v>186</v>
      </c>
      <c r="D21" s="69" t="s">
        <v>187</v>
      </c>
      <c r="E21" s="63" t="s">
        <v>188</v>
      </c>
      <c r="F21" s="64"/>
      <c r="G21" s="62" t="s">
        <v>88</v>
      </c>
      <c r="H21" s="62" t="s">
        <v>89</v>
      </c>
      <c r="I21" s="65" t="s">
        <v>89</v>
      </c>
      <c r="J21" s="65" t="s">
        <v>90</v>
      </c>
      <c r="K21" s="66" t="s">
        <v>91</v>
      </c>
      <c r="L21" s="66" t="s">
        <v>141</v>
      </c>
      <c r="M21" s="41"/>
      <c r="N21" s="66" t="s">
        <v>94</v>
      </c>
      <c r="O21" s="59" t="s">
        <v>95</v>
      </c>
      <c r="P21" s="66" t="s">
        <v>136</v>
      </c>
      <c r="Q21" s="66" t="s">
        <v>181</v>
      </c>
      <c r="R21" s="66" t="s">
        <v>182</v>
      </c>
      <c r="S21" s="42"/>
      <c r="T21" s="42"/>
      <c r="U21" s="40" t="str">
        <f t="shared" si="1"/>
        <v>Not Scheduled</v>
      </c>
      <c r="V21" s="41"/>
      <c r="W21" s="42"/>
      <c r="X21" s="42"/>
      <c r="Y21" s="43"/>
      <c r="Z21" s="44"/>
      <c r="AA21" s="45">
        <f t="shared" si="2"/>
        <v>0</v>
      </c>
      <c r="AB21" s="42"/>
      <c r="AC21" s="41"/>
      <c r="AD21" s="41"/>
      <c r="AE21" s="46">
        <f t="shared" si="3"/>
        <v>46235</v>
      </c>
      <c r="AF21" s="46" t="str">
        <f t="shared" si="7"/>
        <v/>
      </c>
      <c r="AG21" s="40" t="str">
        <f t="shared" si="4"/>
        <v>Yes</v>
      </c>
      <c r="AH21" s="40" t="str">
        <f t="shared" si="5"/>
        <v>No</v>
      </c>
      <c r="AI21" s="40" t="str">
        <f t="shared" si="6"/>
        <v>No</v>
      </c>
    </row>
    <row r="22" ht="15.75" customHeight="1">
      <c r="A22" s="25">
        <v>21.0</v>
      </c>
      <c r="B22" s="26">
        <v>46264.0</v>
      </c>
      <c r="C22" s="70" t="s">
        <v>189</v>
      </c>
      <c r="D22" s="29" t="s">
        <v>190</v>
      </c>
      <c r="E22" s="31" t="s">
        <v>191</v>
      </c>
      <c r="F22" s="67"/>
      <c r="G22" s="29" t="s">
        <v>88</v>
      </c>
      <c r="H22" s="29" t="s">
        <v>89</v>
      </c>
      <c r="I22" s="32" t="s">
        <v>89</v>
      </c>
      <c r="J22" s="32" t="s">
        <v>90</v>
      </c>
      <c r="K22" s="35" t="s">
        <v>91</v>
      </c>
      <c r="L22" s="35" t="s">
        <v>141</v>
      </c>
      <c r="M22" s="34"/>
      <c r="N22" s="35" t="s">
        <v>94</v>
      </c>
      <c r="O22" s="35" t="s">
        <v>95</v>
      </c>
      <c r="P22" s="35" t="s">
        <v>117</v>
      </c>
      <c r="Q22" s="35" t="s">
        <v>168</v>
      </c>
      <c r="R22" s="35" t="s">
        <v>177</v>
      </c>
      <c r="S22" s="26">
        <v>46272.0</v>
      </c>
      <c r="T22" s="71"/>
      <c r="U22" s="34" t="str">
        <f t="shared" si="1"/>
        <v>Not Scheduled</v>
      </c>
      <c r="V22" s="34"/>
      <c r="W22" s="42"/>
      <c r="X22" s="42"/>
      <c r="Y22" s="43"/>
      <c r="Z22" s="44"/>
      <c r="AA22" s="45">
        <f t="shared" si="2"/>
        <v>0</v>
      </c>
      <c r="AB22" s="42"/>
      <c r="AC22" s="41"/>
      <c r="AD22" s="41"/>
      <c r="AE22" s="46">
        <f t="shared" si="3"/>
        <v>46235</v>
      </c>
      <c r="AF22" s="46" t="str">
        <f t="shared" si="7"/>
        <v/>
      </c>
      <c r="AG22" s="40" t="str">
        <f t="shared" si="4"/>
        <v>Yes</v>
      </c>
      <c r="AH22" s="40" t="str">
        <f t="shared" si="5"/>
        <v>No</v>
      </c>
      <c r="AI22" s="40" t="str">
        <f t="shared" si="6"/>
        <v>No</v>
      </c>
    </row>
    <row r="23" ht="15.75" customHeight="1">
      <c r="A23" s="60">
        <v>22.0</v>
      </c>
      <c r="B23" s="36">
        <v>46264.0</v>
      </c>
      <c r="C23" s="72" t="s">
        <v>192</v>
      </c>
      <c r="D23" s="62" t="s">
        <v>193</v>
      </c>
      <c r="E23" s="63" t="s">
        <v>194</v>
      </c>
      <c r="F23" s="63" t="s">
        <v>195</v>
      </c>
      <c r="G23" s="62" t="s">
        <v>196</v>
      </c>
      <c r="H23" s="62" t="s">
        <v>89</v>
      </c>
      <c r="I23" s="66" t="s">
        <v>89</v>
      </c>
      <c r="J23" s="65" t="s">
        <v>90</v>
      </c>
      <c r="K23" s="66" t="s">
        <v>91</v>
      </c>
      <c r="L23" s="66" t="s">
        <v>141</v>
      </c>
      <c r="M23" s="41"/>
      <c r="N23" s="66" t="s">
        <v>94</v>
      </c>
      <c r="O23" s="59" t="s">
        <v>95</v>
      </c>
      <c r="P23" s="66" t="s">
        <v>136</v>
      </c>
      <c r="Q23" s="66" t="s">
        <v>137</v>
      </c>
      <c r="R23" s="66" t="s">
        <v>124</v>
      </c>
      <c r="S23" s="36">
        <v>46269.0</v>
      </c>
      <c r="T23" s="42"/>
      <c r="U23" s="40" t="str">
        <f t="shared" si="1"/>
        <v>Completed</v>
      </c>
      <c r="V23" s="41"/>
      <c r="W23" s="42"/>
      <c r="X23" s="42"/>
      <c r="Y23" s="43"/>
      <c r="Z23" s="44"/>
      <c r="AA23" s="45">
        <f t="shared" si="2"/>
        <v>0</v>
      </c>
      <c r="AB23" s="42"/>
      <c r="AC23" s="41"/>
      <c r="AD23" s="41"/>
      <c r="AE23" s="46">
        <f t="shared" si="3"/>
        <v>46235</v>
      </c>
      <c r="AF23" s="46" t="str">
        <f t="shared" si="7"/>
        <v/>
      </c>
      <c r="AG23" s="40" t="str">
        <f t="shared" si="4"/>
        <v>No</v>
      </c>
      <c r="AH23" s="40" t="str">
        <f t="shared" si="5"/>
        <v>No</v>
      </c>
      <c r="AI23" s="40" t="str">
        <f t="shared" si="6"/>
        <v>No</v>
      </c>
    </row>
    <row r="24" ht="15.75" customHeight="1">
      <c r="A24" s="60">
        <v>23.0</v>
      </c>
      <c r="B24" s="36">
        <v>46264.0</v>
      </c>
      <c r="C24" s="72" t="s">
        <v>197</v>
      </c>
      <c r="D24" s="62" t="s">
        <v>198</v>
      </c>
      <c r="E24" s="63" t="s">
        <v>199</v>
      </c>
      <c r="F24" s="63" t="s">
        <v>200</v>
      </c>
      <c r="G24" s="62" t="s">
        <v>201</v>
      </c>
      <c r="H24" s="62" t="s">
        <v>89</v>
      </c>
      <c r="I24" s="66" t="s">
        <v>89</v>
      </c>
      <c r="J24" s="65" t="s">
        <v>90</v>
      </c>
      <c r="K24" s="66" t="s">
        <v>91</v>
      </c>
      <c r="L24" s="66" t="s">
        <v>141</v>
      </c>
      <c r="M24" s="41"/>
      <c r="N24" s="66" t="s">
        <v>94</v>
      </c>
      <c r="O24" s="59" t="s">
        <v>95</v>
      </c>
      <c r="P24" s="66" t="s">
        <v>136</v>
      </c>
      <c r="Q24" s="66" t="s">
        <v>181</v>
      </c>
      <c r="R24" s="66" t="s">
        <v>182</v>
      </c>
      <c r="S24" s="42"/>
      <c r="T24" s="42"/>
      <c r="U24" s="40" t="str">
        <f t="shared" si="1"/>
        <v>Not Scheduled</v>
      </c>
      <c r="V24" s="41"/>
      <c r="W24" s="42"/>
      <c r="X24" s="42"/>
      <c r="Y24" s="43"/>
      <c r="Z24" s="44"/>
      <c r="AA24" s="45">
        <f t="shared" si="2"/>
        <v>0</v>
      </c>
      <c r="AB24" s="42"/>
      <c r="AC24" s="41"/>
      <c r="AD24" s="41"/>
      <c r="AE24" s="46">
        <f t="shared" si="3"/>
        <v>46235</v>
      </c>
      <c r="AF24" s="46" t="str">
        <f t="shared" si="7"/>
        <v/>
      </c>
      <c r="AG24" s="40" t="str">
        <f t="shared" si="4"/>
        <v>Yes</v>
      </c>
      <c r="AH24" s="40" t="str">
        <f t="shared" si="5"/>
        <v>No</v>
      </c>
      <c r="AI24" s="40" t="str">
        <f t="shared" si="6"/>
        <v>No</v>
      </c>
    </row>
    <row r="25" ht="15.75" customHeight="1">
      <c r="A25" s="60">
        <v>24.0</v>
      </c>
      <c r="B25" s="36">
        <v>46264.0</v>
      </c>
      <c r="C25" s="72" t="s">
        <v>202</v>
      </c>
      <c r="D25" s="62" t="s">
        <v>203</v>
      </c>
      <c r="E25" s="63" t="s">
        <v>204</v>
      </c>
      <c r="F25" s="63" t="s">
        <v>205</v>
      </c>
      <c r="G25" s="62" t="s">
        <v>88</v>
      </c>
      <c r="H25" s="62" t="s">
        <v>89</v>
      </c>
      <c r="I25" s="66" t="s">
        <v>89</v>
      </c>
      <c r="J25" s="65" t="s">
        <v>90</v>
      </c>
      <c r="K25" s="66" t="s">
        <v>91</v>
      </c>
      <c r="L25" s="66" t="s">
        <v>141</v>
      </c>
      <c r="M25" s="41"/>
      <c r="N25" s="66" t="s">
        <v>94</v>
      </c>
      <c r="O25" s="59" t="s">
        <v>95</v>
      </c>
      <c r="P25" s="66" t="s">
        <v>136</v>
      </c>
      <c r="Q25" s="66" t="s">
        <v>181</v>
      </c>
      <c r="R25" s="66" t="s">
        <v>182</v>
      </c>
      <c r="S25" s="42"/>
      <c r="T25" s="42"/>
      <c r="U25" s="40" t="str">
        <f t="shared" si="1"/>
        <v>Not Scheduled</v>
      </c>
      <c r="V25" s="41"/>
      <c r="W25" s="42"/>
      <c r="X25" s="42"/>
      <c r="Y25" s="43"/>
      <c r="Z25" s="44"/>
      <c r="AA25" s="45">
        <f t="shared" si="2"/>
        <v>0</v>
      </c>
      <c r="AB25" s="42"/>
      <c r="AC25" s="41"/>
      <c r="AD25" s="41"/>
      <c r="AE25" s="46">
        <f t="shared" si="3"/>
        <v>46235</v>
      </c>
      <c r="AF25" s="46" t="str">
        <f t="shared" si="7"/>
        <v/>
      </c>
      <c r="AG25" s="40" t="str">
        <f t="shared" si="4"/>
        <v>Yes</v>
      </c>
      <c r="AH25" s="40" t="str">
        <f t="shared" si="5"/>
        <v>No</v>
      </c>
      <c r="AI25" s="40" t="str">
        <f t="shared" si="6"/>
        <v>No</v>
      </c>
    </row>
    <row r="26" ht="15.75" customHeight="1">
      <c r="A26" s="60">
        <v>25.0</v>
      </c>
      <c r="B26" s="36">
        <v>46264.0</v>
      </c>
      <c r="C26" s="72" t="s">
        <v>207</v>
      </c>
      <c r="D26" s="62" t="s">
        <v>208</v>
      </c>
      <c r="E26" s="63" t="s">
        <v>209</v>
      </c>
      <c r="F26" s="63" t="s">
        <v>210</v>
      </c>
      <c r="G26" s="62" t="s">
        <v>88</v>
      </c>
      <c r="H26" s="62" t="s">
        <v>89</v>
      </c>
      <c r="I26" s="66" t="s">
        <v>89</v>
      </c>
      <c r="J26" s="65" t="s">
        <v>90</v>
      </c>
      <c r="K26" s="66" t="s">
        <v>161</v>
      </c>
      <c r="L26" s="66" t="s">
        <v>115</v>
      </c>
      <c r="M26" s="41"/>
      <c r="N26" s="66" t="s">
        <v>94</v>
      </c>
      <c r="O26" s="59" t="s">
        <v>95</v>
      </c>
      <c r="P26" s="66" t="s">
        <v>136</v>
      </c>
      <c r="Q26" s="66" t="s">
        <v>181</v>
      </c>
      <c r="R26" s="66" t="s">
        <v>182</v>
      </c>
      <c r="S26" s="42"/>
      <c r="T26" s="42"/>
      <c r="U26" s="40" t="str">
        <f t="shared" si="1"/>
        <v>Not Scheduled</v>
      </c>
      <c r="V26" s="41"/>
      <c r="W26" s="42"/>
      <c r="X26" s="42"/>
      <c r="Y26" s="43"/>
      <c r="Z26" s="44"/>
      <c r="AA26" s="45">
        <f t="shared" si="2"/>
        <v>0</v>
      </c>
      <c r="AB26" s="42"/>
      <c r="AC26" s="41"/>
      <c r="AD26" s="41"/>
      <c r="AE26" s="46">
        <f t="shared" si="3"/>
        <v>46235</v>
      </c>
      <c r="AF26" s="46" t="str">
        <f t="shared" si="7"/>
        <v/>
      </c>
      <c r="AG26" s="40" t="str">
        <f t="shared" si="4"/>
        <v>Yes</v>
      </c>
      <c r="AH26" s="40" t="str">
        <f t="shared" si="5"/>
        <v>No</v>
      </c>
      <c r="AI26" s="40" t="str">
        <f t="shared" si="6"/>
        <v>No</v>
      </c>
    </row>
    <row r="27" ht="15.75" customHeight="1">
      <c r="A27" s="60">
        <v>26.0</v>
      </c>
      <c r="B27" s="36">
        <v>46264.0</v>
      </c>
      <c r="C27" s="74" t="s">
        <v>211</v>
      </c>
      <c r="D27" s="75" t="s">
        <v>212</v>
      </c>
      <c r="E27" s="76" t="s">
        <v>213</v>
      </c>
      <c r="F27" s="77" t="s">
        <v>214</v>
      </c>
      <c r="G27" s="75" t="s">
        <v>215</v>
      </c>
      <c r="H27" s="62" t="s">
        <v>89</v>
      </c>
      <c r="I27" s="66" t="s">
        <v>89</v>
      </c>
      <c r="J27" s="65" t="s">
        <v>90</v>
      </c>
      <c r="K27" s="66" t="s">
        <v>115</v>
      </c>
      <c r="L27" s="66" t="s">
        <v>115</v>
      </c>
      <c r="M27" s="41"/>
      <c r="N27" s="66" t="s">
        <v>94</v>
      </c>
      <c r="O27" s="59" t="s">
        <v>95</v>
      </c>
      <c r="P27" s="66" t="s">
        <v>136</v>
      </c>
      <c r="Q27" s="66" t="s">
        <v>181</v>
      </c>
      <c r="R27" s="66" t="s">
        <v>182</v>
      </c>
      <c r="S27" s="42"/>
      <c r="T27" s="42"/>
      <c r="U27" s="40" t="str">
        <f t="shared" si="1"/>
        <v>Not Scheduled</v>
      </c>
      <c r="V27" s="41"/>
      <c r="W27" s="42"/>
      <c r="X27" s="42"/>
      <c r="Y27" s="43"/>
      <c r="Z27" s="44"/>
      <c r="AA27" s="45">
        <f t="shared" si="2"/>
        <v>0</v>
      </c>
      <c r="AB27" s="42"/>
      <c r="AC27" s="41"/>
      <c r="AD27" s="41"/>
      <c r="AE27" s="46">
        <f t="shared" si="3"/>
        <v>46235</v>
      </c>
      <c r="AF27" s="46" t="str">
        <f t="shared" si="7"/>
        <v/>
      </c>
      <c r="AG27" s="40" t="str">
        <f t="shared" si="4"/>
        <v>Yes</v>
      </c>
      <c r="AH27" s="40" t="str">
        <f t="shared" si="5"/>
        <v>No</v>
      </c>
      <c r="AI27" s="40" t="str">
        <f t="shared" si="6"/>
        <v>No</v>
      </c>
    </row>
    <row r="28" ht="15.75" customHeight="1">
      <c r="A28" s="60">
        <v>27.0</v>
      </c>
      <c r="B28" s="36">
        <v>46264.0</v>
      </c>
      <c r="C28" s="74" t="s">
        <v>216</v>
      </c>
      <c r="D28" s="75" t="s">
        <v>217</v>
      </c>
      <c r="E28" s="76" t="s">
        <v>218</v>
      </c>
      <c r="F28" s="77" t="s">
        <v>219</v>
      </c>
      <c r="G28" s="75" t="s">
        <v>88</v>
      </c>
      <c r="H28" s="62" t="s">
        <v>89</v>
      </c>
      <c r="I28" s="66" t="s">
        <v>89</v>
      </c>
      <c r="J28" s="65" t="s">
        <v>90</v>
      </c>
      <c r="K28" s="66" t="s">
        <v>91</v>
      </c>
      <c r="L28" s="66" t="s">
        <v>141</v>
      </c>
      <c r="M28" s="41"/>
      <c r="N28" s="66" t="s">
        <v>94</v>
      </c>
      <c r="O28" s="59" t="s">
        <v>95</v>
      </c>
      <c r="P28" s="66" t="s">
        <v>136</v>
      </c>
      <c r="Q28" s="66" t="s">
        <v>181</v>
      </c>
      <c r="R28" s="66" t="s">
        <v>182</v>
      </c>
      <c r="S28" s="42"/>
      <c r="T28" s="42"/>
      <c r="U28" s="40" t="str">
        <f t="shared" si="1"/>
        <v>Not Scheduled</v>
      </c>
      <c r="V28" s="41"/>
      <c r="W28" s="42"/>
      <c r="X28" s="42"/>
      <c r="Y28" s="43"/>
      <c r="Z28" s="44"/>
      <c r="AA28" s="45">
        <f t="shared" si="2"/>
        <v>0</v>
      </c>
      <c r="AB28" s="42"/>
      <c r="AC28" s="41"/>
      <c r="AD28" s="41"/>
      <c r="AE28" s="46">
        <f t="shared" si="3"/>
        <v>46235</v>
      </c>
      <c r="AF28" s="46" t="str">
        <f t="shared" si="7"/>
        <v/>
      </c>
      <c r="AG28" s="40" t="str">
        <f t="shared" si="4"/>
        <v>Yes</v>
      </c>
      <c r="AH28" s="40" t="str">
        <f t="shared" si="5"/>
        <v>No</v>
      </c>
      <c r="AI28" s="40" t="str">
        <f t="shared" si="6"/>
        <v>No</v>
      </c>
    </row>
    <row r="29" ht="15.75" customHeight="1">
      <c r="A29" s="60">
        <v>28.0</v>
      </c>
      <c r="B29" s="36">
        <v>46264.0</v>
      </c>
      <c r="C29" s="74" t="s">
        <v>220</v>
      </c>
      <c r="D29" s="75" t="s">
        <v>221</v>
      </c>
      <c r="E29" s="76" t="s">
        <v>222</v>
      </c>
      <c r="F29" s="77" t="s">
        <v>223</v>
      </c>
      <c r="G29" s="75" t="s">
        <v>88</v>
      </c>
      <c r="H29" s="62" t="s">
        <v>89</v>
      </c>
      <c r="I29" s="66" t="s">
        <v>89</v>
      </c>
      <c r="J29" s="65" t="s">
        <v>90</v>
      </c>
      <c r="K29" s="66" t="s">
        <v>91</v>
      </c>
      <c r="L29" s="66" t="s">
        <v>141</v>
      </c>
      <c r="M29" s="41"/>
      <c r="N29" s="66" t="s">
        <v>94</v>
      </c>
      <c r="O29" s="59" t="s">
        <v>95</v>
      </c>
      <c r="P29" s="66" t="s">
        <v>136</v>
      </c>
      <c r="Q29" s="66" t="s">
        <v>181</v>
      </c>
      <c r="R29" s="66" t="s">
        <v>182</v>
      </c>
      <c r="S29" s="42"/>
      <c r="T29" s="42"/>
      <c r="U29" s="40" t="str">
        <f t="shared" si="1"/>
        <v>Not Scheduled</v>
      </c>
      <c r="V29" s="41"/>
      <c r="W29" s="42"/>
      <c r="X29" s="42"/>
      <c r="Y29" s="43"/>
      <c r="Z29" s="44"/>
      <c r="AA29" s="45">
        <f t="shared" si="2"/>
        <v>0</v>
      </c>
      <c r="AB29" s="42"/>
      <c r="AC29" s="41"/>
      <c r="AD29" s="41"/>
      <c r="AE29" s="46">
        <f t="shared" si="3"/>
        <v>46235</v>
      </c>
      <c r="AF29" s="46" t="str">
        <f t="shared" si="7"/>
        <v/>
      </c>
      <c r="AG29" s="40" t="str">
        <f t="shared" si="4"/>
        <v>Yes</v>
      </c>
      <c r="AH29" s="40" t="str">
        <f t="shared" si="5"/>
        <v>No</v>
      </c>
      <c r="AI29" s="40" t="str">
        <f t="shared" si="6"/>
        <v>No</v>
      </c>
    </row>
    <row r="30" ht="15.75" customHeight="1">
      <c r="A30" s="60">
        <v>29.0</v>
      </c>
      <c r="B30" s="36">
        <v>46264.0</v>
      </c>
      <c r="C30" s="74" t="s">
        <v>224</v>
      </c>
      <c r="D30" s="75" t="s">
        <v>225</v>
      </c>
      <c r="E30" s="76" t="s">
        <v>226</v>
      </c>
      <c r="F30" s="77" t="s">
        <v>227</v>
      </c>
      <c r="G30" s="75"/>
      <c r="H30" s="62" t="s">
        <v>89</v>
      </c>
      <c r="I30" s="66" t="s">
        <v>89</v>
      </c>
      <c r="J30" s="65" t="s">
        <v>90</v>
      </c>
      <c r="K30" s="66" t="s">
        <v>161</v>
      </c>
      <c r="L30" s="66" t="s">
        <v>162</v>
      </c>
      <c r="M30" s="41"/>
      <c r="N30" s="66" t="s">
        <v>94</v>
      </c>
      <c r="O30" s="59" t="s">
        <v>95</v>
      </c>
      <c r="P30" s="66" t="s">
        <v>136</v>
      </c>
      <c r="Q30" s="66" t="s">
        <v>181</v>
      </c>
      <c r="R30" s="66" t="s">
        <v>182</v>
      </c>
      <c r="S30" s="42"/>
      <c r="T30" s="42"/>
      <c r="U30" s="40" t="str">
        <f t="shared" si="1"/>
        <v>Not Scheduled</v>
      </c>
      <c r="V30" s="41"/>
      <c r="W30" s="42"/>
      <c r="X30" s="42"/>
      <c r="Y30" s="43"/>
      <c r="Z30" s="44"/>
      <c r="AA30" s="45">
        <f t="shared" si="2"/>
        <v>0</v>
      </c>
      <c r="AB30" s="42"/>
      <c r="AC30" s="41"/>
      <c r="AD30" s="41"/>
      <c r="AE30" s="46">
        <f t="shared" si="3"/>
        <v>46235</v>
      </c>
      <c r="AF30" s="46" t="str">
        <f t="shared" si="7"/>
        <v/>
      </c>
      <c r="AG30" s="40" t="str">
        <f t="shared" si="4"/>
        <v>Yes</v>
      </c>
      <c r="AH30" s="40" t="str">
        <f t="shared" si="5"/>
        <v>No</v>
      </c>
      <c r="AI30" s="40" t="str">
        <f t="shared" si="6"/>
        <v>No</v>
      </c>
    </row>
    <row r="31" ht="15.75" customHeight="1">
      <c r="A31" s="60">
        <v>30.0</v>
      </c>
      <c r="B31" s="36">
        <v>46264.0</v>
      </c>
      <c r="C31" s="74" t="s">
        <v>229</v>
      </c>
      <c r="D31" s="75" t="s">
        <v>230</v>
      </c>
      <c r="E31" s="76" t="s">
        <v>231</v>
      </c>
      <c r="F31" s="77" t="s">
        <v>232</v>
      </c>
      <c r="G31" s="75" t="s">
        <v>88</v>
      </c>
      <c r="H31" s="62" t="s">
        <v>89</v>
      </c>
      <c r="I31" s="66" t="s">
        <v>89</v>
      </c>
      <c r="J31" s="65" t="s">
        <v>90</v>
      </c>
      <c r="K31" s="66" t="s">
        <v>233</v>
      </c>
      <c r="L31" s="66" t="s">
        <v>162</v>
      </c>
      <c r="M31" s="41"/>
      <c r="N31" s="66" t="s">
        <v>94</v>
      </c>
      <c r="O31" s="59" t="s">
        <v>95</v>
      </c>
      <c r="P31" s="66" t="s">
        <v>136</v>
      </c>
      <c r="Q31" s="66" t="s">
        <v>181</v>
      </c>
      <c r="R31" s="66" t="s">
        <v>182</v>
      </c>
      <c r="S31" s="42"/>
      <c r="T31" s="42"/>
      <c r="U31" s="40" t="str">
        <f t="shared" si="1"/>
        <v>Not Scheduled</v>
      </c>
      <c r="V31" s="41"/>
      <c r="W31" s="42"/>
      <c r="X31" s="42"/>
      <c r="Y31" s="43"/>
      <c r="Z31" s="44"/>
      <c r="AA31" s="45">
        <f t="shared" si="2"/>
        <v>0</v>
      </c>
      <c r="AB31" s="42"/>
      <c r="AC31" s="41"/>
      <c r="AD31" s="41"/>
      <c r="AE31" s="46">
        <f t="shared" si="3"/>
        <v>46235</v>
      </c>
      <c r="AF31" s="46" t="str">
        <f t="shared" si="7"/>
        <v/>
      </c>
      <c r="AG31" s="40" t="str">
        <f t="shared" si="4"/>
        <v>Yes</v>
      </c>
      <c r="AH31" s="40" t="str">
        <f t="shared" si="5"/>
        <v>No</v>
      </c>
      <c r="AI31" s="40" t="str">
        <f t="shared" si="6"/>
        <v>No</v>
      </c>
    </row>
    <row r="32" ht="15.75" customHeight="1">
      <c r="A32" s="60">
        <v>31.0</v>
      </c>
      <c r="B32" s="36">
        <v>46264.0</v>
      </c>
      <c r="C32" s="74" t="s">
        <v>234</v>
      </c>
      <c r="D32" s="75" t="s">
        <v>235</v>
      </c>
      <c r="E32" s="78" t="s">
        <v>236</v>
      </c>
      <c r="F32" s="77" t="s">
        <v>237</v>
      </c>
      <c r="G32" s="75" t="s">
        <v>238</v>
      </c>
      <c r="H32" s="62" t="s">
        <v>89</v>
      </c>
      <c r="I32" s="66" t="s">
        <v>89</v>
      </c>
      <c r="J32" s="65" t="s">
        <v>90</v>
      </c>
      <c r="K32" s="66" t="s">
        <v>233</v>
      </c>
      <c r="L32" s="66" t="s">
        <v>162</v>
      </c>
      <c r="M32" s="41"/>
      <c r="N32" s="66" t="s">
        <v>94</v>
      </c>
      <c r="O32" s="59" t="s">
        <v>95</v>
      </c>
      <c r="P32" s="66" t="s">
        <v>136</v>
      </c>
      <c r="Q32" s="66" t="s">
        <v>181</v>
      </c>
      <c r="R32" s="66" t="s">
        <v>182</v>
      </c>
      <c r="S32" s="42"/>
      <c r="T32" s="42"/>
      <c r="U32" s="40" t="str">
        <f t="shared" si="1"/>
        <v>Not Scheduled</v>
      </c>
      <c r="V32" s="41"/>
      <c r="W32" s="42"/>
      <c r="X32" s="42"/>
      <c r="Y32" s="43"/>
      <c r="Z32" s="44"/>
      <c r="AA32" s="45">
        <f t="shared" si="2"/>
        <v>0</v>
      </c>
      <c r="AB32" s="42"/>
      <c r="AC32" s="41"/>
      <c r="AD32" s="41"/>
      <c r="AE32" s="46">
        <f t="shared" si="3"/>
        <v>46235</v>
      </c>
      <c r="AF32" s="46" t="str">
        <f t="shared" si="7"/>
        <v/>
      </c>
      <c r="AG32" s="40" t="str">
        <f t="shared" si="4"/>
        <v>Yes</v>
      </c>
      <c r="AH32" s="40" t="str">
        <f t="shared" si="5"/>
        <v>No</v>
      </c>
      <c r="AI32" s="40" t="str">
        <f t="shared" si="6"/>
        <v>No</v>
      </c>
    </row>
    <row r="33" ht="15.75" customHeight="1">
      <c r="A33" s="60">
        <v>32.0</v>
      </c>
      <c r="B33" s="36">
        <v>46264.0</v>
      </c>
      <c r="C33" s="74" t="s">
        <v>239</v>
      </c>
      <c r="D33" s="75" t="s">
        <v>240</v>
      </c>
      <c r="E33" s="76" t="s">
        <v>241</v>
      </c>
      <c r="F33" s="77" t="s">
        <v>242</v>
      </c>
      <c r="G33" s="75" t="s">
        <v>88</v>
      </c>
      <c r="H33" s="62" t="s">
        <v>89</v>
      </c>
      <c r="I33" s="66" t="s">
        <v>89</v>
      </c>
      <c r="J33" s="65" t="s">
        <v>90</v>
      </c>
      <c r="K33" s="66" t="s">
        <v>233</v>
      </c>
      <c r="L33" s="66" t="s">
        <v>162</v>
      </c>
      <c r="M33" s="41"/>
      <c r="N33" s="66" t="s">
        <v>94</v>
      </c>
      <c r="O33" s="59" t="s">
        <v>95</v>
      </c>
      <c r="P33" s="66" t="s">
        <v>136</v>
      </c>
      <c r="Q33" s="66" t="s">
        <v>181</v>
      </c>
      <c r="R33" s="66" t="s">
        <v>182</v>
      </c>
      <c r="S33" s="42"/>
      <c r="T33" s="42"/>
      <c r="U33" s="40" t="str">
        <f t="shared" si="1"/>
        <v>Not Scheduled</v>
      </c>
      <c r="V33" s="41"/>
      <c r="W33" s="42"/>
      <c r="X33" s="42"/>
      <c r="Y33" s="43"/>
      <c r="Z33" s="44"/>
      <c r="AA33" s="45">
        <f t="shared" si="2"/>
        <v>0</v>
      </c>
      <c r="AB33" s="42"/>
      <c r="AC33" s="41"/>
      <c r="AD33" s="41"/>
      <c r="AE33" s="46">
        <f t="shared" si="3"/>
        <v>46235</v>
      </c>
      <c r="AF33" s="46" t="str">
        <f t="shared" si="7"/>
        <v/>
      </c>
      <c r="AG33" s="40" t="str">
        <f t="shared" si="4"/>
        <v>Yes</v>
      </c>
      <c r="AH33" s="40" t="str">
        <f t="shared" si="5"/>
        <v>No</v>
      </c>
      <c r="AI33" s="40" t="str">
        <f t="shared" si="6"/>
        <v>No</v>
      </c>
    </row>
    <row r="34" ht="15.75" customHeight="1">
      <c r="A34" s="60">
        <v>33.0</v>
      </c>
      <c r="B34" s="36">
        <v>46264.0</v>
      </c>
      <c r="C34" s="74" t="s">
        <v>243</v>
      </c>
      <c r="D34" s="75"/>
      <c r="E34" s="79">
        <v>8.511860282E9</v>
      </c>
      <c r="F34" s="77" t="s">
        <v>244</v>
      </c>
      <c r="G34" s="75" t="s">
        <v>88</v>
      </c>
      <c r="H34" s="62" t="s">
        <v>89</v>
      </c>
      <c r="I34" s="66" t="s">
        <v>89</v>
      </c>
      <c r="J34" s="65" t="s">
        <v>90</v>
      </c>
      <c r="K34" s="66" t="s">
        <v>161</v>
      </c>
      <c r="L34" s="66" t="s">
        <v>162</v>
      </c>
      <c r="M34" s="41"/>
      <c r="N34" s="66" t="s">
        <v>94</v>
      </c>
      <c r="O34" s="59" t="s">
        <v>95</v>
      </c>
      <c r="P34" s="66" t="s">
        <v>136</v>
      </c>
      <c r="Q34" s="66" t="s">
        <v>181</v>
      </c>
      <c r="R34" s="66" t="s">
        <v>182</v>
      </c>
      <c r="S34" s="42"/>
      <c r="T34" s="42"/>
      <c r="U34" s="40" t="str">
        <f t="shared" si="1"/>
        <v>Not Scheduled</v>
      </c>
      <c r="V34" s="41"/>
      <c r="W34" s="42"/>
      <c r="X34" s="42"/>
      <c r="Y34" s="43"/>
      <c r="Z34" s="44"/>
      <c r="AA34" s="45">
        <f t="shared" si="2"/>
        <v>0</v>
      </c>
      <c r="AB34" s="42"/>
      <c r="AC34" s="41"/>
      <c r="AD34" s="41"/>
      <c r="AE34" s="46">
        <f t="shared" si="3"/>
        <v>46235</v>
      </c>
      <c r="AF34" s="46" t="str">
        <f t="shared" si="7"/>
        <v/>
      </c>
      <c r="AG34" s="40" t="str">
        <f t="shared" si="4"/>
        <v>Yes</v>
      </c>
      <c r="AH34" s="40" t="str">
        <f t="shared" si="5"/>
        <v>No</v>
      </c>
      <c r="AI34" s="40" t="str">
        <f t="shared" si="6"/>
        <v>No</v>
      </c>
    </row>
    <row r="35" ht="15.75" customHeight="1">
      <c r="A35" s="60">
        <v>34.0</v>
      </c>
      <c r="B35" s="36">
        <v>46264.0</v>
      </c>
      <c r="C35" s="74" t="s">
        <v>246</v>
      </c>
      <c r="D35" s="75" t="s">
        <v>247</v>
      </c>
      <c r="E35" s="76" t="s">
        <v>248</v>
      </c>
      <c r="F35" s="77" t="s">
        <v>249</v>
      </c>
      <c r="G35" s="75" t="s">
        <v>250</v>
      </c>
      <c r="H35" s="62" t="s">
        <v>89</v>
      </c>
      <c r="I35" s="66" t="s">
        <v>89</v>
      </c>
      <c r="J35" s="65" t="s">
        <v>90</v>
      </c>
      <c r="K35" s="66" t="s">
        <v>115</v>
      </c>
      <c r="L35" s="66" t="s">
        <v>115</v>
      </c>
      <c r="M35" s="41"/>
      <c r="N35" s="66" t="s">
        <v>94</v>
      </c>
      <c r="O35" s="59" t="s">
        <v>95</v>
      </c>
      <c r="P35" s="66" t="s">
        <v>136</v>
      </c>
      <c r="Q35" s="66" t="s">
        <v>181</v>
      </c>
      <c r="R35" s="66" t="s">
        <v>182</v>
      </c>
      <c r="S35" s="42"/>
      <c r="T35" s="42"/>
      <c r="U35" s="40" t="str">
        <f t="shared" si="1"/>
        <v>Not Scheduled</v>
      </c>
      <c r="V35" s="41"/>
      <c r="W35" s="42"/>
      <c r="X35" s="42"/>
      <c r="Y35" s="43"/>
      <c r="Z35" s="44"/>
      <c r="AA35" s="45">
        <f t="shared" si="2"/>
        <v>0</v>
      </c>
      <c r="AB35" s="42"/>
      <c r="AC35" s="41"/>
      <c r="AD35" s="41"/>
      <c r="AE35" s="46">
        <f t="shared" si="3"/>
        <v>46235</v>
      </c>
      <c r="AF35" s="46" t="str">
        <f t="shared" si="7"/>
        <v/>
      </c>
      <c r="AG35" s="40" t="str">
        <f t="shared" si="4"/>
        <v>Yes</v>
      </c>
      <c r="AH35" s="40" t="str">
        <f t="shared" si="5"/>
        <v>No</v>
      </c>
      <c r="AI35" s="40" t="str">
        <f t="shared" si="6"/>
        <v>No</v>
      </c>
    </row>
    <row r="36" ht="15.75" customHeight="1">
      <c r="A36" s="60">
        <v>35.0</v>
      </c>
      <c r="B36" s="36">
        <v>46264.0</v>
      </c>
      <c r="C36" s="74" t="s">
        <v>251</v>
      </c>
      <c r="D36" s="75" t="s">
        <v>252</v>
      </c>
      <c r="E36" s="76" t="s">
        <v>253</v>
      </c>
      <c r="F36" s="77" t="s">
        <v>254</v>
      </c>
      <c r="G36" s="75" t="s">
        <v>88</v>
      </c>
      <c r="H36" s="62" t="s">
        <v>89</v>
      </c>
      <c r="I36" s="66" t="s">
        <v>89</v>
      </c>
      <c r="J36" s="65" t="s">
        <v>90</v>
      </c>
      <c r="K36" s="66" t="s">
        <v>161</v>
      </c>
      <c r="L36" s="66" t="s">
        <v>162</v>
      </c>
      <c r="M36" s="41"/>
      <c r="N36" s="66" t="s">
        <v>94</v>
      </c>
      <c r="O36" s="59" t="s">
        <v>95</v>
      </c>
      <c r="P36" s="66" t="s">
        <v>136</v>
      </c>
      <c r="Q36" s="66" t="s">
        <v>181</v>
      </c>
      <c r="R36" s="66" t="s">
        <v>182</v>
      </c>
      <c r="S36" s="42"/>
      <c r="T36" s="42"/>
      <c r="U36" s="40" t="str">
        <f t="shared" si="1"/>
        <v>Not Scheduled</v>
      </c>
      <c r="V36" s="41"/>
      <c r="W36" s="42"/>
      <c r="X36" s="42"/>
      <c r="Y36" s="43"/>
      <c r="Z36" s="44"/>
      <c r="AA36" s="45">
        <f t="shared" si="2"/>
        <v>0</v>
      </c>
      <c r="AB36" s="42"/>
      <c r="AC36" s="41"/>
      <c r="AD36" s="41"/>
      <c r="AE36" s="46">
        <f t="shared" si="3"/>
        <v>46235</v>
      </c>
      <c r="AF36" s="46" t="str">
        <f t="shared" si="7"/>
        <v/>
      </c>
      <c r="AG36" s="40" t="str">
        <f t="shared" si="4"/>
        <v>Yes</v>
      </c>
      <c r="AH36" s="40" t="str">
        <f t="shared" si="5"/>
        <v>No</v>
      </c>
      <c r="AI36" s="40" t="str">
        <f t="shared" si="6"/>
        <v>No</v>
      </c>
    </row>
    <row r="37" ht="15.75" customHeight="1">
      <c r="A37" s="60">
        <v>36.0</v>
      </c>
      <c r="B37" s="36">
        <v>46264.0</v>
      </c>
      <c r="C37" s="74" t="s">
        <v>255</v>
      </c>
      <c r="D37" s="75" t="s">
        <v>256</v>
      </c>
      <c r="E37" s="79">
        <v>9.326204116E9</v>
      </c>
      <c r="F37" s="77" t="s">
        <v>257</v>
      </c>
      <c r="G37" s="75" t="s">
        <v>258</v>
      </c>
      <c r="H37" s="62" t="s">
        <v>89</v>
      </c>
      <c r="I37" s="66" t="s">
        <v>89</v>
      </c>
      <c r="J37" s="65" t="s">
        <v>90</v>
      </c>
      <c r="K37" s="66" t="s">
        <v>161</v>
      </c>
      <c r="L37" s="66" t="s">
        <v>162</v>
      </c>
      <c r="M37" s="41"/>
      <c r="N37" s="66" t="s">
        <v>94</v>
      </c>
      <c r="O37" s="59" t="s">
        <v>95</v>
      </c>
      <c r="P37" s="66" t="s">
        <v>136</v>
      </c>
      <c r="Q37" s="66" t="s">
        <v>181</v>
      </c>
      <c r="R37" s="66" t="s">
        <v>182</v>
      </c>
      <c r="S37" s="42"/>
      <c r="T37" s="42"/>
      <c r="U37" s="40" t="str">
        <f t="shared" si="1"/>
        <v>Not Scheduled</v>
      </c>
      <c r="V37" s="41"/>
      <c r="W37" s="42"/>
      <c r="X37" s="42"/>
      <c r="Y37" s="43"/>
      <c r="Z37" s="44"/>
      <c r="AA37" s="45">
        <f t="shared" si="2"/>
        <v>0</v>
      </c>
      <c r="AB37" s="42"/>
      <c r="AC37" s="41"/>
      <c r="AD37" s="41"/>
      <c r="AE37" s="46">
        <f t="shared" si="3"/>
        <v>46235</v>
      </c>
      <c r="AF37" s="46" t="str">
        <f t="shared" si="7"/>
        <v/>
      </c>
      <c r="AG37" s="40" t="str">
        <f t="shared" si="4"/>
        <v>Yes</v>
      </c>
      <c r="AH37" s="40" t="str">
        <f t="shared" si="5"/>
        <v>No</v>
      </c>
      <c r="AI37" s="40" t="str">
        <f t="shared" si="6"/>
        <v>No</v>
      </c>
    </row>
    <row r="38" ht="15.75" customHeight="1">
      <c r="A38" s="60">
        <v>37.0</v>
      </c>
      <c r="B38" s="36">
        <v>46264.0</v>
      </c>
      <c r="C38" s="74" t="s">
        <v>259</v>
      </c>
      <c r="D38" s="75" t="s">
        <v>260</v>
      </c>
      <c r="E38" s="80" t="s">
        <v>261</v>
      </c>
      <c r="F38" s="77" t="s">
        <v>262</v>
      </c>
      <c r="G38" s="75" t="s">
        <v>88</v>
      </c>
      <c r="H38" s="62" t="s">
        <v>89</v>
      </c>
      <c r="I38" s="66" t="s">
        <v>89</v>
      </c>
      <c r="J38" s="65" t="s">
        <v>90</v>
      </c>
      <c r="K38" s="66" t="s">
        <v>91</v>
      </c>
      <c r="L38" s="66" t="s">
        <v>92</v>
      </c>
      <c r="M38" s="41"/>
      <c r="N38" s="66" t="s">
        <v>94</v>
      </c>
      <c r="O38" s="59" t="s">
        <v>95</v>
      </c>
      <c r="P38" s="66" t="s">
        <v>136</v>
      </c>
      <c r="Q38" s="66" t="s">
        <v>181</v>
      </c>
      <c r="R38" s="66" t="s">
        <v>182</v>
      </c>
      <c r="S38" s="42"/>
      <c r="T38" s="42"/>
      <c r="U38" s="40" t="str">
        <f t="shared" si="1"/>
        <v>Not Scheduled</v>
      </c>
      <c r="V38" s="41"/>
      <c r="W38" s="42"/>
      <c r="X38" s="42"/>
      <c r="Y38" s="43"/>
      <c r="Z38" s="44"/>
      <c r="AA38" s="45">
        <f t="shared" si="2"/>
        <v>0</v>
      </c>
      <c r="AB38" s="42"/>
      <c r="AC38" s="41"/>
      <c r="AD38" s="41"/>
      <c r="AE38" s="46">
        <f t="shared" si="3"/>
        <v>46235</v>
      </c>
      <c r="AF38" s="46" t="str">
        <f t="shared" si="7"/>
        <v/>
      </c>
      <c r="AG38" s="40" t="str">
        <f t="shared" si="4"/>
        <v>Yes</v>
      </c>
      <c r="AH38" s="40" t="str">
        <f t="shared" si="5"/>
        <v>No</v>
      </c>
      <c r="AI38" s="40" t="str">
        <f t="shared" si="6"/>
        <v>No</v>
      </c>
    </row>
    <row r="39" ht="15.75" customHeight="1">
      <c r="A39" s="60">
        <v>38.0</v>
      </c>
      <c r="B39" s="36">
        <v>46264.0</v>
      </c>
      <c r="C39" s="74" t="s">
        <v>263</v>
      </c>
      <c r="D39" s="75" t="s">
        <v>264</v>
      </c>
      <c r="E39" s="76" t="s">
        <v>265</v>
      </c>
      <c r="F39" s="77" t="s">
        <v>266</v>
      </c>
      <c r="G39" s="75" t="s">
        <v>267</v>
      </c>
      <c r="H39" s="62" t="s">
        <v>89</v>
      </c>
      <c r="I39" s="66" t="s">
        <v>89</v>
      </c>
      <c r="J39" s="65" t="s">
        <v>90</v>
      </c>
      <c r="K39" s="66" t="s">
        <v>115</v>
      </c>
      <c r="L39" s="66" t="s">
        <v>115</v>
      </c>
      <c r="M39" s="41"/>
      <c r="N39" s="66" t="s">
        <v>94</v>
      </c>
      <c r="O39" s="59" t="s">
        <v>95</v>
      </c>
      <c r="P39" s="66" t="s">
        <v>136</v>
      </c>
      <c r="Q39" s="66" t="s">
        <v>181</v>
      </c>
      <c r="R39" s="66" t="s">
        <v>182</v>
      </c>
      <c r="S39" s="42"/>
      <c r="T39" s="42"/>
      <c r="U39" s="40" t="str">
        <f t="shared" si="1"/>
        <v>Not Scheduled</v>
      </c>
      <c r="V39" s="41"/>
      <c r="W39" s="42"/>
      <c r="X39" s="42"/>
      <c r="Y39" s="43"/>
      <c r="Z39" s="44"/>
      <c r="AA39" s="45">
        <f t="shared" si="2"/>
        <v>0</v>
      </c>
      <c r="AB39" s="42"/>
      <c r="AC39" s="41"/>
      <c r="AD39" s="41"/>
      <c r="AE39" s="46">
        <f t="shared" si="3"/>
        <v>46235</v>
      </c>
      <c r="AF39" s="46" t="str">
        <f t="shared" si="7"/>
        <v/>
      </c>
      <c r="AG39" s="40" t="str">
        <f t="shared" si="4"/>
        <v>Yes</v>
      </c>
      <c r="AH39" s="40" t="str">
        <f t="shared" si="5"/>
        <v>No</v>
      </c>
      <c r="AI39" s="40" t="str">
        <f t="shared" si="6"/>
        <v>No</v>
      </c>
    </row>
    <row r="40" ht="15.75" customHeight="1">
      <c r="A40" s="60">
        <v>39.0</v>
      </c>
      <c r="B40" s="36">
        <v>46264.0</v>
      </c>
      <c r="C40" s="74" t="s">
        <v>268</v>
      </c>
      <c r="D40" s="75" t="s">
        <v>270</v>
      </c>
      <c r="E40" s="77" t="s">
        <v>271</v>
      </c>
      <c r="F40" s="77"/>
      <c r="G40" s="75" t="s">
        <v>88</v>
      </c>
      <c r="H40" s="62" t="s">
        <v>89</v>
      </c>
      <c r="I40" s="66" t="s">
        <v>89</v>
      </c>
      <c r="J40" s="65" t="s">
        <v>90</v>
      </c>
      <c r="K40" s="66" t="s">
        <v>115</v>
      </c>
      <c r="L40" s="66" t="s">
        <v>115</v>
      </c>
      <c r="M40" s="41"/>
      <c r="N40" s="66" t="s">
        <v>94</v>
      </c>
      <c r="O40" s="59" t="s">
        <v>95</v>
      </c>
      <c r="P40" s="66" t="s">
        <v>136</v>
      </c>
      <c r="Q40" s="66" t="s">
        <v>181</v>
      </c>
      <c r="R40" s="66" t="s">
        <v>182</v>
      </c>
      <c r="S40" s="42"/>
      <c r="T40" s="42"/>
      <c r="U40" s="40" t="str">
        <f t="shared" si="1"/>
        <v>Not Scheduled</v>
      </c>
      <c r="V40" s="41"/>
      <c r="W40" s="42"/>
      <c r="X40" s="42"/>
      <c r="Y40" s="43"/>
      <c r="Z40" s="44"/>
      <c r="AA40" s="45">
        <f t="shared" si="2"/>
        <v>0</v>
      </c>
      <c r="AB40" s="42"/>
      <c r="AC40" s="41"/>
      <c r="AD40" s="41"/>
      <c r="AE40" s="46">
        <f t="shared" si="3"/>
        <v>46235</v>
      </c>
      <c r="AF40" s="46" t="str">
        <f t="shared" si="7"/>
        <v/>
      </c>
      <c r="AG40" s="40" t="str">
        <f t="shared" si="4"/>
        <v>Yes</v>
      </c>
      <c r="AH40" s="40" t="str">
        <f t="shared" si="5"/>
        <v>No</v>
      </c>
      <c r="AI40" s="40" t="str">
        <f t="shared" si="6"/>
        <v>No</v>
      </c>
    </row>
    <row r="41" ht="15.75" customHeight="1">
      <c r="A41" s="60">
        <v>40.0</v>
      </c>
      <c r="B41" s="36">
        <v>46264.0</v>
      </c>
      <c r="C41" s="74" t="s">
        <v>272</v>
      </c>
      <c r="D41" s="75" t="s">
        <v>273</v>
      </c>
      <c r="E41" s="76" t="s">
        <v>274</v>
      </c>
      <c r="F41" s="77" t="s">
        <v>275</v>
      </c>
      <c r="G41" s="75" t="s">
        <v>88</v>
      </c>
      <c r="H41" s="62" t="s">
        <v>89</v>
      </c>
      <c r="I41" s="66" t="s">
        <v>89</v>
      </c>
      <c r="J41" s="65" t="s">
        <v>90</v>
      </c>
      <c r="K41" s="66" t="s">
        <v>161</v>
      </c>
      <c r="L41" s="66" t="s">
        <v>162</v>
      </c>
      <c r="M41" s="41"/>
      <c r="N41" s="66" t="s">
        <v>94</v>
      </c>
      <c r="O41" s="59" t="s">
        <v>95</v>
      </c>
      <c r="P41" s="66" t="s">
        <v>136</v>
      </c>
      <c r="Q41" s="66" t="s">
        <v>181</v>
      </c>
      <c r="R41" s="66" t="s">
        <v>182</v>
      </c>
      <c r="S41" s="42"/>
      <c r="T41" s="42"/>
      <c r="U41" s="40" t="str">
        <f t="shared" si="1"/>
        <v>Not Scheduled</v>
      </c>
      <c r="V41" s="41"/>
      <c r="W41" s="42"/>
      <c r="X41" s="42"/>
      <c r="Y41" s="43"/>
      <c r="Z41" s="44"/>
      <c r="AA41" s="45">
        <f t="shared" si="2"/>
        <v>0</v>
      </c>
      <c r="AB41" s="42"/>
      <c r="AC41" s="41"/>
      <c r="AD41" s="41"/>
      <c r="AE41" s="46">
        <f t="shared" si="3"/>
        <v>46235</v>
      </c>
      <c r="AF41" s="46" t="str">
        <f t="shared" si="7"/>
        <v/>
      </c>
      <c r="AG41" s="40" t="str">
        <f t="shared" si="4"/>
        <v>Yes</v>
      </c>
      <c r="AH41" s="40" t="str">
        <f t="shared" si="5"/>
        <v>No</v>
      </c>
      <c r="AI41" s="40" t="str">
        <f t="shared" si="6"/>
        <v>No</v>
      </c>
    </row>
    <row r="42" ht="15.75" customHeight="1">
      <c r="A42" s="60">
        <v>41.0</v>
      </c>
      <c r="B42" s="36">
        <v>46264.0</v>
      </c>
      <c r="C42" s="74" t="s">
        <v>276</v>
      </c>
      <c r="D42" s="75" t="s">
        <v>277</v>
      </c>
      <c r="E42" s="76" t="s">
        <v>278</v>
      </c>
      <c r="F42" s="77" t="s">
        <v>279</v>
      </c>
      <c r="G42" s="75" t="s">
        <v>280</v>
      </c>
      <c r="H42" s="62" t="s">
        <v>89</v>
      </c>
      <c r="I42" s="66" t="s">
        <v>89</v>
      </c>
      <c r="J42" s="65" t="s">
        <v>90</v>
      </c>
      <c r="K42" s="66" t="s">
        <v>91</v>
      </c>
      <c r="L42" s="66" t="s">
        <v>281</v>
      </c>
      <c r="M42" s="41"/>
      <c r="N42" s="66" t="s">
        <v>94</v>
      </c>
      <c r="O42" s="59" t="s">
        <v>95</v>
      </c>
      <c r="P42" s="66" t="s">
        <v>136</v>
      </c>
      <c r="Q42" s="66" t="s">
        <v>181</v>
      </c>
      <c r="R42" s="66" t="s">
        <v>182</v>
      </c>
      <c r="S42" s="42"/>
      <c r="T42" s="42"/>
      <c r="U42" s="40" t="str">
        <f t="shared" si="1"/>
        <v>Not Scheduled</v>
      </c>
      <c r="V42" s="41"/>
      <c r="W42" s="42"/>
      <c r="X42" s="42"/>
      <c r="Y42" s="43"/>
      <c r="Z42" s="44"/>
      <c r="AA42" s="45">
        <f t="shared" si="2"/>
        <v>0</v>
      </c>
      <c r="AB42" s="42"/>
      <c r="AC42" s="41"/>
      <c r="AD42" s="41"/>
      <c r="AE42" s="46">
        <f t="shared" si="3"/>
        <v>46235</v>
      </c>
      <c r="AF42" s="46" t="str">
        <f t="shared" si="7"/>
        <v/>
      </c>
      <c r="AG42" s="40" t="str">
        <f t="shared" si="4"/>
        <v>Yes</v>
      </c>
      <c r="AH42" s="40" t="str">
        <f t="shared" si="5"/>
        <v>No</v>
      </c>
      <c r="AI42" s="40" t="str">
        <f t="shared" si="6"/>
        <v>No</v>
      </c>
    </row>
    <row r="43" ht="15.75" customHeight="1">
      <c r="A43" s="60">
        <v>42.0</v>
      </c>
      <c r="B43" s="36">
        <v>46264.0</v>
      </c>
      <c r="C43" s="74" t="s">
        <v>283</v>
      </c>
      <c r="D43" s="75" t="s">
        <v>284</v>
      </c>
      <c r="E43" s="76" t="s">
        <v>285</v>
      </c>
      <c r="F43" s="77" t="s">
        <v>286</v>
      </c>
      <c r="G43" s="75"/>
      <c r="H43" s="62" t="s">
        <v>89</v>
      </c>
      <c r="I43" s="66" t="s">
        <v>89</v>
      </c>
      <c r="J43" s="65" t="s">
        <v>90</v>
      </c>
      <c r="K43" s="66" t="s">
        <v>91</v>
      </c>
      <c r="L43" s="66" t="s">
        <v>141</v>
      </c>
      <c r="M43" s="41"/>
      <c r="N43" s="66" t="s">
        <v>94</v>
      </c>
      <c r="O43" s="59" t="s">
        <v>95</v>
      </c>
      <c r="P43" s="66" t="s">
        <v>136</v>
      </c>
      <c r="Q43" s="66" t="s">
        <v>181</v>
      </c>
      <c r="R43" s="66" t="s">
        <v>182</v>
      </c>
      <c r="S43" s="42"/>
      <c r="T43" s="42"/>
      <c r="U43" s="40" t="str">
        <f t="shared" si="1"/>
        <v>Not Scheduled</v>
      </c>
      <c r="V43" s="41"/>
      <c r="W43" s="42"/>
      <c r="X43" s="42"/>
      <c r="Y43" s="43"/>
      <c r="Z43" s="44"/>
      <c r="AA43" s="45">
        <f t="shared" si="2"/>
        <v>0</v>
      </c>
      <c r="AB43" s="42"/>
      <c r="AC43" s="41"/>
      <c r="AD43" s="41"/>
      <c r="AE43" s="46">
        <f t="shared" si="3"/>
        <v>46235</v>
      </c>
      <c r="AF43" s="46" t="str">
        <f t="shared" si="7"/>
        <v/>
      </c>
      <c r="AG43" s="40" t="str">
        <f t="shared" si="4"/>
        <v>Yes</v>
      </c>
      <c r="AH43" s="40" t="str">
        <f t="shared" si="5"/>
        <v>No</v>
      </c>
      <c r="AI43" s="40" t="str">
        <f t="shared" si="6"/>
        <v>No</v>
      </c>
    </row>
    <row r="44" ht="15.75" customHeight="1">
      <c r="A44" s="60">
        <v>43.0</v>
      </c>
      <c r="B44" s="36">
        <v>46264.0</v>
      </c>
      <c r="C44" s="74" t="s">
        <v>287</v>
      </c>
      <c r="D44" s="75" t="s">
        <v>288</v>
      </c>
      <c r="E44" s="76" t="s">
        <v>289</v>
      </c>
      <c r="F44" s="77" t="s">
        <v>290</v>
      </c>
      <c r="G44" s="75" t="s">
        <v>88</v>
      </c>
      <c r="H44" s="62" t="s">
        <v>89</v>
      </c>
      <c r="I44" s="66" t="s">
        <v>89</v>
      </c>
      <c r="J44" s="65" t="s">
        <v>90</v>
      </c>
      <c r="K44" s="66" t="s">
        <v>91</v>
      </c>
      <c r="L44" s="66" t="s">
        <v>92</v>
      </c>
      <c r="M44" s="41"/>
      <c r="N44" s="66" t="s">
        <v>94</v>
      </c>
      <c r="O44" s="59" t="s">
        <v>95</v>
      </c>
      <c r="P44" s="66" t="s">
        <v>136</v>
      </c>
      <c r="Q44" s="66" t="s">
        <v>181</v>
      </c>
      <c r="R44" s="66" t="s">
        <v>182</v>
      </c>
      <c r="S44" s="42"/>
      <c r="T44" s="42"/>
      <c r="U44" s="40" t="str">
        <f t="shared" si="1"/>
        <v>Not Scheduled</v>
      </c>
      <c r="V44" s="41"/>
      <c r="W44" s="42"/>
      <c r="X44" s="42"/>
      <c r="Y44" s="43"/>
      <c r="Z44" s="44"/>
      <c r="AA44" s="45">
        <f t="shared" si="2"/>
        <v>0</v>
      </c>
      <c r="AB44" s="42"/>
      <c r="AC44" s="41"/>
      <c r="AD44" s="41"/>
      <c r="AE44" s="46">
        <f t="shared" si="3"/>
        <v>46235</v>
      </c>
      <c r="AF44" s="46" t="str">
        <f t="shared" si="7"/>
        <v/>
      </c>
      <c r="AG44" s="40" t="str">
        <f t="shared" si="4"/>
        <v>Yes</v>
      </c>
      <c r="AH44" s="40" t="str">
        <f t="shared" si="5"/>
        <v>No</v>
      </c>
      <c r="AI44" s="40" t="str">
        <f t="shared" si="6"/>
        <v>No</v>
      </c>
    </row>
    <row r="45" ht="15.75" customHeight="1">
      <c r="A45" s="60">
        <v>44.0</v>
      </c>
      <c r="B45" s="36">
        <v>46264.0</v>
      </c>
      <c r="C45" s="74" t="s">
        <v>291</v>
      </c>
      <c r="D45" s="75" t="s">
        <v>292</v>
      </c>
      <c r="E45" s="76" t="s">
        <v>293</v>
      </c>
      <c r="F45" s="77" t="s">
        <v>294</v>
      </c>
      <c r="G45" s="75" t="s">
        <v>295</v>
      </c>
      <c r="H45" s="62" t="s">
        <v>89</v>
      </c>
      <c r="I45" s="66" t="s">
        <v>89</v>
      </c>
      <c r="J45" s="65" t="s">
        <v>90</v>
      </c>
      <c r="K45" s="66" t="s">
        <v>115</v>
      </c>
      <c r="L45" s="66" t="s">
        <v>115</v>
      </c>
      <c r="M45" s="41"/>
      <c r="N45" s="66" t="s">
        <v>94</v>
      </c>
      <c r="O45" s="59" t="s">
        <v>95</v>
      </c>
      <c r="P45" s="66" t="s">
        <v>136</v>
      </c>
      <c r="Q45" s="66" t="s">
        <v>181</v>
      </c>
      <c r="R45" s="66" t="s">
        <v>182</v>
      </c>
      <c r="S45" s="42"/>
      <c r="T45" s="42"/>
      <c r="U45" s="40" t="str">
        <f t="shared" si="1"/>
        <v>Not Scheduled</v>
      </c>
      <c r="V45" s="41"/>
      <c r="W45" s="42"/>
      <c r="X45" s="42"/>
      <c r="Y45" s="43"/>
      <c r="Z45" s="44"/>
      <c r="AA45" s="45">
        <f t="shared" si="2"/>
        <v>0</v>
      </c>
      <c r="AB45" s="42"/>
      <c r="AC45" s="41"/>
      <c r="AD45" s="41"/>
      <c r="AE45" s="46">
        <f t="shared" si="3"/>
        <v>46235</v>
      </c>
      <c r="AF45" s="46" t="str">
        <f t="shared" si="7"/>
        <v/>
      </c>
      <c r="AG45" s="40" t="str">
        <f t="shared" si="4"/>
        <v>Yes</v>
      </c>
      <c r="AH45" s="40" t="str">
        <f t="shared" si="5"/>
        <v>No</v>
      </c>
      <c r="AI45" s="40" t="str">
        <f t="shared" si="6"/>
        <v>No</v>
      </c>
    </row>
    <row r="46" ht="15.75" customHeight="1">
      <c r="A46" s="60">
        <v>45.0</v>
      </c>
      <c r="B46" s="36">
        <v>46264.0</v>
      </c>
      <c r="C46" s="74" t="s">
        <v>296</v>
      </c>
      <c r="D46" s="75" t="s">
        <v>297</v>
      </c>
      <c r="E46" s="76" t="s">
        <v>298</v>
      </c>
      <c r="F46" s="77" t="s">
        <v>299</v>
      </c>
      <c r="G46" s="75" t="s">
        <v>295</v>
      </c>
      <c r="H46" s="62" t="s">
        <v>89</v>
      </c>
      <c r="I46" s="66" t="s">
        <v>89</v>
      </c>
      <c r="J46" s="65" t="s">
        <v>90</v>
      </c>
      <c r="K46" s="66" t="s">
        <v>161</v>
      </c>
      <c r="L46" s="66" t="s">
        <v>162</v>
      </c>
      <c r="M46" s="41"/>
      <c r="N46" s="66" t="s">
        <v>94</v>
      </c>
      <c r="O46" s="59" t="s">
        <v>95</v>
      </c>
      <c r="P46" s="66" t="s">
        <v>136</v>
      </c>
      <c r="Q46" s="66" t="s">
        <v>181</v>
      </c>
      <c r="R46" s="66" t="s">
        <v>182</v>
      </c>
      <c r="S46" s="42"/>
      <c r="T46" s="42"/>
      <c r="U46" s="40" t="str">
        <f t="shared" si="1"/>
        <v>Not Scheduled</v>
      </c>
      <c r="V46" s="41"/>
      <c r="W46" s="42"/>
      <c r="X46" s="42"/>
      <c r="Y46" s="43"/>
      <c r="Z46" s="44"/>
      <c r="AA46" s="45">
        <f t="shared" si="2"/>
        <v>0</v>
      </c>
      <c r="AB46" s="42"/>
      <c r="AC46" s="41"/>
      <c r="AD46" s="41"/>
      <c r="AE46" s="46">
        <f t="shared" si="3"/>
        <v>46235</v>
      </c>
      <c r="AF46" s="46" t="str">
        <f t="shared" si="7"/>
        <v/>
      </c>
      <c r="AG46" s="40" t="str">
        <f t="shared" si="4"/>
        <v>Yes</v>
      </c>
      <c r="AH46" s="40" t="str">
        <f t="shared" si="5"/>
        <v>No</v>
      </c>
      <c r="AI46" s="40" t="str">
        <f t="shared" si="6"/>
        <v>No</v>
      </c>
    </row>
    <row r="47" ht="15.75" customHeight="1">
      <c r="A47" s="60">
        <v>46.0</v>
      </c>
      <c r="B47" s="36">
        <v>46264.0</v>
      </c>
      <c r="C47" s="74" t="s">
        <v>301</v>
      </c>
      <c r="D47" s="75" t="s">
        <v>302</v>
      </c>
      <c r="E47" s="76" t="s">
        <v>303</v>
      </c>
      <c r="F47" s="77" t="s">
        <v>304</v>
      </c>
      <c r="G47" s="75"/>
      <c r="H47" s="62" t="s">
        <v>89</v>
      </c>
      <c r="I47" s="66" t="s">
        <v>89</v>
      </c>
      <c r="J47" s="65" t="s">
        <v>90</v>
      </c>
      <c r="K47" s="66" t="s">
        <v>161</v>
      </c>
      <c r="L47" s="66" t="s">
        <v>162</v>
      </c>
      <c r="M47" s="41"/>
      <c r="N47" s="66" t="s">
        <v>94</v>
      </c>
      <c r="O47" s="59" t="s">
        <v>95</v>
      </c>
      <c r="P47" s="66" t="s">
        <v>136</v>
      </c>
      <c r="Q47" s="66" t="s">
        <v>181</v>
      </c>
      <c r="R47" s="66" t="s">
        <v>182</v>
      </c>
      <c r="S47" s="42"/>
      <c r="T47" s="42"/>
      <c r="U47" s="40" t="str">
        <f t="shared" si="1"/>
        <v>Not Scheduled</v>
      </c>
      <c r="V47" s="41"/>
      <c r="W47" s="42"/>
      <c r="X47" s="42"/>
      <c r="Y47" s="43"/>
      <c r="Z47" s="44"/>
      <c r="AA47" s="45">
        <f t="shared" si="2"/>
        <v>0</v>
      </c>
      <c r="AB47" s="42"/>
      <c r="AC47" s="41"/>
      <c r="AD47" s="41"/>
      <c r="AE47" s="46">
        <f t="shared" si="3"/>
        <v>46235</v>
      </c>
      <c r="AF47" s="46" t="str">
        <f t="shared" si="7"/>
        <v/>
      </c>
      <c r="AG47" s="40" t="str">
        <f t="shared" si="4"/>
        <v>Yes</v>
      </c>
      <c r="AH47" s="40" t="str">
        <f t="shared" si="5"/>
        <v>No</v>
      </c>
      <c r="AI47" s="40" t="str">
        <f t="shared" si="6"/>
        <v>No</v>
      </c>
    </row>
    <row r="48" ht="15.75" customHeight="1">
      <c r="A48" s="60">
        <v>47.0</v>
      </c>
      <c r="B48" s="36">
        <v>46264.0</v>
      </c>
      <c r="C48" s="74" t="s">
        <v>305</v>
      </c>
      <c r="D48" s="75" t="s">
        <v>306</v>
      </c>
      <c r="E48" s="77" t="s">
        <v>307</v>
      </c>
      <c r="F48" s="77" t="s">
        <v>308</v>
      </c>
      <c r="G48" s="75" t="s">
        <v>88</v>
      </c>
      <c r="H48" s="62" t="s">
        <v>89</v>
      </c>
      <c r="I48" s="66" t="s">
        <v>89</v>
      </c>
      <c r="J48" s="65" t="s">
        <v>90</v>
      </c>
      <c r="K48" s="66" t="s">
        <v>161</v>
      </c>
      <c r="L48" s="66" t="s">
        <v>162</v>
      </c>
      <c r="M48" s="41"/>
      <c r="N48" s="66" t="s">
        <v>94</v>
      </c>
      <c r="O48" s="59" t="s">
        <v>95</v>
      </c>
      <c r="P48" s="66" t="s">
        <v>136</v>
      </c>
      <c r="Q48" s="66" t="s">
        <v>181</v>
      </c>
      <c r="R48" s="66" t="s">
        <v>182</v>
      </c>
      <c r="S48" s="42"/>
      <c r="T48" s="42"/>
      <c r="U48" s="40" t="str">
        <f t="shared" si="1"/>
        <v>Not Scheduled</v>
      </c>
      <c r="V48" s="41"/>
      <c r="W48" s="42"/>
      <c r="X48" s="42"/>
      <c r="Y48" s="43"/>
      <c r="Z48" s="44"/>
      <c r="AA48" s="45">
        <f t="shared" si="2"/>
        <v>0</v>
      </c>
      <c r="AB48" s="42"/>
      <c r="AC48" s="41"/>
      <c r="AD48" s="41"/>
      <c r="AE48" s="46">
        <f t="shared" si="3"/>
        <v>46235</v>
      </c>
      <c r="AF48" s="46" t="str">
        <f t="shared" si="7"/>
        <v/>
      </c>
      <c r="AG48" s="40" t="str">
        <f t="shared" si="4"/>
        <v>Yes</v>
      </c>
      <c r="AH48" s="40" t="str">
        <f t="shared" si="5"/>
        <v>No</v>
      </c>
      <c r="AI48" s="40" t="str">
        <f t="shared" si="6"/>
        <v>No</v>
      </c>
    </row>
    <row r="49" ht="15.75" customHeight="1">
      <c r="A49" s="60">
        <v>48.0</v>
      </c>
      <c r="B49" s="36">
        <v>46264.0</v>
      </c>
      <c r="C49" s="74" t="s">
        <v>310</v>
      </c>
      <c r="D49" s="75" t="s">
        <v>311</v>
      </c>
      <c r="E49" s="80" t="s">
        <v>312</v>
      </c>
      <c r="F49" s="77" t="s">
        <v>313</v>
      </c>
      <c r="G49" s="75" t="s">
        <v>88</v>
      </c>
      <c r="H49" s="62" t="s">
        <v>89</v>
      </c>
      <c r="I49" s="66" t="s">
        <v>89</v>
      </c>
      <c r="J49" s="65" t="s">
        <v>90</v>
      </c>
      <c r="K49" s="66" t="s">
        <v>115</v>
      </c>
      <c r="L49" s="66" t="s">
        <v>115</v>
      </c>
      <c r="M49" s="41"/>
      <c r="N49" s="66" t="s">
        <v>94</v>
      </c>
      <c r="O49" s="59" t="s">
        <v>95</v>
      </c>
      <c r="P49" s="66" t="s">
        <v>136</v>
      </c>
      <c r="Q49" s="66" t="s">
        <v>181</v>
      </c>
      <c r="R49" s="66" t="s">
        <v>182</v>
      </c>
      <c r="S49" s="42"/>
      <c r="T49" s="42"/>
      <c r="U49" s="40" t="str">
        <f t="shared" si="1"/>
        <v>Not Scheduled</v>
      </c>
      <c r="V49" s="41"/>
      <c r="W49" s="42"/>
      <c r="X49" s="42"/>
      <c r="Y49" s="43"/>
      <c r="Z49" s="44"/>
      <c r="AA49" s="45">
        <f t="shared" si="2"/>
        <v>0</v>
      </c>
      <c r="AB49" s="42"/>
      <c r="AC49" s="41"/>
      <c r="AD49" s="41"/>
      <c r="AE49" s="46">
        <f t="shared" si="3"/>
        <v>46235</v>
      </c>
      <c r="AF49" s="46" t="str">
        <f t="shared" si="7"/>
        <v/>
      </c>
      <c r="AG49" s="40" t="str">
        <f t="shared" si="4"/>
        <v>Yes</v>
      </c>
      <c r="AH49" s="40" t="str">
        <f t="shared" si="5"/>
        <v>No</v>
      </c>
      <c r="AI49" s="40" t="str">
        <f t="shared" si="6"/>
        <v>No</v>
      </c>
    </row>
    <row r="50" ht="15.75" customHeight="1">
      <c r="A50" s="60">
        <v>49.0</v>
      </c>
      <c r="B50" s="36">
        <v>46264.0</v>
      </c>
      <c r="C50" s="74" t="s">
        <v>314</v>
      </c>
      <c r="D50" s="75" t="s">
        <v>315</v>
      </c>
      <c r="E50" s="76" t="s">
        <v>316</v>
      </c>
      <c r="F50" s="77" t="s">
        <v>317</v>
      </c>
      <c r="G50" s="75" t="s">
        <v>318</v>
      </c>
      <c r="H50" s="62" t="s">
        <v>89</v>
      </c>
      <c r="I50" s="66" t="s">
        <v>89</v>
      </c>
      <c r="J50" s="65" t="s">
        <v>90</v>
      </c>
      <c r="K50" s="66" t="s">
        <v>161</v>
      </c>
      <c r="L50" s="66" t="s">
        <v>162</v>
      </c>
      <c r="M50" s="41"/>
      <c r="N50" s="66" t="s">
        <v>94</v>
      </c>
      <c r="O50" s="59" t="s">
        <v>95</v>
      </c>
      <c r="P50" s="66" t="s">
        <v>136</v>
      </c>
      <c r="Q50" s="66" t="s">
        <v>181</v>
      </c>
      <c r="R50" s="66" t="s">
        <v>182</v>
      </c>
      <c r="S50" s="42"/>
      <c r="T50" s="42"/>
      <c r="U50" s="40" t="str">
        <f t="shared" si="1"/>
        <v>Not Scheduled</v>
      </c>
      <c r="V50" s="41"/>
      <c r="W50" s="42"/>
      <c r="X50" s="42"/>
      <c r="Y50" s="43"/>
      <c r="Z50" s="44"/>
      <c r="AA50" s="45">
        <f t="shared" si="2"/>
        <v>0</v>
      </c>
      <c r="AB50" s="42"/>
      <c r="AC50" s="41"/>
      <c r="AD50" s="41"/>
      <c r="AE50" s="46">
        <f t="shared" si="3"/>
        <v>46235</v>
      </c>
      <c r="AF50" s="46" t="str">
        <f t="shared" si="7"/>
        <v/>
      </c>
      <c r="AG50" s="40" t="str">
        <f t="shared" si="4"/>
        <v>Yes</v>
      </c>
      <c r="AH50" s="40" t="str">
        <f t="shared" si="5"/>
        <v>No</v>
      </c>
      <c r="AI50" s="40" t="str">
        <f t="shared" si="6"/>
        <v>No</v>
      </c>
    </row>
    <row r="51" ht="15.75" customHeight="1">
      <c r="A51" s="60">
        <v>50.0</v>
      </c>
      <c r="B51" s="36">
        <v>46264.0</v>
      </c>
      <c r="C51" s="74" t="s">
        <v>319</v>
      </c>
      <c r="D51" s="75" t="s">
        <v>320</v>
      </c>
      <c r="E51" s="76" t="s">
        <v>321</v>
      </c>
      <c r="F51" s="77" t="s">
        <v>322</v>
      </c>
      <c r="G51" s="75" t="s">
        <v>88</v>
      </c>
      <c r="H51" s="62" t="s">
        <v>89</v>
      </c>
      <c r="I51" s="66" t="s">
        <v>89</v>
      </c>
      <c r="J51" s="65" t="s">
        <v>90</v>
      </c>
      <c r="K51" s="66" t="s">
        <v>161</v>
      </c>
      <c r="L51" s="66" t="s">
        <v>162</v>
      </c>
      <c r="M51" s="41"/>
      <c r="N51" s="66" t="s">
        <v>94</v>
      </c>
      <c r="O51" s="59" t="s">
        <v>95</v>
      </c>
      <c r="P51" s="66" t="s">
        <v>136</v>
      </c>
      <c r="Q51" s="66" t="s">
        <v>181</v>
      </c>
      <c r="R51" s="66" t="s">
        <v>182</v>
      </c>
      <c r="S51" s="42"/>
      <c r="T51" s="42"/>
      <c r="U51" s="40" t="str">
        <f t="shared" si="1"/>
        <v>Not Scheduled</v>
      </c>
      <c r="V51" s="41"/>
      <c r="W51" s="42"/>
      <c r="X51" s="42"/>
      <c r="Y51" s="43"/>
      <c r="Z51" s="44"/>
      <c r="AA51" s="45">
        <f t="shared" si="2"/>
        <v>0</v>
      </c>
      <c r="AB51" s="42"/>
      <c r="AC51" s="41"/>
      <c r="AD51" s="41"/>
      <c r="AE51" s="46">
        <f t="shared" si="3"/>
        <v>46235</v>
      </c>
      <c r="AF51" s="46" t="str">
        <f t="shared" si="7"/>
        <v/>
      </c>
      <c r="AG51" s="40" t="str">
        <f t="shared" si="4"/>
        <v>Yes</v>
      </c>
      <c r="AH51" s="40" t="str">
        <f t="shared" si="5"/>
        <v>No</v>
      </c>
      <c r="AI51" s="40" t="str">
        <f t="shared" si="6"/>
        <v>No</v>
      </c>
    </row>
    <row r="52" ht="15.75" customHeight="1">
      <c r="A52" s="60">
        <v>51.0</v>
      </c>
      <c r="B52" s="36">
        <v>46264.0</v>
      </c>
      <c r="C52" s="74" t="s">
        <v>323</v>
      </c>
      <c r="D52" s="75" t="s">
        <v>324</v>
      </c>
      <c r="E52" s="76" t="s">
        <v>325</v>
      </c>
      <c r="F52" s="77" t="s">
        <v>326</v>
      </c>
      <c r="G52" s="75" t="s">
        <v>295</v>
      </c>
      <c r="H52" s="62" t="s">
        <v>89</v>
      </c>
      <c r="I52" s="66" t="s">
        <v>89</v>
      </c>
      <c r="J52" s="65" t="s">
        <v>90</v>
      </c>
      <c r="K52" s="66" t="s">
        <v>91</v>
      </c>
      <c r="L52" s="66" t="s">
        <v>141</v>
      </c>
      <c r="M52" s="41"/>
      <c r="N52" s="66" t="s">
        <v>94</v>
      </c>
      <c r="O52" s="59" t="s">
        <v>95</v>
      </c>
      <c r="P52" s="66" t="s">
        <v>136</v>
      </c>
      <c r="Q52" s="66" t="s">
        <v>181</v>
      </c>
      <c r="R52" s="66" t="s">
        <v>182</v>
      </c>
      <c r="S52" s="42"/>
      <c r="T52" s="42"/>
      <c r="U52" s="40" t="str">
        <f t="shared" si="1"/>
        <v>Not Scheduled</v>
      </c>
      <c r="V52" s="41"/>
      <c r="W52" s="42"/>
      <c r="X52" s="42"/>
      <c r="Y52" s="43"/>
      <c r="Z52" s="44"/>
      <c r="AA52" s="45">
        <f t="shared" si="2"/>
        <v>0</v>
      </c>
      <c r="AB52" s="42"/>
      <c r="AC52" s="41"/>
      <c r="AD52" s="41"/>
      <c r="AE52" s="46">
        <f t="shared" si="3"/>
        <v>46235</v>
      </c>
      <c r="AF52" s="46" t="str">
        <f t="shared" si="7"/>
        <v/>
      </c>
      <c r="AG52" s="40" t="str">
        <f t="shared" si="4"/>
        <v>Yes</v>
      </c>
      <c r="AH52" s="40" t="str">
        <f t="shared" si="5"/>
        <v>No</v>
      </c>
      <c r="AI52" s="40" t="str">
        <f t="shared" si="6"/>
        <v>No</v>
      </c>
    </row>
    <row r="53" ht="15.75" customHeight="1">
      <c r="A53" s="60">
        <v>52.0</v>
      </c>
      <c r="B53" s="36">
        <v>46264.0</v>
      </c>
      <c r="C53" s="74" t="s">
        <v>327</v>
      </c>
      <c r="D53" s="75" t="s">
        <v>328</v>
      </c>
      <c r="E53" s="76" t="s">
        <v>329</v>
      </c>
      <c r="F53" s="77" t="s">
        <v>330</v>
      </c>
      <c r="G53" s="75" t="s">
        <v>280</v>
      </c>
      <c r="H53" s="62" t="s">
        <v>89</v>
      </c>
      <c r="I53" s="66" t="s">
        <v>89</v>
      </c>
      <c r="J53" s="65" t="s">
        <v>90</v>
      </c>
      <c r="K53" s="66" t="s">
        <v>115</v>
      </c>
      <c r="L53" s="66" t="s">
        <v>115</v>
      </c>
      <c r="M53" s="41"/>
      <c r="N53" s="66" t="s">
        <v>94</v>
      </c>
      <c r="O53" s="59" t="s">
        <v>95</v>
      </c>
      <c r="P53" s="66" t="s">
        <v>136</v>
      </c>
      <c r="Q53" s="66" t="s">
        <v>181</v>
      </c>
      <c r="R53" s="66" t="s">
        <v>182</v>
      </c>
      <c r="S53" s="42"/>
      <c r="T53" s="42"/>
      <c r="U53" s="40" t="str">
        <f t="shared" si="1"/>
        <v>Not Scheduled</v>
      </c>
      <c r="V53" s="41"/>
      <c r="W53" s="42"/>
      <c r="X53" s="42"/>
      <c r="Y53" s="43"/>
      <c r="Z53" s="44"/>
      <c r="AA53" s="45">
        <f t="shared" si="2"/>
        <v>0</v>
      </c>
      <c r="AB53" s="42"/>
      <c r="AC53" s="41"/>
      <c r="AD53" s="41"/>
      <c r="AE53" s="46">
        <f t="shared" si="3"/>
        <v>46235</v>
      </c>
      <c r="AF53" s="46" t="str">
        <f t="shared" si="7"/>
        <v/>
      </c>
      <c r="AG53" s="40" t="str">
        <f t="shared" si="4"/>
        <v>Yes</v>
      </c>
      <c r="AH53" s="40" t="str">
        <f t="shared" si="5"/>
        <v>No</v>
      </c>
      <c r="AI53" s="40" t="str">
        <f t="shared" si="6"/>
        <v>No</v>
      </c>
    </row>
    <row r="54" ht="15.75" customHeight="1">
      <c r="A54" s="60">
        <v>53.0</v>
      </c>
      <c r="B54" s="36">
        <v>46267.0</v>
      </c>
      <c r="C54" s="74" t="s">
        <v>331</v>
      </c>
      <c r="D54" s="75" t="s">
        <v>332</v>
      </c>
      <c r="E54" s="76" t="s">
        <v>333</v>
      </c>
      <c r="F54" s="77" t="s">
        <v>334</v>
      </c>
      <c r="G54" s="75" t="s">
        <v>88</v>
      </c>
      <c r="H54" s="62" t="s">
        <v>89</v>
      </c>
      <c r="I54" s="66" t="s">
        <v>89</v>
      </c>
      <c r="J54" s="65" t="s">
        <v>90</v>
      </c>
      <c r="K54" s="66" t="s">
        <v>91</v>
      </c>
      <c r="L54" s="66" t="s">
        <v>92</v>
      </c>
      <c r="M54" s="41"/>
      <c r="N54" s="66" t="s">
        <v>94</v>
      </c>
      <c r="O54" s="59" t="s">
        <v>95</v>
      </c>
      <c r="P54" s="66" t="s">
        <v>136</v>
      </c>
      <c r="Q54" s="66" t="s">
        <v>181</v>
      </c>
      <c r="R54" s="66" t="s">
        <v>182</v>
      </c>
      <c r="S54" s="42"/>
      <c r="T54" s="42"/>
      <c r="U54" s="40" t="str">
        <f t="shared" si="1"/>
        <v>Not Scheduled</v>
      </c>
      <c r="V54" s="41"/>
      <c r="W54" s="42"/>
      <c r="X54" s="42"/>
      <c r="Y54" s="43"/>
      <c r="Z54" s="44"/>
      <c r="AA54" s="45">
        <f t="shared" si="2"/>
        <v>0</v>
      </c>
      <c r="AB54" s="42"/>
      <c r="AC54" s="41"/>
      <c r="AD54" s="41"/>
      <c r="AE54" s="46">
        <f t="shared" si="3"/>
        <v>46266</v>
      </c>
      <c r="AF54" s="46" t="str">
        <f t="shared" si="7"/>
        <v/>
      </c>
      <c r="AG54" s="40" t="str">
        <f t="shared" si="4"/>
        <v>Yes</v>
      </c>
      <c r="AH54" s="40" t="str">
        <f t="shared" si="5"/>
        <v>No</v>
      </c>
      <c r="AI54" s="40" t="str">
        <f t="shared" si="6"/>
        <v>No</v>
      </c>
    </row>
    <row r="55" ht="15.75" customHeight="1">
      <c r="A55" s="60">
        <v>54.0</v>
      </c>
      <c r="B55" s="36">
        <v>46267.0</v>
      </c>
      <c r="C55" s="74" t="s">
        <v>335</v>
      </c>
      <c r="D55" s="75" t="s">
        <v>336</v>
      </c>
      <c r="E55" s="76" t="s">
        <v>337</v>
      </c>
      <c r="F55" s="77" t="s">
        <v>338</v>
      </c>
      <c r="G55" s="75" t="s">
        <v>88</v>
      </c>
      <c r="H55" s="62" t="s">
        <v>89</v>
      </c>
      <c r="I55" s="66" t="s">
        <v>89</v>
      </c>
      <c r="J55" s="65" t="s">
        <v>90</v>
      </c>
      <c r="K55" s="66" t="s">
        <v>91</v>
      </c>
      <c r="L55" s="66" t="s">
        <v>141</v>
      </c>
      <c r="M55" s="41"/>
      <c r="N55" s="66" t="s">
        <v>94</v>
      </c>
      <c r="O55" s="59" t="s">
        <v>95</v>
      </c>
      <c r="P55" s="66" t="s">
        <v>136</v>
      </c>
      <c r="Q55" s="66" t="s">
        <v>181</v>
      </c>
      <c r="R55" s="66" t="s">
        <v>182</v>
      </c>
      <c r="S55" s="42"/>
      <c r="T55" s="42"/>
      <c r="U55" s="40" t="str">
        <f t="shared" si="1"/>
        <v>Not Scheduled</v>
      </c>
      <c r="V55" s="41"/>
      <c r="W55" s="42"/>
      <c r="X55" s="42"/>
      <c r="Y55" s="43"/>
      <c r="Z55" s="44"/>
      <c r="AA55" s="45">
        <f t="shared" si="2"/>
        <v>0</v>
      </c>
      <c r="AB55" s="42"/>
      <c r="AC55" s="41"/>
      <c r="AD55" s="41"/>
      <c r="AE55" s="46">
        <f t="shared" si="3"/>
        <v>46266</v>
      </c>
      <c r="AF55" s="46" t="str">
        <f t="shared" si="7"/>
        <v/>
      </c>
      <c r="AG55" s="40" t="str">
        <f t="shared" si="4"/>
        <v>Yes</v>
      </c>
      <c r="AH55" s="40" t="str">
        <f t="shared" si="5"/>
        <v>No</v>
      </c>
      <c r="AI55" s="40" t="str">
        <f t="shared" si="6"/>
        <v>No</v>
      </c>
    </row>
    <row r="56" ht="15.75" customHeight="1">
      <c r="A56" s="60">
        <v>55.0</v>
      </c>
      <c r="B56" s="36">
        <v>46267.0</v>
      </c>
      <c r="C56" s="74" t="s">
        <v>348</v>
      </c>
      <c r="D56" s="75" t="s">
        <v>349</v>
      </c>
      <c r="E56" s="76" t="s">
        <v>350</v>
      </c>
      <c r="F56" s="77" t="s">
        <v>351</v>
      </c>
      <c r="G56" s="75" t="s">
        <v>88</v>
      </c>
      <c r="H56" s="62" t="s">
        <v>89</v>
      </c>
      <c r="I56" s="66" t="s">
        <v>89</v>
      </c>
      <c r="J56" s="65" t="s">
        <v>90</v>
      </c>
      <c r="K56" s="66" t="s">
        <v>161</v>
      </c>
      <c r="L56" s="66" t="s">
        <v>162</v>
      </c>
      <c r="M56" s="41"/>
      <c r="N56" s="66" t="s">
        <v>94</v>
      </c>
      <c r="O56" s="59" t="s">
        <v>95</v>
      </c>
      <c r="P56" s="66" t="s">
        <v>136</v>
      </c>
      <c r="Q56" s="66" t="s">
        <v>181</v>
      </c>
      <c r="R56" s="66" t="s">
        <v>182</v>
      </c>
      <c r="S56" s="42"/>
      <c r="T56" s="42"/>
      <c r="U56" s="40" t="str">
        <f t="shared" si="1"/>
        <v>Not Scheduled</v>
      </c>
      <c r="V56" s="41"/>
      <c r="W56" s="42"/>
      <c r="X56" s="42"/>
      <c r="Y56" s="43"/>
      <c r="Z56" s="44"/>
      <c r="AA56" s="45">
        <f t="shared" si="2"/>
        <v>0</v>
      </c>
      <c r="AB56" s="42"/>
      <c r="AC56" s="41"/>
      <c r="AD56" s="41"/>
      <c r="AE56" s="46">
        <f t="shared" si="3"/>
        <v>46266</v>
      </c>
      <c r="AF56" s="46" t="str">
        <f t="shared" si="7"/>
        <v/>
      </c>
      <c r="AG56" s="40" t="str">
        <f t="shared" si="4"/>
        <v>Yes</v>
      </c>
      <c r="AH56" s="40" t="str">
        <f t="shared" si="5"/>
        <v>No</v>
      </c>
      <c r="AI56" s="40" t="str">
        <f t="shared" si="6"/>
        <v>No</v>
      </c>
    </row>
    <row r="57" ht="15.75" customHeight="1">
      <c r="A57" s="60">
        <v>56.0</v>
      </c>
      <c r="B57" s="36">
        <v>46267.0</v>
      </c>
      <c r="C57" s="74" t="s">
        <v>352</v>
      </c>
      <c r="D57" s="75" t="s">
        <v>353</v>
      </c>
      <c r="E57" s="76" t="s">
        <v>354</v>
      </c>
      <c r="F57" s="77"/>
      <c r="G57" s="75" t="s">
        <v>88</v>
      </c>
      <c r="H57" s="62" t="s">
        <v>89</v>
      </c>
      <c r="I57" s="66" t="s">
        <v>89</v>
      </c>
      <c r="J57" s="65" t="s">
        <v>90</v>
      </c>
      <c r="K57" s="66" t="s">
        <v>161</v>
      </c>
      <c r="L57" s="66" t="s">
        <v>115</v>
      </c>
      <c r="M57" s="41"/>
      <c r="N57" s="66" t="s">
        <v>94</v>
      </c>
      <c r="O57" s="59" t="s">
        <v>95</v>
      </c>
      <c r="P57" s="66" t="s">
        <v>136</v>
      </c>
      <c r="Q57" s="66" t="s">
        <v>181</v>
      </c>
      <c r="R57" s="66" t="s">
        <v>182</v>
      </c>
      <c r="S57" s="42"/>
      <c r="T57" s="42"/>
      <c r="U57" s="40" t="str">
        <f t="shared" si="1"/>
        <v>Not Scheduled</v>
      </c>
      <c r="V57" s="41"/>
      <c r="W57" s="42"/>
      <c r="X57" s="42"/>
      <c r="Y57" s="43"/>
      <c r="Z57" s="44"/>
      <c r="AA57" s="45">
        <f t="shared" si="2"/>
        <v>0</v>
      </c>
      <c r="AB57" s="42"/>
      <c r="AC57" s="41"/>
      <c r="AD57" s="41"/>
      <c r="AE57" s="46">
        <f t="shared" si="3"/>
        <v>46266</v>
      </c>
      <c r="AF57" s="46" t="str">
        <f t="shared" si="7"/>
        <v/>
      </c>
      <c r="AG57" s="40" t="str">
        <f t="shared" si="4"/>
        <v>Yes</v>
      </c>
      <c r="AH57" s="40" t="str">
        <f t="shared" si="5"/>
        <v>No</v>
      </c>
      <c r="AI57" s="40" t="str">
        <f t="shared" si="6"/>
        <v>No</v>
      </c>
    </row>
    <row r="58" ht="15.75" customHeight="1">
      <c r="A58" s="60">
        <v>57.0</v>
      </c>
      <c r="B58" s="36">
        <v>46267.0</v>
      </c>
      <c r="C58" s="74" t="s">
        <v>355</v>
      </c>
      <c r="D58" s="75" t="s">
        <v>356</v>
      </c>
      <c r="E58" s="76" t="s">
        <v>357</v>
      </c>
      <c r="F58" s="77" t="s">
        <v>358</v>
      </c>
      <c r="G58" s="75" t="s">
        <v>88</v>
      </c>
      <c r="H58" s="62" t="s">
        <v>89</v>
      </c>
      <c r="I58" s="66" t="s">
        <v>89</v>
      </c>
      <c r="J58" s="65" t="s">
        <v>90</v>
      </c>
      <c r="K58" s="66" t="s">
        <v>115</v>
      </c>
      <c r="L58" s="66" t="s">
        <v>115</v>
      </c>
      <c r="M58" s="41"/>
      <c r="N58" s="66" t="s">
        <v>94</v>
      </c>
      <c r="O58" s="59" t="s">
        <v>95</v>
      </c>
      <c r="P58" s="66" t="s">
        <v>136</v>
      </c>
      <c r="Q58" s="66" t="s">
        <v>181</v>
      </c>
      <c r="R58" s="66" t="s">
        <v>182</v>
      </c>
      <c r="S58" s="42"/>
      <c r="T58" s="42"/>
      <c r="U58" s="40" t="str">
        <f t="shared" si="1"/>
        <v>Not Scheduled</v>
      </c>
      <c r="V58" s="41"/>
      <c r="W58" s="42"/>
      <c r="X58" s="42"/>
      <c r="Y58" s="43"/>
      <c r="Z58" s="44"/>
      <c r="AA58" s="45">
        <f t="shared" si="2"/>
        <v>0</v>
      </c>
      <c r="AB58" s="42"/>
      <c r="AC58" s="41"/>
      <c r="AD58" s="41"/>
      <c r="AE58" s="46">
        <f t="shared" si="3"/>
        <v>46266</v>
      </c>
      <c r="AF58" s="46" t="str">
        <f t="shared" si="7"/>
        <v/>
      </c>
      <c r="AG58" s="40" t="str">
        <f t="shared" si="4"/>
        <v>Yes</v>
      </c>
      <c r="AH58" s="40" t="str">
        <f t="shared" si="5"/>
        <v>No</v>
      </c>
      <c r="AI58" s="40" t="str">
        <f t="shared" si="6"/>
        <v>No</v>
      </c>
    </row>
    <row r="59" ht="15.75" customHeight="1">
      <c r="A59" s="60">
        <v>58.0</v>
      </c>
      <c r="B59" s="36">
        <v>46267.0</v>
      </c>
      <c r="C59" s="74" t="s">
        <v>359</v>
      </c>
      <c r="D59" s="75" t="s">
        <v>360</v>
      </c>
      <c r="E59" s="76" t="s">
        <v>361</v>
      </c>
      <c r="F59" s="77" t="s">
        <v>362</v>
      </c>
      <c r="G59" s="75" t="s">
        <v>295</v>
      </c>
      <c r="H59" s="62" t="s">
        <v>89</v>
      </c>
      <c r="I59" s="66" t="s">
        <v>89</v>
      </c>
      <c r="J59" s="65" t="s">
        <v>90</v>
      </c>
      <c r="K59" s="66" t="s">
        <v>115</v>
      </c>
      <c r="L59" s="66" t="s">
        <v>115</v>
      </c>
      <c r="M59" s="41"/>
      <c r="N59" s="66" t="s">
        <v>94</v>
      </c>
      <c r="O59" s="59" t="s">
        <v>95</v>
      </c>
      <c r="P59" s="66" t="s">
        <v>136</v>
      </c>
      <c r="Q59" s="66" t="s">
        <v>181</v>
      </c>
      <c r="R59" s="66" t="s">
        <v>182</v>
      </c>
      <c r="S59" s="42"/>
      <c r="T59" s="42"/>
      <c r="U59" s="40" t="str">
        <f t="shared" si="1"/>
        <v>Not Scheduled</v>
      </c>
      <c r="V59" s="41"/>
      <c r="W59" s="42"/>
      <c r="X59" s="42"/>
      <c r="Y59" s="43"/>
      <c r="Z59" s="44"/>
      <c r="AA59" s="45">
        <f t="shared" si="2"/>
        <v>0</v>
      </c>
      <c r="AB59" s="42"/>
      <c r="AC59" s="41"/>
      <c r="AD59" s="41"/>
      <c r="AE59" s="46">
        <f t="shared" si="3"/>
        <v>46266</v>
      </c>
      <c r="AF59" s="46" t="str">
        <f t="shared" si="7"/>
        <v/>
      </c>
      <c r="AG59" s="40" t="str">
        <f t="shared" si="4"/>
        <v>Yes</v>
      </c>
      <c r="AH59" s="40" t="str">
        <f t="shared" si="5"/>
        <v>No</v>
      </c>
      <c r="AI59" s="40" t="str">
        <f t="shared" si="6"/>
        <v>No</v>
      </c>
    </row>
    <row r="60" ht="15.75" customHeight="1">
      <c r="A60" s="60">
        <v>59.0</v>
      </c>
      <c r="B60" s="36">
        <v>46267.0</v>
      </c>
      <c r="C60" s="74" t="s">
        <v>366</v>
      </c>
      <c r="D60" s="75" t="s">
        <v>367</v>
      </c>
      <c r="E60" s="76" t="s">
        <v>368</v>
      </c>
      <c r="F60" s="77" t="s">
        <v>369</v>
      </c>
      <c r="G60" s="75" t="s">
        <v>370</v>
      </c>
      <c r="H60" s="62" t="s">
        <v>89</v>
      </c>
      <c r="I60" s="66" t="s">
        <v>89</v>
      </c>
      <c r="J60" s="65" t="s">
        <v>90</v>
      </c>
      <c r="K60" s="66" t="s">
        <v>161</v>
      </c>
      <c r="L60" s="66" t="s">
        <v>162</v>
      </c>
      <c r="M60" s="41"/>
      <c r="N60" s="66" t="s">
        <v>94</v>
      </c>
      <c r="O60" s="59" t="s">
        <v>95</v>
      </c>
      <c r="P60" s="66" t="s">
        <v>136</v>
      </c>
      <c r="Q60" s="66" t="s">
        <v>181</v>
      </c>
      <c r="R60" s="66" t="s">
        <v>182</v>
      </c>
      <c r="S60" s="42"/>
      <c r="T60" s="42"/>
      <c r="U60" s="40" t="str">
        <f t="shared" si="1"/>
        <v>Not Scheduled</v>
      </c>
      <c r="V60" s="41"/>
      <c r="W60" s="42"/>
      <c r="X60" s="42"/>
      <c r="Y60" s="43"/>
      <c r="Z60" s="44"/>
      <c r="AA60" s="45">
        <f t="shared" si="2"/>
        <v>0</v>
      </c>
      <c r="AB60" s="42"/>
      <c r="AC60" s="41"/>
      <c r="AD60" s="41"/>
      <c r="AE60" s="46">
        <f t="shared" si="3"/>
        <v>46266</v>
      </c>
      <c r="AF60" s="46" t="str">
        <f t="shared" si="7"/>
        <v/>
      </c>
      <c r="AG60" s="40" t="str">
        <f t="shared" si="4"/>
        <v>Yes</v>
      </c>
      <c r="AH60" s="40" t="str">
        <f t="shared" si="5"/>
        <v>No</v>
      </c>
      <c r="AI60" s="40" t="str">
        <f t="shared" si="6"/>
        <v>No</v>
      </c>
    </row>
    <row r="61" ht="15.75" customHeight="1">
      <c r="A61" s="60">
        <v>60.0</v>
      </c>
      <c r="B61" s="36">
        <v>46267.0</v>
      </c>
      <c r="C61" s="74" t="s">
        <v>371</v>
      </c>
      <c r="D61" s="75" t="s">
        <v>372</v>
      </c>
      <c r="E61" s="76" t="s">
        <v>373</v>
      </c>
      <c r="F61" s="77" t="s">
        <v>374</v>
      </c>
      <c r="G61" s="75" t="s">
        <v>88</v>
      </c>
      <c r="H61" s="62" t="s">
        <v>89</v>
      </c>
      <c r="I61" s="66" t="s">
        <v>89</v>
      </c>
      <c r="J61" s="65" t="s">
        <v>90</v>
      </c>
      <c r="K61" s="66" t="s">
        <v>161</v>
      </c>
      <c r="L61" s="66" t="s">
        <v>162</v>
      </c>
      <c r="M61" s="41"/>
      <c r="N61" s="66" t="s">
        <v>94</v>
      </c>
      <c r="O61" s="59" t="s">
        <v>95</v>
      </c>
      <c r="P61" s="66" t="s">
        <v>136</v>
      </c>
      <c r="Q61" s="66" t="s">
        <v>181</v>
      </c>
      <c r="R61" s="66" t="s">
        <v>182</v>
      </c>
      <c r="S61" s="42"/>
      <c r="T61" s="42"/>
      <c r="U61" s="40" t="str">
        <f t="shared" si="1"/>
        <v>Not Scheduled</v>
      </c>
      <c r="V61" s="41"/>
      <c r="W61" s="42"/>
      <c r="X61" s="42"/>
      <c r="Y61" s="43"/>
      <c r="Z61" s="44"/>
      <c r="AA61" s="45">
        <f t="shared" si="2"/>
        <v>0</v>
      </c>
      <c r="AB61" s="42"/>
      <c r="AC61" s="41"/>
      <c r="AD61" s="41"/>
      <c r="AE61" s="46">
        <f t="shared" si="3"/>
        <v>46266</v>
      </c>
      <c r="AF61" s="46" t="str">
        <f t="shared" si="7"/>
        <v/>
      </c>
      <c r="AG61" s="40" t="str">
        <f t="shared" si="4"/>
        <v>Yes</v>
      </c>
      <c r="AH61" s="40" t="str">
        <f t="shared" si="5"/>
        <v>No</v>
      </c>
      <c r="AI61" s="40" t="str">
        <f t="shared" si="6"/>
        <v>No</v>
      </c>
    </row>
    <row r="62" ht="15.75" customHeight="1">
      <c r="A62" s="60">
        <v>61.0</v>
      </c>
      <c r="B62" s="36">
        <v>46267.0</v>
      </c>
      <c r="C62" s="74" t="s">
        <v>375</v>
      </c>
      <c r="D62" s="75" t="s">
        <v>376</v>
      </c>
      <c r="E62" s="76" t="s">
        <v>377</v>
      </c>
      <c r="F62" s="77" t="s">
        <v>378</v>
      </c>
      <c r="G62" s="75" t="s">
        <v>379</v>
      </c>
      <c r="H62" s="62" t="s">
        <v>89</v>
      </c>
      <c r="I62" s="66" t="s">
        <v>89</v>
      </c>
      <c r="J62" s="65" t="s">
        <v>90</v>
      </c>
      <c r="K62" s="66" t="s">
        <v>115</v>
      </c>
      <c r="L62" s="66" t="s">
        <v>115</v>
      </c>
      <c r="M62" s="41"/>
      <c r="N62" s="66" t="s">
        <v>94</v>
      </c>
      <c r="O62" s="59" t="s">
        <v>95</v>
      </c>
      <c r="P62" s="66" t="s">
        <v>136</v>
      </c>
      <c r="Q62" s="66" t="s">
        <v>181</v>
      </c>
      <c r="R62" s="66" t="s">
        <v>182</v>
      </c>
      <c r="S62" s="42"/>
      <c r="T62" s="42"/>
      <c r="U62" s="40" t="str">
        <f t="shared" si="1"/>
        <v>Not Scheduled</v>
      </c>
      <c r="V62" s="41"/>
      <c r="W62" s="42"/>
      <c r="X62" s="42"/>
      <c r="Y62" s="43"/>
      <c r="Z62" s="44"/>
      <c r="AA62" s="45">
        <f t="shared" si="2"/>
        <v>0</v>
      </c>
      <c r="AB62" s="42"/>
      <c r="AC62" s="41"/>
      <c r="AD62" s="41"/>
      <c r="AE62" s="46">
        <f t="shared" si="3"/>
        <v>46266</v>
      </c>
      <c r="AF62" s="46" t="str">
        <f t="shared" si="7"/>
        <v/>
      </c>
      <c r="AG62" s="40" t="str">
        <f t="shared" si="4"/>
        <v>Yes</v>
      </c>
      <c r="AH62" s="40" t="str">
        <f t="shared" si="5"/>
        <v>No</v>
      </c>
      <c r="AI62" s="40" t="str">
        <f t="shared" si="6"/>
        <v>No</v>
      </c>
    </row>
    <row r="63" ht="15.75" customHeight="1">
      <c r="A63" s="60">
        <v>62.0</v>
      </c>
      <c r="B63" s="36">
        <v>46267.0</v>
      </c>
      <c r="C63" s="74" t="s">
        <v>380</v>
      </c>
      <c r="D63" s="75" t="s">
        <v>381</v>
      </c>
      <c r="E63" s="76" t="s">
        <v>382</v>
      </c>
      <c r="F63" s="77" t="s">
        <v>383</v>
      </c>
      <c r="G63" s="75" t="s">
        <v>295</v>
      </c>
      <c r="H63" s="62" t="s">
        <v>89</v>
      </c>
      <c r="I63" s="66" t="s">
        <v>89</v>
      </c>
      <c r="J63" s="65" t="s">
        <v>90</v>
      </c>
      <c r="K63" s="66" t="s">
        <v>115</v>
      </c>
      <c r="L63" s="66" t="s">
        <v>115</v>
      </c>
      <c r="M63" s="41"/>
      <c r="N63" s="66" t="s">
        <v>94</v>
      </c>
      <c r="O63" s="59" t="s">
        <v>95</v>
      </c>
      <c r="P63" s="66" t="s">
        <v>136</v>
      </c>
      <c r="Q63" s="66" t="s">
        <v>181</v>
      </c>
      <c r="R63" s="66" t="s">
        <v>182</v>
      </c>
      <c r="S63" s="42"/>
      <c r="T63" s="42"/>
      <c r="U63" s="40" t="str">
        <f t="shared" si="1"/>
        <v>Not Scheduled</v>
      </c>
      <c r="V63" s="41"/>
      <c r="W63" s="42"/>
      <c r="X63" s="42"/>
      <c r="Y63" s="43"/>
      <c r="Z63" s="44"/>
      <c r="AA63" s="45">
        <f t="shared" si="2"/>
        <v>0</v>
      </c>
      <c r="AB63" s="42"/>
      <c r="AC63" s="41"/>
      <c r="AD63" s="41"/>
      <c r="AE63" s="46">
        <f t="shared" si="3"/>
        <v>46266</v>
      </c>
      <c r="AF63" s="46" t="str">
        <f t="shared" si="7"/>
        <v/>
      </c>
      <c r="AG63" s="40" t="str">
        <f t="shared" si="4"/>
        <v>Yes</v>
      </c>
      <c r="AH63" s="40" t="str">
        <f t="shared" si="5"/>
        <v>No</v>
      </c>
      <c r="AI63" s="40" t="str">
        <f t="shared" si="6"/>
        <v>No</v>
      </c>
    </row>
    <row r="64" ht="15.75" customHeight="1">
      <c r="A64" s="60">
        <v>63.0</v>
      </c>
      <c r="B64" s="36">
        <v>46267.0</v>
      </c>
      <c r="C64" s="74" t="s">
        <v>386</v>
      </c>
      <c r="D64" s="75" t="s">
        <v>387</v>
      </c>
      <c r="E64" s="76" t="s">
        <v>191</v>
      </c>
      <c r="F64" s="77" t="s">
        <v>388</v>
      </c>
      <c r="G64" s="75" t="s">
        <v>88</v>
      </c>
      <c r="H64" s="62" t="s">
        <v>89</v>
      </c>
      <c r="I64" s="66" t="s">
        <v>89</v>
      </c>
      <c r="J64" s="65" t="s">
        <v>90</v>
      </c>
      <c r="K64" s="66" t="s">
        <v>91</v>
      </c>
      <c r="L64" s="66" t="s">
        <v>92</v>
      </c>
      <c r="M64" s="41"/>
      <c r="N64" s="66" t="s">
        <v>94</v>
      </c>
      <c r="O64" s="59" t="s">
        <v>95</v>
      </c>
      <c r="P64" s="66" t="s">
        <v>136</v>
      </c>
      <c r="Q64" s="66" t="s">
        <v>181</v>
      </c>
      <c r="R64" s="66" t="s">
        <v>182</v>
      </c>
      <c r="S64" s="42"/>
      <c r="T64" s="42"/>
      <c r="U64" s="40" t="str">
        <f t="shared" si="1"/>
        <v>Not Scheduled</v>
      </c>
      <c r="V64" s="41"/>
      <c r="W64" s="42"/>
      <c r="X64" s="42"/>
      <c r="Y64" s="43"/>
      <c r="Z64" s="44"/>
      <c r="AA64" s="45">
        <f t="shared" si="2"/>
        <v>0</v>
      </c>
      <c r="AB64" s="42"/>
      <c r="AC64" s="41"/>
      <c r="AD64" s="41"/>
      <c r="AE64" s="46">
        <f t="shared" si="3"/>
        <v>46266</v>
      </c>
      <c r="AF64" s="46" t="str">
        <f t="shared" si="7"/>
        <v/>
      </c>
      <c r="AG64" s="40" t="str">
        <f t="shared" si="4"/>
        <v>Yes</v>
      </c>
      <c r="AH64" s="40" t="str">
        <f t="shared" si="5"/>
        <v>No</v>
      </c>
      <c r="AI64" s="40" t="str">
        <f t="shared" si="6"/>
        <v>No</v>
      </c>
    </row>
    <row r="65" ht="15.75" customHeight="1">
      <c r="A65" s="60">
        <v>64.0</v>
      </c>
      <c r="B65" s="36">
        <v>46267.0</v>
      </c>
      <c r="C65" s="74" t="s">
        <v>390</v>
      </c>
      <c r="D65" s="75" t="s">
        <v>391</v>
      </c>
      <c r="E65" s="76" t="s">
        <v>392</v>
      </c>
      <c r="F65" s="77" t="s">
        <v>393</v>
      </c>
      <c r="G65" s="75"/>
      <c r="H65" s="62" t="s">
        <v>89</v>
      </c>
      <c r="I65" s="66" t="s">
        <v>89</v>
      </c>
      <c r="J65" s="65" t="s">
        <v>90</v>
      </c>
      <c r="K65" s="66" t="s">
        <v>91</v>
      </c>
      <c r="L65" s="66" t="s">
        <v>141</v>
      </c>
      <c r="M65" s="41"/>
      <c r="N65" s="66" t="s">
        <v>94</v>
      </c>
      <c r="O65" s="59" t="s">
        <v>95</v>
      </c>
      <c r="P65" s="66" t="s">
        <v>136</v>
      </c>
      <c r="Q65" s="66" t="s">
        <v>181</v>
      </c>
      <c r="R65" s="66" t="s">
        <v>182</v>
      </c>
      <c r="S65" s="42"/>
      <c r="T65" s="42"/>
      <c r="U65" s="40" t="str">
        <f t="shared" si="1"/>
        <v>Not Scheduled</v>
      </c>
      <c r="V65" s="41"/>
      <c r="W65" s="42"/>
      <c r="X65" s="42"/>
      <c r="Y65" s="43"/>
      <c r="Z65" s="44"/>
      <c r="AA65" s="45">
        <f t="shared" si="2"/>
        <v>0</v>
      </c>
      <c r="AB65" s="42"/>
      <c r="AC65" s="41"/>
      <c r="AD65" s="41"/>
      <c r="AE65" s="46">
        <f t="shared" si="3"/>
        <v>46266</v>
      </c>
      <c r="AF65" s="46" t="str">
        <f t="shared" si="7"/>
        <v/>
      </c>
      <c r="AG65" s="40" t="str">
        <f t="shared" si="4"/>
        <v>Yes</v>
      </c>
      <c r="AH65" s="40" t="str">
        <f t="shared" si="5"/>
        <v>No</v>
      </c>
      <c r="AI65" s="40" t="str">
        <f t="shared" si="6"/>
        <v>No</v>
      </c>
    </row>
    <row r="66" ht="15.75" customHeight="1">
      <c r="A66" s="60">
        <v>65.0</v>
      </c>
      <c r="B66" s="36">
        <v>46267.0</v>
      </c>
      <c r="C66" s="74" t="s">
        <v>395</v>
      </c>
      <c r="D66" s="75" t="s">
        <v>396</v>
      </c>
      <c r="E66" s="76" t="s">
        <v>397</v>
      </c>
      <c r="F66" s="77" t="s">
        <v>398</v>
      </c>
      <c r="G66" s="75" t="s">
        <v>88</v>
      </c>
      <c r="H66" s="62" t="s">
        <v>89</v>
      </c>
      <c r="I66" s="66" t="s">
        <v>89</v>
      </c>
      <c r="J66" s="65" t="s">
        <v>90</v>
      </c>
      <c r="K66" s="66" t="s">
        <v>115</v>
      </c>
      <c r="L66" s="66" t="s">
        <v>115</v>
      </c>
      <c r="M66" s="41"/>
      <c r="N66" s="66" t="s">
        <v>94</v>
      </c>
      <c r="O66" s="59" t="s">
        <v>95</v>
      </c>
      <c r="P66" s="66" t="s">
        <v>136</v>
      </c>
      <c r="Q66" s="66" t="s">
        <v>181</v>
      </c>
      <c r="R66" s="66" t="s">
        <v>182</v>
      </c>
      <c r="S66" s="42"/>
      <c r="T66" s="42"/>
      <c r="U66" s="40" t="str">
        <f t="shared" si="1"/>
        <v>Not Scheduled</v>
      </c>
      <c r="V66" s="41"/>
      <c r="W66" s="42"/>
      <c r="X66" s="42"/>
      <c r="Y66" s="43"/>
      <c r="Z66" s="44"/>
      <c r="AA66" s="45">
        <f t="shared" si="2"/>
        <v>0</v>
      </c>
      <c r="AB66" s="42"/>
      <c r="AC66" s="41"/>
      <c r="AD66" s="41"/>
      <c r="AE66" s="46">
        <f t="shared" si="3"/>
        <v>46266</v>
      </c>
      <c r="AF66" s="46" t="str">
        <f t="shared" si="7"/>
        <v/>
      </c>
      <c r="AG66" s="40" t="str">
        <f t="shared" si="4"/>
        <v>Yes</v>
      </c>
      <c r="AH66" s="40" t="str">
        <f t="shared" si="5"/>
        <v>No</v>
      </c>
      <c r="AI66" s="40" t="str">
        <f t="shared" si="6"/>
        <v>No</v>
      </c>
    </row>
    <row r="67" ht="15.75" customHeight="1">
      <c r="A67" s="60">
        <v>66.0</v>
      </c>
      <c r="B67" s="36">
        <v>46267.0</v>
      </c>
      <c r="C67" s="74" t="s">
        <v>399</v>
      </c>
      <c r="D67" s="75" t="s">
        <v>400</v>
      </c>
      <c r="E67" s="76" t="s">
        <v>401</v>
      </c>
      <c r="F67" s="77" t="s">
        <v>402</v>
      </c>
      <c r="G67" s="75" t="s">
        <v>295</v>
      </c>
      <c r="H67" s="62" t="s">
        <v>89</v>
      </c>
      <c r="I67" s="66" t="s">
        <v>89</v>
      </c>
      <c r="J67" s="65" t="s">
        <v>90</v>
      </c>
      <c r="K67" s="66" t="s">
        <v>115</v>
      </c>
      <c r="L67" s="66" t="s">
        <v>115</v>
      </c>
      <c r="M67" s="41"/>
      <c r="N67" s="66" t="s">
        <v>94</v>
      </c>
      <c r="O67" s="59" t="s">
        <v>95</v>
      </c>
      <c r="P67" s="66" t="s">
        <v>136</v>
      </c>
      <c r="Q67" s="66" t="s">
        <v>181</v>
      </c>
      <c r="R67" s="66" t="s">
        <v>182</v>
      </c>
      <c r="S67" s="42"/>
      <c r="T67" s="42"/>
      <c r="U67" s="40" t="str">
        <f t="shared" si="1"/>
        <v>Not Scheduled</v>
      </c>
      <c r="V67" s="41"/>
      <c r="W67" s="42"/>
      <c r="X67" s="42"/>
      <c r="Y67" s="43"/>
      <c r="Z67" s="44"/>
      <c r="AA67" s="45">
        <f t="shared" si="2"/>
        <v>0</v>
      </c>
      <c r="AB67" s="42"/>
      <c r="AC67" s="41"/>
      <c r="AD67" s="41"/>
      <c r="AE67" s="46">
        <f t="shared" si="3"/>
        <v>46266</v>
      </c>
      <c r="AF67" s="46" t="str">
        <f t="shared" si="7"/>
        <v/>
      </c>
      <c r="AG67" s="40" t="str">
        <f t="shared" si="4"/>
        <v>Yes</v>
      </c>
      <c r="AH67" s="40" t="str">
        <f t="shared" si="5"/>
        <v>No</v>
      </c>
      <c r="AI67" s="40" t="str">
        <f t="shared" si="6"/>
        <v>No</v>
      </c>
    </row>
    <row r="68" ht="15.75" customHeight="1">
      <c r="A68" s="60">
        <v>67.0</v>
      </c>
      <c r="B68" s="36">
        <v>46267.0</v>
      </c>
      <c r="C68" s="74" t="s">
        <v>403</v>
      </c>
      <c r="D68" s="75" t="s">
        <v>404</v>
      </c>
      <c r="E68" s="76" t="s">
        <v>405</v>
      </c>
      <c r="F68" s="77" t="s">
        <v>406</v>
      </c>
      <c r="G68" s="75" t="s">
        <v>88</v>
      </c>
      <c r="H68" s="62" t="s">
        <v>89</v>
      </c>
      <c r="I68" s="66" t="s">
        <v>89</v>
      </c>
      <c r="J68" s="65" t="s">
        <v>90</v>
      </c>
      <c r="K68" s="66" t="s">
        <v>115</v>
      </c>
      <c r="L68" s="66" t="s">
        <v>115</v>
      </c>
      <c r="M68" s="41"/>
      <c r="N68" s="66" t="s">
        <v>94</v>
      </c>
      <c r="O68" s="59" t="s">
        <v>95</v>
      </c>
      <c r="P68" s="66" t="s">
        <v>136</v>
      </c>
      <c r="Q68" s="66" t="s">
        <v>181</v>
      </c>
      <c r="R68" s="66" t="s">
        <v>182</v>
      </c>
      <c r="S68" s="42"/>
      <c r="T68" s="42"/>
      <c r="U68" s="40" t="str">
        <f t="shared" si="1"/>
        <v>Not Scheduled</v>
      </c>
      <c r="V68" s="41"/>
      <c r="W68" s="42"/>
      <c r="X68" s="42"/>
      <c r="Y68" s="43"/>
      <c r="Z68" s="44"/>
      <c r="AA68" s="45">
        <f t="shared" si="2"/>
        <v>0</v>
      </c>
      <c r="AB68" s="42"/>
      <c r="AC68" s="41"/>
      <c r="AD68" s="41"/>
      <c r="AE68" s="46">
        <f t="shared" si="3"/>
        <v>46266</v>
      </c>
      <c r="AF68" s="46" t="str">
        <f t="shared" si="7"/>
        <v/>
      </c>
      <c r="AG68" s="40" t="str">
        <f t="shared" si="4"/>
        <v>Yes</v>
      </c>
      <c r="AH68" s="40" t="str">
        <f t="shared" si="5"/>
        <v>No</v>
      </c>
      <c r="AI68" s="40" t="str">
        <f t="shared" si="6"/>
        <v>No</v>
      </c>
    </row>
    <row r="69" ht="15.75" customHeight="1">
      <c r="A69" s="60">
        <v>68.0</v>
      </c>
      <c r="B69" s="36">
        <v>46267.0</v>
      </c>
      <c r="C69" s="74" t="s">
        <v>408</v>
      </c>
      <c r="D69" s="75" t="s">
        <v>409</v>
      </c>
      <c r="E69" s="76" t="s">
        <v>411</v>
      </c>
      <c r="F69" s="77" t="s">
        <v>412</v>
      </c>
      <c r="G69" s="75" t="s">
        <v>413</v>
      </c>
      <c r="H69" s="62" t="s">
        <v>89</v>
      </c>
      <c r="I69" s="66" t="s">
        <v>89</v>
      </c>
      <c r="J69" s="65" t="s">
        <v>90</v>
      </c>
      <c r="K69" s="66" t="s">
        <v>115</v>
      </c>
      <c r="L69" s="66" t="s">
        <v>115</v>
      </c>
      <c r="M69" s="41"/>
      <c r="N69" s="66" t="s">
        <v>94</v>
      </c>
      <c r="O69" s="59" t="s">
        <v>95</v>
      </c>
      <c r="P69" s="66" t="s">
        <v>136</v>
      </c>
      <c r="Q69" s="66" t="s">
        <v>181</v>
      </c>
      <c r="R69" s="66" t="s">
        <v>182</v>
      </c>
      <c r="S69" s="42"/>
      <c r="T69" s="42"/>
      <c r="U69" s="40" t="str">
        <f t="shared" si="1"/>
        <v>Not Scheduled</v>
      </c>
      <c r="V69" s="41"/>
      <c r="W69" s="42"/>
      <c r="X69" s="42"/>
      <c r="Y69" s="43"/>
      <c r="Z69" s="44"/>
      <c r="AA69" s="45">
        <f t="shared" si="2"/>
        <v>0</v>
      </c>
      <c r="AB69" s="42"/>
      <c r="AC69" s="41"/>
      <c r="AD69" s="41"/>
      <c r="AE69" s="46">
        <f t="shared" si="3"/>
        <v>46266</v>
      </c>
      <c r="AF69" s="46" t="str">
        <f t="shared" si="7"/>
        <v/>
      </c>
      <c r="AG69" s="40" t="str">
        <f t="shared" si="4"/>
        <v>Yes</v>
      </c>
      <c r="AH69" s="40" t="str">
        <f t="shared" si="5"/>
        <v>No</v>
      </c>
      <c r="AI69" s="40" t="str">
        <f t="shared" si="6"/>
        <v>No</v>
      </c>
    </row>
    <row r="70" ht="15.75" customHeight="1">
      <c r="A70" s="60">
        <v>69.0</v>
      </c>
      <c r="B70" s="36">
        <v>46267.0</v>
      </c>
      <c r="C70" s="74" t="s">
        <v>416</v>
      </c>
      <c r="D70" s="75" t="s">
        <v>418</v>
      </c>
      <c r="E70" s="76" t="s">
        <v>419</v>
      </c>
      <c r="F70" s="77" t="s">
        <v>420</v>
      </c>
      <c r="G70" s="75" t="s">
        <v>88</v>
      </c>
      <c r="H70" s="62" t="s">
        <v>89</v>
      </c>
      <c r="I70" s="66" t="s">
        <v>89</v>
      </c>
      <c r="J70" s="65" t="s">
        <v>90</v>
      </c>
      <c r="K70" s="66" t="s">
        <v>161</v>
      </c>
      <c r="L70" s="66" t="s">
        <v>162</v>
      </c>
      <c r="M70" s="41"/>
      <c r="N70" s="66" t="s">
        <v>94</v>
      </c>
      <c r="O70" s="59" t="s">
        <v>95</v>
      </c>
      <c r="P70" s="66" t="s">
        <v>117</v>
      </c>
      <c r="Q70" s="66" t="s">
        <v>421</v>
      </c>
      <c r="R70" s="66" t="s">
        <v>182</v>
      </c>
      <c r="S70" s="42"/>
      <c r="T70" s="42"/>
      <c r="U70" s="40" t="str">
        <f t="shared" si="1"/>
        <v>Completed</v>
      </c>
      <c r="V70" s="41"/>
      <c r="W70" s="42"/>
      <c r="X70" s="42"/>
      <c r="Y70" s="43"/>
      <c r="Z70" s="44"/>
      <c r="AA70" s="45">
        <f t="shared" si="2"/>
        <v>0</v>
      </c>
      <c r="AB70" s="42"/>
      <c r="AC70" s="41"/>
      <c r="AD70" s="41"/>
      <c r="AE70" s="46">
        <f t="shared" si="3"/>
        <v>46266</v>
      </c>
      <c r="AF70" s="46" t="str">
        <f t="shared" si="7"/>
        <v/>
      </c>
      <c r="AG70" s="40" t="str">
        <f t="shared" si="4"/>
        <v>No</v>
      </c>
      <c r="AH70" s="40" t="str">
        <f t="shared" si="5"/>
        <v>No</v>
      </c>
      <c r="AI70" s="40" t="str">
        <f t="shared" si="6"/>
        <v>No</v>
      </c>
    </row>
    <row r="71" ht="15.75" customHeight="1">
      <c r="A71" s="60">
        <v>70.0</v>
      </c>
      <c r="B71" s="36">
        <v>46267.0</v>
      </c>
      <c r="C71" s="74" t="s">
        <v>423</v>
      </c>
      <c r="D71" s="75" t="s">
        <v>424</v>
      </c>
      <c r="E71" s="76" t="s">
        <v>425</v>
      </c>
      <c r="F71" s="77" t="s">
        <v>426</v>
      </c>
      <c r="G71" s="75" t="s">
        <v>295</v>
      </c>
      <c r="H71" s="62" t="s">
        <v>89</v>
      </c>
      <c r="I71" s="66" t="s">
        <v>89</v>
      </c>
      <c r="J71" s="65" t="s">
        <v>90</v>
      </c>
      <c r="K71" s="66" t="s">
        <v>115</v>
      </c>
      <c r="L71" s="66" t="s">
        <v>115</v>
      </c>
      <c r="M71" s="41"/>
      <c r="N71" s="66" t="s">
        <v>94</v>
      </c>
      <c r="O71" s="59" t="s">
        <v>95</v>
      </c>
      <c r="P71" s="66" t="s">
        <v>136</v>
      </c>
      <c r="Q71" s="66" t="s">
        <v>181</v>
      </c>
      <c r="R71" s="66" t="s">
        <v>182</v>
      </c>
      <c r="S71" s="42"/>
      <c r="T71" s="42"/>
      <c r="U71" s="40" t="str">
        <f t="shared" si="1"/>
        <v>Not Scheduled</v>
      </c>
      <c r="V71" s="41"/>
      <c r="W71" s="42"/>
      <c r="X71" s="42"/>
      <c r="Y71" s="43"/>
      <c r="Z71" s="44"/>
      <c r="AA71" s="45">
        <f t="shared" si="2"/>
        <v>0</v>
      </c>
      <c r="AB71" s="42"/>
      <c r="AC71" s="41"/>
      <c r="AD71" s="41"/>
      <c r="AE71" s="46">
        <f t="shared" si="3"/>
        <v>46266</v>
      </c>
      <c r="AF71" s="46" t="str">
        <f t="shared" si="7"/>
        <v/>
      </c>
      <c r="AG71" s="40" t="str">
        <f t="shared" si="4"/>
        <v>Yes</v>
      </c>
      <c r="AH71" s="40" t="str">
        <f t="shared" si="5"/>
        <v>No</v>
      </c>
      <c r="AI71" s="40" t="str">
        <f t="shared" si="6"/>
        <v>No</v>
      </c>
    </row>
    <row r="72" ht="15.75" customHeight="1">
      <c r="A72" s="60">
        <v>71.0</v>
      </c>
      <c r="B72" s="36">
        <v>46267.0</v>
      </c>
      <c r="C72" s="74" t="s">
        <v>447</v>
      </c>
      <c r="D72" s="75" t="s">
        <v>448</v>
      </c>
      <c r="E72" s="76" t="s">
        <v>449</v>
      </c>
      <c r="F72" s="77" t="s">
        <v>450</v>
      </c>
      <c r="G72" s="75" t="s">
        <v>413</v>
      </c>
      <c r="H72" s="62" t="s">
        <v>89</v>
      </c>
      <c r="I72" s="66" t="s">
        <v>89</v>
      </c>
      <c r="J72" s="65" t="s">
        <v>90</v>
      </c>
      <c r="K72" s="66" t="s">
        <v>115</v>
      </c>
      <c r="L72" s="66" t="s">
        <v>115</v>
      </c>
      <c r="M72" s="41"/>
      <c r="N72" s="66" t="s">
        <v>94</v>
      </c>
      <c r="O72" s="59" t="s">
        <v>95</v>
      </c>
      <c r="P72" s="66" t="s">
        <v>136</v>
      </c>
      <c r="Q72" s="66" t="s">
        <v>181</v>
      </c>
      <c r="R72" s="66" t="s">
        <v>182</v>
      </c>
      <c r="S72" s="42"/>
      <c r="T72" s="42"/>
      <c r="U72" s="40" t="str">
        <f t="shared" si="1"/>
        <v>Not Scheduled</v>
      </c>
      <c r="V72" s="41"/>
      <c r="W72" s="42"/>
      <c r="X72" s="42"/>
      <c r="Y72" s="43"/>
      <c r="Z72" s="44"/>
      <c r="AA72" s="45">
        <f t="shared" si="2"/>
        <v>0</v>
      </c>
      <c r="AB72" s="42"/>
      <c r="AC72" s="41"/>
      <c r="AD72" s="41"/>
      <c r="AE72" s="46">
        <f t="shared" si="3"/>
        <v>46266</v>
      </c>
      <c r="AF72" s="46" t="str">
        <f t="shared" si="7"/>
        <v/>
      </c>
      <c r="AG72" s="40" t="str">
        <f t="shared" si="4"/>
        <v>Yes</v>
      </c>
      <c r="AH72" s="40" t="str">
        <f t="shared" si="5"/>
        <v>No</v>
      </c>
      <c r="AI72" s="40" t="str">
        <f t="shared" si="6"/>
        <v>No</v>
      </c>
    </row>
    <row r="73" ht="15.75" customHeight="1">
      <c r="A73" s="60">
        <v>72.0</v>
      </c>
      <c r="B73" s="36">
        <v>46267.0</v>
      </c>
      <c r="C73" s="74" t="s">
        <v>451</v>
      </c>
      <c r="D73" s="75" t="s">
        <v>452</v>
      </c>
      <c r="E73" s="76" t="s">
        <v>453</v>
      </c>
      <c r="F73" s="77" t="s">
        <v>454</v>
      </c>
      <c r="G73" s="75" t="s">
        <v>455</v>
      </c>
      <c r="H73" s="62" t="s">
        <v>89</v>
      </c>
      <c r="I73" s="66" t="s">
        <v>89</v>
      </c>
      <c r="J73" s="65" t="s">
        <v>90</v>
      </c>
      <c r="K73" s="66" t="s">
        <v>91</v>
      </c>
      <c r="L73" s="66" t="s">
        <v>92</v>
      </c>
      <c r="M73" s="41"/>
      <c r="N73" s="66" t="s">
        <v>94</v>
      </c>
      <c r="O73" s="59" t="s">
        <v>95</v>
      </c>
      <c r="P73" s="66" t="s">
        <v>136</v>
      </c>
      <c r="Q73" s="66" t="s">
        <v>181</v>
      </c>
      <c r="R73" s="66" t="s">
        <v>182</v>
      </c>
      <c r="S73" s="42"/>
      <c r="T73" s="42"/>
      <c r="U73" s="40" t="str">
        <f t="shared" si="1"/>
        <v>Not Scheduled</v>
      </c>
      <c r="V73" s="41"/>
      <c r="W73" s="42"/>
      <c r="X73" s="42"/>
      <c r="Y73" s="43"/>
      <c r="Z73" s="44"/>
      <c r="AA73" s="45">
        <f t="shared" si="2"/>
        <v>0</v>
      </c>
      <c r="AB73" s="42"/>
      <c r="AC73" s="41"/>
      <c r="AD73" s="41"/>
      <c r="AE73" s="46">
        <f t="shared" si="3"/>
        <v>46266</v>
      </c>
      <c r="AF73" s="46" t="str">
        <f t="shared" si="7"/>
        <v/>
      </c>
      <c r="AG73" s="40" t="str">
        <f t="shared" si="4"/>
        <v>Yes</v>
      </c>
      <c r="AH73" s="40" t="str">
        <f t="shared" si="5"/>
        <v>No</v>
      </c>
      <c r="AI73" s="40" t="str">
        <f t="shared" si="6"/>
        <v>No</v>
      </c>
    </row>
    <row r="74" ht="15.75" customHeight="1">
      <c r="A74" s="60">
        <v>73.0</v>
      </c>
      <c r="B74" s="36">
        <v>46267.0</v>
      </c>
      <c r="C74" s="74" t="s">
        <v>456</v>
      </c>
      <c r="D74" s="75" t="s">
        <v>457</v>
      </c>
      <c r="E74" s="76" t="s">
        <v>458</v>
      </c>
      <c r="F74" s="77" t="s">
        <v>459</v>
      </c>
      <c r="G74" s="75" t="s">
        <v>460</v>
      </c>
      <c r="H74" s="62" t="s">
        <v>89</v>
      </c>
      <c r="I74" s="66" t="s">
        <v>89</v>
      </c>
      <c r="J74" s="65" t="s">
        <v>90</v>
      </c>
      <c r="K74" s="66" t="s">
        <v>115</v>
      </c>
      <c r="L74" s="66" t="s">
        <v>115</v>
      </c>
      <c r="M74" s="41"/>
      <c r="N74" s="66" t="s">
        <v>94</v>
      </c>
      <c r="O74" s="59" t="s">
        <v>95</v>
      </c>
      <c r="P74" s="66" t="s">
        <v>136</v>
      </c>
      <c r="Q74" s="66" t="s">
        <v>181</v>
      </c>
      <c r="R74" s="66" t="s">
        <v>182</v>
      </c>
      <c r="S74" s="42"/>
      <c r="T74" s="42"/>
      <c r="U74" s="40" t="str">
        <f t="shared" si="1"/>
        <v>Not Scheduled</v>
      </c>
      <c r="V74" s="41"/>
      <c r="W74" s="42"/>
      <c r="X74" s="42"/>
      <c r="Y74" s="43"/>
      <c r="Z74" s="44"/>
      <c r="AA74" s="45">
        <f t="shared" si="2"/>
        <v>0</v>
      </c>
      <c r="AB74" s="42"/>
      <c r="AC74" s="41"/>
      <c r="AD74" s="41"/>
      <c r="AE74" s="46">
        <f t="shared" si="3"/>
        <v>46266</v>
      </c>
      <c r="AF74" s="46" t="str">
        <f t="shared" si="7"/>
        <v/>
      </c>
      <c r="AG74" s="40" t="str">
        <f t="shared" si="4"/>
        <v>Yes</v>
      </c>
      <c r="AH74" s="40" t="str">
        <f t="shared" si="5"/>
        <v>No</v>
      </c>
      <c r="AI74" s="40" t="str">
        <f t="shared" si="6"/>
        <v>No</v>
      </c>
    </row>
    <row r="75" ht="15.75" customHeight="1">
      <c r="A75" s="60">
        <v>74.0</v>
      </c>
      <c r="B75" s="36">
        <v>46267.0</v>
      </c>
      <c r="C75" s="74" t="s">
        <v>461</v>
      </c>
      <c r="D75" s="75" t="s">
        <v>462</v>
      </c>
      <c r="E75" s="76" t="s">
        <v>463</v>
      </c>
      <c r="F75" s="77" t="s">
        <v>464</v>
      </c>
      <c r="G75" s="75" t="s">
        <v>88</v>
      </c>
      <c r="H75" s="62" t="s">
        <v>89</v>
      </c>
      <c r="I75" s="66" t="s">
        <v>89</v>
      </c>
      <c r="J75" s="65" t="s">
        <v>90</v>
      </c>
      <c r="K75" s="66" t="s">
        <v>91</v>
      </c>
      <c r="L75" s="66" t="s">
        <v>281</v>
      </c>
      <c r="M75" s="41"/>
      <c r="N75" s="66" t="s">
        <v>94</v>
      </c>
      <c r="O75" s="59" t="s">
        <v>95</v>
      </c>
      <c r="P75" s="66" t="s">
        <v>136</v>
      </c>
      <c r="Q75" s="66" t="s">
        <v>181</v>
      </c>
      <c r="R75" s="66" t="s">
        <v>182</v>
      </c>
      <c r="S75" s="42"/>
      <c r="T75" s="42"/>
      <c r="U75" s="40" t="str">
        <f t="shared" si="1"/>
        <v>Not Scheduled</v>
      </c>
      <c r="V75" s="41"/>
      <c r="W75" s="42"/>
      <c r="X75" s="42"/>
      <c r="Y75" s="43"/>
      <c r="Z75" s="44"/>
      <c r="AA75" s="45">
        <f t="shared" si="2"/>
        <v>0</v>
      </c>
      <c r="AB75" s="42"/>
      <c r="AC75" s="41"/>
      <c r="AD75" s="41"/>
      <c r="AE75" s="46">
        <f t="shared" si="3"/>
        <v>46266</v>
      </c>
      <c r="AF75" s="46" t="str">
        <f t="shared" si="7"/>
        <v/>
      </c>
      <c r="AG75" s="40" t="str">
        <f t="shared" si="4"/>
        <v>Yes</v>
      </c>
      <c r="AH75" s="40" t="str">
        <f t="shared" si="5"/>
        <v>No</v>
      </c>
      <c r="AI75" s="40" t="str">
        <f t="shared" si="6"/>
        <v>No</v>
      </c>
    </row>
    <row r="76" ht="15.75" customHeight="1">
      <c r="A76" s="60">
        <v>75.0</v>
      </c>
      <c r="B76" s="36">
        <v>46267.0</v>
      </c>
      <c r="C76" s="74" t="s">
        <v>451</v>
      </c>
      <c r="D76" s="75" t="s">
        <v>465</v>
      </c>
      <c r="E76" s="76" t="s">
        <v>466</v>
      </c>
      <c r="F76" s="77"/>
      <c r="G76" s="75" t="s">
        <v>467</v>
      </c>
      <c r="H76" s="62" t="s">
        <v>89</v>
      </c>
      <c r="I76" s="66" t="s">
        <v>89</v>
      </c>
      <c r="J76" s="65" t="s">
        <v>90</v>
      </c>
      <c r="K76" s="66" t="s">
        <v>91</v>
      </c>
      <c r="L76" s="66" t="s">
        <v>92</v>
      </c>
      <c r="M76" s="41"/>
      <c r="N76" s="66" t="s">
        <v>94</v>
      </c>
      <c r="O76" s="59" t="s">
        <v>95</v>
      </c>
      <c r="P76" s="66" t="s">
        <v>117</v>
      </c>
      <c r="Q76" s="66" t="s">
        <v>147</v>
      </c>
      <c r="R76" s="66" t="s">
        <v>182</v>
      </c>
      <c r="S76" s="42"/>
      <c r="T76" s="42"/>
      <c r="U76" s="40" t="str">
        <f t="shared" si="1"/>
        <v>Not Scheduled</v>
      </c>
      <c r="V76" s="41"/>
      <c r="W76" s="42"/>
      <c r="X76" s="42"/>
      <c r="Y76" s="43"/>
      <c r="Z76" s="44"/>
      <c r="AA76" s="45">
        <f t="shared" si="2"/>
        <v>0</v>
      </c>
      <c r="AB76" s="42"/>
      <c r="AC76" s="41"/>
      <c r="AD76" s="41"/>
      <c r="AE76" s="46">
        <f t="shared" si="3"/>
        <v>46266</v>
      </c>
      <c r="AF76" s="46" t="str">
        <f t="shared" si="7"/>
        <v/>
      </c>
      <c r="AG76" s="40" t="str">
        <f t="shared" si="4"/>
        <v>Yes</v>
      </c>
      <c r="AH76" s="40" t="str">
        <f t="shared" si="5"/>
        <v>No</v>
      </c>
      <c r="AI76" s="40" t="str">
        <f t="shared" si="6"/>
        <v>No</v>
      </c>
    </row>
    <row r="77" ht="15.75" customHeight="1">
      <c r="A77" s="60">
        <v>76.0</v>
      </c>
      <c r="B77" s="36">
        <v>46267.0</v>
      </c>
      <c r="C77" s="74" t="s">
        <v>468</v>
      </c>
      <c r="D77" s="75" t="s">
        <v>469</v>
      </c>
      <c r="E77" s="77" t="s">
        <v>470</v>
      </c>
      <c r="F77" s="77" t="s">
        <v>471</v>
      </c>
      <c r="G77" s="75" t="s">
        <v>472</v>
      </c>
      <c r="H77" s="62" t="s">
        <v>89</v>
      </c>
      <c r="I77" s="66" t="s">
        <v>89</v>
      </c>
      <c r="J77" s="65" t="s">
        <v>90</v>
      </c>
      <c r="K77" s="66" t="s">
        <v>91</v>
      </c>
      <c r="L77" s="66" t="s">
        <v>92</v>
      </c>
      <c r="M77" s="41"/>
      <c r="N77" s="66" t="s">
        <v>94</v>
      </c>
      <c r="O77" s="59" t="s">
        <v>95</v>
      </c>
      <c r="P77" s="66" t="s">
        <v>136</v>
      </c>
      <c r="Q77" s="66" t="s">
        <v>181</v>
      </c>
      <c r="R77" s="66" t="s">
        <v>182</v>
      </c>
      <c r="S77" s="42"/>
      <c r="T77" s="42"/>
      <c r="U77" s="40" t="str">
        <f t="shared" si="1"/>
        <v>Not Scheduled</v>
      </c>
      <c r="V77" s="41"/>
      <c r="W77" s="42"/>
      <c r="X77" s="42"/>
      <c r="Y77" s="43"/>
      <c r="Z77" s="44"/>
      <c r="AA77" s="45">
        <f t="shared" si="2"/>
        <v>0</v>
      </c>
      <c r="AB77" s="42"/>
      <c r="AC77" s="41"/>
      <c r="AD77" s="41"/>
      <c r="AE77" s="46">
        <f t="shared" si="3"/>
        <v>46266</v>
      </c>
      <c r="AF77" s="46" t="str">
        <f t="shared" si="7"/>
        <v/>
      </c>
      <c r="AG77" s="40" t="str">
        <f t="shared" si="4"/>
        <v>Yes</v>
      </c>
      <c r="AH77" s="40" t="str">
        <f t="shared" si="5"/>
        <v>No</v>
      </c>
      <c r="AI77" s="40" t="str">
        <f t="shared" si="6"/>
        <v>No</v>
      </c>
    </row>
    <row r="78" ht="15.75" customHeight="1">
      <c r="A78" s="60">
        <v>77.0</v>
      </c>
      <c r="B78" s="36">
        <v>46267.0</v>
      </c>
      <c r="C78" s="74" t="s">
        <v>473</v>
      </c>
      <c r="D78" s="75" t="s">
        <v>474</v>
      </c>
      <c r="E78" s="76" t="s">
        <v>475</v>
      </c>
      <c r="F78" s="77" t="s">
        <v>476</v>
      </c>
      <c r="G78" s="75" t="s">
        <v>88</v>
      </c>
      <c r="H78" s="62" t="s">
        <v>89</v>
      </c>
      <c r="I78" s="66" t="s">
        <v>89</v>
      </c>
      <c r="J78" s="65" t="s">
        <v>90</v>
      </c>
      <c r="K78" s="66" t="s">
        <v>91</v>
      </c>
      <c r="L78" s="66" t="s">
        <v>92</v>
      </c>
      <c r="M78" s="41"/>
      <c r="N78" s="66" t="s">
        <v>94</v>
      </c>
      <c r="O78" s="59" t="s">
        <v>95</v>
      </c>
      <c r="P78" s="66" t="s">
        <v>136</v>
      </c>
      <c r="Q78" s="66" t="s">
        <v>181</v>
      </c>
      <c r="R78" s="66" t="s">
        <v>182</v>
      </c>
      <c r="S78" s="42"/>
      <c r="T78" s="42"/>
      <c r="U78" s="40" t="str">
        <f t="shared" si="1"/>
        <v>Not Scheduled</v>
      </c>
      <c r="V78" s="41"/>
      <c r="W78" s="42"/>
      <c r="X78" s="42"/>
      <c r="Y78" s="43"/>
      <c r="Z78" s="44"/>
      <c r="AA78" s="45">
        <f t="shared" si="2"/>
        <v>0</v>
      </c>
      <c r="AB78" s="42"/>
      <c r="AC78" s="41"/>
      <c r="AD78" s="41"/>
      <c r="AE78" s="46">
        <f t="shared" si="3"/>
        <v>46266</v>
      </c>
      <c r="AF78" s="46" t="str">
        <f t="shared" si="7"/>
        <v/>
      </c>
      <c r="AG78" s="40" t="str">
        <f t="shared" si="4"/>
        <v>Yes</v>
      </c>
      <c r="AH78" s="40" t="str">
        <f t="shared" si="5"/>
        <v>No</v>
      </c>
      <c r="AI78" s="40" t="str">
        <f t="shared" si="6"/>
        <v>No</v>
      </c>
    </row>
    <row r="79" ht="15.75" customHeight="1">
      <c r="A79" s="60">
        <v>78.0</v>
      </c>
      <c r="B79" s="36">
        <v>46267.0</v>
      </c>
      <c r="C79" s="74" t="s">
        <v>477</v>
      </c>
      <c r="D79" s="75" t="s">
        <v>478</v>
      </c>
      <c r="E79" s="76" t="s">
        <v>479</v>
      </c>
      <c r="F79" s="77" t="s">
        <v>480</v>
      </c>
      <c r="G79" s="75" t="s">
        <v>481</v>
      </c>
      <c r="H79" s="62" t="s">
        <v>89</v>
      </c>
      <c r="I79" s="66" t="s">
        <v>89</v>
      </c>
      <c r="J79" s="65" t="s">
        <v>90</v>
      </c>
      <c r="K79" s="66" t="s">
        <v>91</v>
      </c>
      <c r="L79" s="66" t="s">
        <v>92</v>
      </c>
      <c r="M79" s="41"/>
      <c r="N79" s="66" t="s">
        <v>94</v>
      </c>
      <c r="O79" s="59" t="s">
        <v>95</v>
      </c>
      <c r="P79" s="66" t="s">
        <v>117</v>
      </c>
      <c r="Q79" s="66" t="s">
        <v>173</v>
      </c>
      <c r="R79" s="66" t="s">
        <v>182</v>
      </c>
      <c r="S79" s="42"/>
      <c r="T79" s="42"/>
      <c r="U79" s="40" t="str">
        <f t="shared" si="1"/>
        <v>Not Scheduled</v>
      </c>
      <c r="V79" s="41"/>
      <c r="W79" s="42"/>
      <c r="X79" s="42"/>
      <c r="Y79" s="43"/>
      <c r="Z79" s="44"/>
      <c r="AA79" s="45">
        <f t="shared" si="2"/>
        <v>0</v>
      </c>
      <c r="AB79" s="42"/>
      <c r="AC79" s="41"/>
      <c r="AD79" s="41"/>
      <c r="AE79" s="46">
        <f t="shared" si="3"/>
        <v>46266</v>
      </c>
      <c r="AF79" s="46" t="str">
        <f t="shared" si="7"/>
        <v/>
      </c>
      <c r="AG79" s="40" t="str">
        <f t="shared" si="4"/>
        <v>Yes</v>
      </c>
      <c r="AH79" s="40" t="str">
        <f t="shared" si="5"/>
        <v>No</v>
      </c>
      <c r="AI79" s="40" t="str">
        <f t="shared" si="6"/>
        <v>No</v>
      </c>
    </row>
    <row r="80" ht="15.75" customHeight="1">
      <c r="A80" s="60">
        <v>79.0</v>
      </c>
      <c r="B80" s="36">
        <v>46267.0</v>
      </c>
      <c r="C80" s="74" t="s">
        <v>482</v>
      </c>
      <c r="D80" s="75" t="s">
        <v>483</v>
      </c>
      <c r="E80" s="76" t="s">
        <v>484</v>
      </c>
      <c r="F80" s="77" t="s">
        <v>485</v>
      </c>
      <c r="G80" s="75" t="s">
        <v>486</v>
      </c>
      <c r="H80" s="62" t="s">
        <v>89</v>
      </c>
      <c r="I80" s="66" t="s">
        <v>89</v>
      </c>
      <c r="J80" s="65" t="s">
        <v>90</v>
      </c>
      <c r="K80" s="66" t="s">
        <v>115</v>
      </c>
      <c r="L80" s="66" t="s">
        <v>115</v>
      </c>
      <c r="M80" s="41"/>
      <c r="N80" s="66" t="s">
        <v>94</v>
      </c>
      <c r="O80" s="59" t="s">
        <v>95</v>
      </c>
      <c r="P80" s="66" t="s">
        <v>117</v>
      </c>
      <c r="Q80" s="66" t="s">
        <v>173</v>
      </c>
      <c r="R80" s="66" t="s">
        <v>182</v>
      </c>
      <c r="S80" s="42"/>
      <c r="T80" s="42"/>
      <c r="U80" s="40" t="str">
        <f t="shared" si="1"/>
        <v>Not Scheduled</v>
      </c>
      <c r="V80" s="41"/>
      <c r="W80" s="42"/>
      <c r="X80" s="42"/>
      <c r="Y80" s="43"/>
      <c r="Z80" s="44"/>
      <c r="AA80" s="45">
        <f t="shared" si="2"/>
        <v>0</v>
      </c>
      <c r="AB80" s="42"/>
      <c r="AC80" s="41"/>
      <c r="AD80" s="41"/>
      <c r="AE80" s="46">
        <f t="shared" si="3"/>
        <v>46266</v>
      </c>
      <c r="AF80" s="46" t="str">
        <f t="shared" si="7"/>
        <v/>
      </c>
      <c r="AG80" s="40" t="str">
        <f t="shared" si="4"/>
        <v>Yes</v>
      </c>
      <c r="AH80" s="40" t="str">
        <f t="shared" si="5"/>
        <v>No</v>
      </c>
      <c r="AI80" s="40" t="str">
        <f t="shared" si="6"/>
        <v>No</v>
      </c>
    </row>
    <row r="81" ht="15.75" customHeight="1">
      <c r="A81" s="60">
        <v>80.0</v>
      </c>
      <c r="B81" s="36">
        <v>46267.0</v>
      </c>
      <c r="C81" s="74" t="s">
        <v>487</v>
      </c>
      <c r="D81" s="75" t="s">
        <v>488</v>
      </c>
      <c r="E81" s="76" t="s">
        <v>489</v>
      </c>
      <c r="F81" s="77" t="s">
        <v>490</v>
      </c>
      <c r="G81" s="75" t="s">
        <v>491</v>
      </c>
      <c r="H81" s="62" t="s">
        <v>89</v>
      </c>
      <c r="I81" s="66" t="s">
        <v>89</v>
      </c>
      <c r="J81" s="65" t="s">
        <v>90</v>
      </c>
      <c r="K81" s="66" t="s">
        <v>115</v>
      </c>
      <c r="L81" s="66" t="s">
        <v>115</v>
      </c>
      <c r="M81" s="41"/>
      <c r="N81" s="66" t="s">
        <v>94</v>
      </c>
      <c r="O81" s="59" t="s">
        <v>95</v>
      </c>
      <c r="P81" s="66" t="s">
        <v>117</v>
      </c>
      <c r="Q81" s="66" t="s">
        <v>168</v>
      </c>
      <c r="R81" s="66" t="s">
        <v>182</v>
      </c>
      <c r="S81" s="42"/>
      <c r="T81" s="42"/>
      <c r="U81" s="40" t="str">
        <f t="shared" si="1"/>
        <v>Not Scheduled</v>
      </c>
      <c r="V81" s="41"/>
      <c r="W81" s="42"/>
      <c r="X81" s="42"/>
      <c r="Y81" s="43"/>
      <c r="Z81" s="44"/>
      <c r="AA81" s="45">
        <f t="shared" si="2"/>
        <v>0</v>
      </c>
      <c r="AB81" s="42"/>
      <c r="AC81" s="41"/>
      <c r="AD81" s="41"/>
      <c r="AE81" s="46">
        <f t="shared" si="3"/>
        <v>46266</v>
      </c>
      <c r="AF81" s="46" t="str">
        <f t="shared" si="7"/>
        <v/>
      </c>
      <c r="AG81" s="40" t="str">
        <f t="shared" si="4"/>
        <v>Yes</v>
      </c>
      <c r="AH81" s="40" t="str">
        <f t="shared" si="5"/>
        <v>No</v>
      </c>
      <c r="AI81" s="40" t="str">
        <f t="shared" si="6"/>
        <v>No</v>
      </c>
    </row>
    <row r="82" ht="15.75" customHeight="1">
      <c r="A82" s="60">
        <v>81.0</v>
      </c>
      <c r="B82" s="36">
        <v>46267.0</v>
      </c>
      <c r="C82" s="74" t="s">
        <v>492</v>
      </c>
      <c r="D82" s="75" t="s">
        <v>493</v>
      </c>
      <c r="E82" s="76" t="s">
        <v>494</v>
      </c>
      <c r="F82" s="77" t="s">
        <v>495</v>
      </c>
      <c r="G82" s="75"/>
      <c r="H82" s="62" t="s">
        <v>89</v>
      </c>
      <c r="I82" s="66" t="s">
        <v>89</v>
      </c>
      <c r="J82" s="65" t="s">
        <v>90</v>
      </c>
      <c r="K82" s="66" t="s">
        <v>161</v>
      </c>
      <c r="L82" s="66" t="s">
        <v>162</v>
      </c>
      <c r="M82" s="41"/>
      <c r="N82" s="66" t="s">
        <v>94</v>
      </c>
      <c r="O82" s="59" t="s">
        <v>95</v>
      </c>
      <c r="P82" s="66" t="s">
        <v>136</v>
      </c>
      <c r="Q82" s="66" t="s">
        <v>181</v>
      </c>
      <c r="R82" s="66" t="s">
        <v>182</v>
      </c>
      <c r="S82" s="42"/>
      <c r="T82" s="42"/>
      <c r="U82" s="40" t="str">
        <f t="shared" si="1"/>
        <v>Not Scheduled</v>
      </c>
      <c r="V82" s="41"/>
      <c r="W82" s="42"/>
      <c r="X82" s="42"/>
      <c r="Y82" s="43"/>
      <c r="Z82" s="44"/>
      <c r="AA82" s="45">
        <f t="shared" si="2"/>
        <v>0</v>
      </c>
      <c r="AB82" s="42"/>
      <c r="AC82" s="41"/>
      <c r="AD82" s="41"/>
      <c r="AE82" s="46">
        <f t="shared" si="3"/>
        <v>46266</v>
      </c>
      <c r="AF82" s="46" t="str">
        <f t="shared" si="7"/>
        <v/>
      </c>
      <c r="AG82" s="40" t="str">
        <f t="shared" si="4"/>
        <v>Yes</v>
      </c>
      <c r="AH82" s="40" t="str">
        <f t="shared" si="5"/>
        <v>No</v>
      </c>
      <c r="AI82" s="40" t="str">
        <f t="shared" si="6"/>
        <v>No</v>
      </c>
    </row>
    <row r="83" ht="15.75" customHeight="1">
      <c r="A83" s="60">
        <v>82.0</v>
      </c>
      <c r="B83" s="36">
        <v>46267.0</v>
      </c>
      <c r="C83" s="74" t="s">
        <v>496</v>
      </c>
      <c r="D83" s="75" t="s">
        <v>497</v>
      </c>
      <c r="E83" s="76" t="s">
        <v>498</v>
      </c>
      <c r="F83" s="77" t="s">
        <v>499</v>
      </c>
      <c r="G83" s="75" t="s">
        <v>88</v>
      </c>
      <c r="H83" s="62" t="s">
        <v>89</v>
      </c>
      <c r="I83" s="66" t="s">
        <v>89</v>
      </c>
      <c r="J83" s="65" t="s">
        <v>90</v>
      </c>
      <c r="K83" s="66" t="s">
        <v>161</v>
      </c>
      <c r="L83" s="66" t="s">
        <v>92</v>
      </c>
      <c r="M83" s="41"/>
      <c r="N83" s="66" t="s">
        <v>94</v>
      </c>
      <c r="O83" s="59" t="s">
        <v>95</v>
      </c>
      <c r="P83" s="66" t="s">
        <v>117</v>
      </c>
      <c r="Q83" s="66" t="s">
        <v>168</v>
      </c>
      <c r="R83" s="66" t="s">
        <v>97</v>
      </c>
      <c r="S83" s="42"/>
      <c r="T83" s="42"/>
      <c r="U83" s="56" t="s">
        <v>500</v>
      </c>
      <c r="V83" s="41"/>
      <c r="W83" s="42"/>
      <c r="X83" s="42"/>
      <c r="Y83" s="43"/>
      <c r="Z83" s="44"/>
      <c r="AA83" s="45">
        <f t="shared" si="2"/>
        <v>0</v>
      </c>
      <c r="AB83" s="42"/>
      <c r="AC83" s="41"/>
      <c r="AD83" s="41"/>
      <c r="AE83" s="46">
        <f t="shared" si="3"/>
        <v>46266</v>
      </c>
      <c r="AF83" s="46" t="str">
        <f t="shared" si="7"/>
        <v/>
      </c>
      <c r="AG83" s="40" t="str">
        <f t="shared" si="4"/>
        <v>Yes</v>
      </c>
      <c r="AH83" s="40" t="str">
        <f t="shared" si="5"/>
        <v>No</v>
      </c>
      <c r="AI83" s="40" t="str">
        <f t="shared" si="6"/>
        <v>No</v>
      </c>
    </row>
    <row r="84" ht="15.75" customHeight="1">
      <c r="A84" s="60">
        <v>83.0</v>
      </c>
      <c r="B84" s="36">
        <v>46267.0</v>
      </c>
      <c r="C84" s="74" t="s">
        <v>501</v>
      </c>
      <c r="D84" s="75" t="s">
        <v>502</v>
      </c>
      <c r="E84" s="76" t="s">
        <v>503</v>
      </c>
      <c r="F84" s="77" t="s">
        <v>504</v>
      </c>
      <c r="G84" s="75"/>
      <c r="H84" s="62" t="s">
        <v>89</v>
      </c>
      <c r="I84" s="66" t="s">
        <v>89</v>
      </c>
      <c r="J84" s="65" t="s">
        <v>90</v>
      </c>
      <c r="K84" s="66" t="s">
        <v>161</v>
      </c>
      <c r="L84" s="66" t="s">
        <v>162</v>
      </c>
      <c r="M84" s="41"/>
      <c r="N84" s="66" t="s">
        <v>94</v>
      </c>
      <c r="O84" s="59" t="s">
        <v>95</v>
      </c>
      <c r="P84" s="66" t="s">
        <v>136</v>
      </c>
      <c r="Q84" s="66" t="s">
        <v>181</v>
      </c>
      <c r="R84" s="66" t="s">
        <v>182</v>
      </c>
      <c r="S84" s="42"/>
      <c r="T84" s="42"/>
      <c r="U84" s="40" t="str">
        <f t="shared" ref="U84:U87" si="8">IF($A84="","",IF(OR($Q84="Converted",$Q84="Closed",$Q84="Lost"),"Completed",IF($T84="","Not Scheduled",IF($T84&lt;TODAY(),"Overdue",IF($T84=TODAY(),"Due Today","Upcoming")))))</f>
        <v>Not Scheduled</v>
      </c>
      <c r="V84" s="41"/>
      <c r="W84" s="42"/>
      <c r="X84" s="42"/>
      <c r="Y84" s="43"/>
      <c r="Z84" s="44"/>
      <c r="AA84" s="45">
        <f t="shared" si="2"/>
        <v>0</v>
      </c>
      <c r="AB84" s="42"/>
      <c r="AC84" s="41"/>
      <c r="AD84" s="41"/>
      <c r="AE84" s="46">
        <f t="shared" si="3"/>
        <v>46266</v>
      </c>
      <c r="AF84" s="46" t="str">
        <f t="shared" si="7"/>
        <v/>
      </c>
      <c r="AG84" s="40" t="str">
        <f t="shared" si="4"/>
        <v>Yes</v>
      </c>
      <c r="AH84" s="40" t="str">
        <f t="shared" si="5"/>
        <v>No</v>
      </c>
      <c r="AI84" s="40" t="str">
        <f t="shared" si="6"/>
        <v>No</v>
      </c>
    </row>
    <row r="85" ht="15.75" customHeight="1">
      <c r="A85" s="60">
        <v>84.0</v>
      </c>
      <c r="B85" s="36">
        <v>46267.0</v>
      </c>
      <c r="C85" s="74" t="s">
        <v>505</v>
      </c>
      <c r="D85" s="75" t="s">
        <v>506</v>
      </c>
      <c r="E85" s="76" t="s">
        <v>507</v>
      </c>
      <c r="F85" s="77" t="s">
        <v>508</v>
      </c>
      <c r="G85" s="75" t="s">
        <v>509</v>
      </c>
      <c r="H85" s="62" t="s">
        <v>89</v>
      </c>
      <c r="I85" s="66" t="s">
        <v>89</v>
      </c>
      <c r="J85" s="65" t="s">
        <v>90</v>
      </c>
      <c r="K85" s="66" t="s">
        <v>91</v>
      </c>
      <c r="L85" s="66" t="s">
        <v>92</v>
      </c>
      <c r="M85" s="41"/>
      <c r="N85" s="66" t="s">
        <v>94</v>
      </c>
      <c r="O85" s="59" t="s">
        <v>95</v>
      </c>
      <c r="P85" s="66" t="s">
        <v>136</v>
      </c>
      <c r="Q85" s="66" t="s">
        <v>181</v>
      </c>
      <c r="R85" s="66" t="s">
        <v>182</v>
      </c>
      <c r="S85" s="42"/>
      <c r="T85" s="42"/>
      <c r="U85" s="40" t="str">
        <f t="shared" si="8"/>
        <v>Not Scheduled</v>
      </c>
      <c r="V85" s="41"/>
      <c r="W85" s="42"/>
      <c r="X85" s="42"/>
      <c r="Y85" s="43"/>
      <c r="Z85" s="44"/>
      <c r="AA85" s="45">
        <f t="shared" si="2"/>
        <v>0</v>
      </c>
      <c r="AB85" s="42"/>
      <c r="AC85" s="41"/>
      <c r="AD85" s="41"/>
      <c r="AE85" s="46">
        <f t="shared" si="3"/>
        <v>46266</v>
      </c>
      <c r="AF85" s="46" t="str">
        <f t="shared" si="7"/>
        <v/>
      </c>
      <c r="AG85" s="40" t="str">
        <f t="shared" si="4"/>
        <v>Yes</v>
      </c>
      <c r="AH85" s="40" t="str">
        <f t="shared" si="5"/>
        <v>No</v>
      </c>
      <c r="AI85" s="40" t="str">
        <f t="shared" si="6"/>
        <v>No</v>
      </c>
    </row>
    <row r="86" ht="15.75" customHeight="1">
      <c r="A86" s="60">
        <v>85.0</v>
      </c>
      <c r="B86" s="36">
        <v>46267.0</v>
      </c>
      <c r="C86" s="74" t="s">
        <v>510</v>
      </c>
      <c r="D86" s="75" t="s">
        <v>511</v>
      </c>
      <c r="E86" s="76" t="s">
        <v>512</v>
      </c>
      <c r="F86" s="77" t="s">
        <v>513</v>
      </c>
      <c r="G86" s="75" t="s">
        <v>491</v>
      </c>
      <c r="H86" s="62" t="s">
        <v>89</v>
      </c>
      <c r="I86" s="66" t="s">
        <v>89</v>
      </c>
      <c r="J86" s="65" t="s">
        <v>90</v>
      </c>
      <c r="K86" s="66" t="s">
        <v>161</v>
      </c>
      <c r="L86" s="66" t="s">
        <v>162</v>
      </c>
      <c r="M86" s="41"/>
      <c r="N86" s="66" t="s">
        <v>94</v>
      </c>
      <c r="O86" s="59" t="s">
        <v>95</v>
      </c>
      <c r="P86" s="66" t="s">
        <v>136</v>
      </c>
      <c r="Q86" s="66" t="s">
        <v>181</v>
      </c>
      <c r="R86" s="66" t="s">
        <v>182</v>
      </c>
      <c r="S86" s="42"/>
      <c r="T86" s="42"/>
      <c r="U86" s="40" t="str">
        <f t="shared" si="8"/>
        <v>Not Scheduled</v>
      </c>
      <c r="V86" s="41"/>
      <c r="W86" s="42"/>
      <c r="X86" s="42"/>
      <c r="Y86" s="43"/>
      <c r="Z86" s="44"/>
      <c r="AA86" s="45">
        <f t="shared" si="2"/>
        <v>0</v>
      </c>
      <c r="AB86" s="42"/>
      <c r="AC86" s="41"/>
      <c r="AD86" s="41"/>
      <c r="AE86" s="46">
        <f t="shared" si="3"/>
        <v>46266</v>
      </c>
      <c r="AF86" s="46" t="str">
        <f t="shared" si="7"/>
        <v/>
      </c>
      <c r="AG86" s="40" t="str">
        <f t="shared" si="4"/>
        <v>Yes</v>
      </c>
      <c r="AH86" s="40" t="str">
        <f t="shared" si="5"/>
        <v>No</v>
      </c>
      <c r="AI86" s="40" t="str">
        <f t="shared" si="6"/>
        <v>No</v>
      </c>
    </row>
    <row r="87" ht="15.75" customHeight="1">
      <c r="A87" s="25">
        <v>86.0</v>
      </c>
      <c r="B87" s="26">
        <v>46267.0</v>
      </c>
      <c r="C87" s="98" t="s">
        <v>514</v>
      </c>
      <c r="D87" s="99" t="s">
        <v>515</v>
      </c>
      <c r="E87" s="100" t="s">
        <v>516</v>
      </c>
      <c r="F87" s="101" t="s">
        <v>517</v>
      </c>
      <c r="G87" s="99" t="s">
        <v>88</v>
      </c>
      <c r="H87" s="29" t="s">
        <v>89</v>
      </c>
      <c r="I87" s="35" t="s">
        <v>89</v>
      </c>
      <c r="J87" s="32" t="s">
        <v>90</v>
      </c>
      <c r="K87" s="35" t="s">
        <v>91</v>
      </c>
      <c r="L87" s="35" t="s">
        <v>92</v>
      </c>
      <c r="M87" s="34"/>
      <c r="N87" s="35" t="s">
        <v>94</v>
      </c>
      <c r="O87" s="35" t="s">
        <v>95</v>
      </c>
      <c r="P87" s="35" t="s">
        <v>96</v>
      </c>
      <c r="Q87" s="35" t="s">
        <v>181</v>
      </c>
      <c r="R87" s="35" t="s">
        <v>182</v>
      </c>
      <c r="S87" s="71"/>
      <c r="T87" s="71"/>
      <c r="U87" s="34" t="str">
        <f t="shared" si="8"/>
        <v>Not Scheduled</v>
      </c>
      <c r="V87" s="34"/>
      <c r="W87" s="71"/>
      <c r="X87" s="71"/>
      <c r="Y87" s="102"/>
      <c r="Z87" s="103"/>
      <c r="AA87" s="102">
        <f t="shared" si="2"/>
        <v>0</v>
      </c>
      <c r="AB87" s="42"/>
      <c r="AC87" s="41"/>
      <c r="AD87" s="41"/>
      <c r="AE87" s="46">
        <f t="shared" si="3"/>
        <v>46266</v>
      </c>
      <c r="AF87" s="46" t="str">
        <f t="shared" si="7"/>
        <v/>
      </c>
      <c r="AG87" s="40" t="str">
        <f t="shared" si="4"/>
        <v>Yes</v>
      </c>
      <c r="AH87" s="40" t="str">
        <f t="shared" si="5"/>
        <v>No</v>
      </c>
      <c r="AI87" s="40" t="str">
        <f t="shared" si="6"/>
        <v>No</v>
      </c>
    </row>
    <row r="88" ht="15.75" customHeight="1">
      <c r="A88" s="104">
        <v>87.0</v>
      </c>
      <c r="B88" s="105">
        <v>46267.0</v>
      </c>
      <c r="C88" s="106" t="s">
        <v>518</v>
      </c>
      <c r="D88" s="107" t="s">
        <v>519</v>
      </c>
      <c r="E88" s="108" t="s">
        <v>520</v>
      </c>
      <c r="F88" s="109" t="s">
        <v>521</v>
      </c>
      <c r="G88" s="107"/>
      <c r="H88" s="110" t="s">
        <v>89</v>
      </c>
      <c r="I88" s="111" t="s">
        <v>89</v>
      </c>
      <c r="J88" s="112" t="s">
        <v>90</v>
      </c>
      <c r="K88" s="111" t="s">
        <v>233</v>
      </c>
      <c r="L88" s="111" t="s">
        <v>153</v>
      </c>
      <c r="M88" s="113"/>
      <c r="N88" s="111" t="s">
        <v>94</v>
      </c>
      <c r="O88" s="111" t="s">
        <v>95</v>
      </c>
      <c r="P88" s="111" t="s">
        <v>136</v>
      </c>
      <c r="Q88" s="111" t="s">
        <v>181</v>
      </c>
      <c r="R88" s="111" t="s">
        <v>97</v>
      </c>
      <c r="S88" s="114"/>
      <c r="T88" s="114"/>
      <c r="U88" s="110" t="s">
        <v>500</v>
      </c>
      <c r="V88" s="113"/>
      <c r="W88" s="114"/>
      <c r="X88" s="114"/>
      <c r="Y88" s="115"/>
      <c r="Z88" s="116"/>
      <c r="AA88" s="115">
        <f t="shared" si="2"/>
        <v>0</v>
      </c>
      <c r="AB88" s="114"/>
      <c r="AC88" s="113"/>
      <c r="AD88" s="113"/>
      <c r="AE88" s="117">
        <f t="shared" si="3"/>
        <v>46266</v>
      </c>
      <c r="AF88" s="117" t="str">
        <f t="shared" si="7"/>
        <v/>
      </c>
      <c r="AG88" s="113" t="str">
        <f t="shared" si="4"/>
        <v>Yes</v>
      </c>
      <c r="AH88" s="113" t="str">
        <f t="shared" si="5"/>
        <v>No</v>
      </c>
      <c r="AI88" s="113" t="str">
        <f t="shared" si="6"/>
        <v>No</v>
      </c>
    </row>
    <row r="89" ht="15.75" customHeight="1">
      <c r="A89" s="60">
        <v>88.0</v>
      </c>
      <c r="B89" s="36">
        <v>46267.0</v>
      </c>
      <c r="C89" s="74" t="s">
        <v>522</v>
      </c>
      <c r="D89" s="75" t="s">
        <v>523</v>
      </c>
      <c r="E89" s="76" t="s">
        <v>524</v>
      </c>
      <c r="F89" s="77" t="s">
        <v>525</v>
      </c>
      <c r="G89" s="75" t="s">
        <v>250</v>
      </c>
      <c r="H89" s="62" t="s">
        <v>89</v>
      </c>
      <c r="I89" s="66" t="s">
        <v>89</v>
      </c>
      <c r="J89" s="65" t="s">
        <v>90</v>
      </c>
      <c r="K89" s="66" t="s">
        <v>161</v>
      </c>
      <c r="L89" s="66" t="s">
        <v>162</v>
      </c>
      <c r="M89" s="41"/>
      <c r="N89" s="66" t="s">
        <v>94</v>
      </c>
      <c r="O89" s="59" t="s">
        <v>95</v>
      </c>
      <c r="P89" s="66" t="s">
        <v>136</v>
      </c>
      <c r="Q89" s="66" t="s">
        <v>181</v>
      </c>
      <c r="R89" s="66" t="s">
        <v>182</v>
      </c>
      <c r="S89" s="42"/>
      <c r="T89" s="42"/>
      <c r="U89" s="40" t="str">
        <f t="shared" ref="U89:U496" si="9">IF($A89="","",IF(OR($Q89="Converted",$Q89="Closed",$Q89="Lost"),"Completed",IF($T89="","Not Scheduled",IF($T89&lt;TODAY(),"Overdue",IF($T89=TODAY(),"Due Today","Upcoming")))))</f>
        <v>Not Scheduled</v>
      </c>
      <c r="V89" s="41"/>
      <c r="W89" s="42"/>
      <c r="X89" s="42"/>
      <c r="Y89" s="43"/>
      <c r="Z89" s="44"/>
      <c r="AA89" s="45">
        <f t="shared" si="2"/>
        <v>0</v>
      </c>
      <c r="AB89" s="42"/>
      <c r="AC89" s="41"/>
      <c r="AD89" s="41"/>
      <c r="AE89" s="46">
        <f t="shared" si="3"/>
        <v>46266</v>
      </c>
      <c r="AF89" s="46" t="str">
        <f t="shared" si="7"/>
        <v/>
      </c>
      <c r="AG89" s="40" t="str">
        <f t="shared" si="4"/>
        <v>Yes</v>
      </c>
      <c r="AH89" s="40" t="str">
        <f t="shared" si="5"/>
        <v>No</v>
      </c>
      <c r="AI89" s="40" t="str">
        <f t="shared" si="6"/>
        <v>No</v>
      </c>
    </row>
    <row r="90" ht="15.75" customHeight="1">
      <c r="A90" s="60">
        <v>89.0</v>
      </c>
      <c r="B90" s="36">
        <v>46267.0</v>
      </c>
      <c r="C90" s="74" t="s">
        <v>526</v>
      </c>
      <c r="D90" s="75" t="s">
        <v>527</v>
      </c>
      <c r="E90" s="76" t="s">
        <v>528</v>
      </c>
      <c r="F90" s="77" t="s">
        <v>529</v>
      </c>
      <c r="G90" s="75" t="s">
        <v>88</v>
      </c>
      <c r="H90" s="62" t="s">
        <v>89</v>
      </c>
      <c r="I90" s="66" t="s">
        <v>89</v>
      </c>
      <c r="J90" s="65" t="s">
        <v>90</v>
      </c>
      <c r="K90" s="66" t="s">
        <v>161</v>
      </c>
      <c r="L90" s="66" t="s">
        <v>162</v>
      </c>
      <c r="M90" s="41"/>
      <c r="N90" s="66" t="s">
        <v>94</v>
      </c>
      <c r="O90" s="59" t="s">
        <v>95</v>
      </c>
      <c r="P90" s="66" t="s">
        <v>136</v>
      </c>
      <c r="Q90" s="66" t="s">
        <v>181</v>
      </c>
      <c r="R90" s="66" t="s">
        <v>182</v>
      </c>
      <c r="S90" s="42"/>
      <c r="T90" s="42"/>
      <c r="U90" s="40" t="str">
        <f t="shared" si="9"/>
        <v>Not Scheduled</v>
      </c>
      <c r="V90" s="41"/>
      <c r="W90" s="42"/>
      <c r="X90" s="42"/>
      <c r="Y90" s="43"/>
      <c r="Z90" s="44"/>
      <c r="AA90" s="45">
        <f t="shared" si="2"/>
        <v>0</v>
      </c>
      <c r="AB90" s="42"/>
      <c r="AC90" s="41"/>
      <c r="AD90" s="41"/>
      <c r="AE90" s="46">
        <f t="shared" si="3"/>
        <v>46266</v>
      </c>
      <c r="AF90" s="46" t="str">
        <f t="shared" si="7"/>
        <v/>
      </c>
      <c r="AG90" s="40" t="str">
        <f t="shared" si="4"/>
        <v>Yes</v>
      </c>
      <c r="AH90" s="40" t="str">
        <f t="shared" si="5"/>
        <v>No</v>
      </c>
      <c r="AI90" s="40" t="str">
        <f t="shared" si="6"/>
        <v>No</v>
      </c>
    </row>
    <row r="91" ht="15.75" customHeight="1">
      <c r="A91" s="60">
        <v>90.0</v>
      </c>
      <c r="B91" s="36">
        <v>46267.0</v>
      </c>
      <c r="C91" s="74" t="s">
        <v>530</v>
      </c>
      <c r="D91" s="75" t="s">
        <v>531</v>
      </c>
      <c r="E91" s="76" t="s">
        <v>532</v>
      </c>
      <c r="F91" s="77" t="s">
        <v>533</v>
      </c>
      <c r="G91" s="75" t="s">
        <v>88</v>
      </c>
      <c r="H91" s="62" t="s">
        <v>89</v>
      </c>
      <c r="I91" s="66" t="s">
        <v>89</v>
      </c>
      <c r="J91" s="65" t="s">
        <v>90</v>
      </c>
      <c r="K91" s="66" t="s">
        <v>91</v>
      </c>
      <c r="L91" s="66" t="s">
        <v>92</v>
      </c>
      <c r="M91" s="41"/>
      <c r="N91" s="66" t="s">
        <v>94</v>
      </c>
      <c r="O91" s="59" t="s">
        <v>95</v>
      </c>
      <c r="P91" s="66" t="s">
        <v>136</v>
      </c>
      <c r="Q91" s="66" t="s">
        <v>181</v>
      </c>
      <c r="R91" s="66" t="s">
        <v>182</v>
      </c>
      <c r="S91" s="42"/>
      <c r="T91" s="42"/>
      <c r="U91" s="40" t="str">
        <f t="shared" si="9"/>
        <v>Not Scheduled</v>
      </c>
      <c r="V91" s="41"/>
      <c r="W91" s="42"/>
      <c r="X91" s="42"/>
      <c r="Y91" s="43"/>
      <c r="Z91" s="44"/>
      <c r="AA91" s="45">
        <f t="shared" si="2"/>
        <v>0</v>
      </c>
      <c r="AB91" s="42"/>
      <c r="AC91" s="41"/>
      <c r="AD91" s="41"/>
      <c r="AE91" s="46">
        <f t="shared" si="3"/>
        <v>46266</v>
      </c>
      <c r="AF91" s="46" t="str">
        <f t="shared" si="7"/>
        <v/>
      </c>
      <c r="AG91" s="40" t="str">
        <f t="shared" si="4"/>
        <v>Yes</v>
      </c>
      <c r="AH91" s="40" t="str">
        <f t="shared" si="5"/>
        <v>No</v>
      </c>
      <c r="AI91" s="40" t="str">
        <f t="shared" si="6"/>
        <v>No</v>
      </c>
    </row>
    <row r="92" ht="15.75" customHeight="1">
      <c r="A92" s="60">
        <v>91.0</v>
      </c>
      <c r="B92" s="36">
        <v>46267.0</v>
      </c>
      <c r="C92" s="74" t="s">
        <v>534</v>
      </c>
      <c r="D92" s="75" t="s">
        <v>535</v>
      </c>
      <c r="E92" s="76" t="s">
        <v>536</v>
      </c>
      <c r="F92" s="77" t="s">
        <v>537</v>
      </c>
      <c r="G92" s="75" t="s">
        <v>88</v>
      </c>
      <c r="H92" s="62" t="s">
        <v>89</v>
      </c>
      <c r="I92" s="66" t="s">
        <v>89</v>
      </c>
      <c r="J92" s="65" t="s">
        <v>90</v>
      </c>
      <c r="K92" s="66" t="s">
        <v>161</v>
      </c>
      <c r="L92" s="66" t="s">
        <v>92</v>
      </c>
      <c r="M92" s="41"/>
      <c r="N92" s="66" t="s">
        <v>94</v>
      </c>
      <c r="O92" s="59" t="s">
        <v>95</v>
      </c>
      <c r="P92" s="66" t="s">
        <v>136</v>
      </c>
      <c r="Q92" s="66" t="s">
        <v>181</v>
      </c>
      <c r="R92" s="66" t="s">
        <v>182</v>
      </c>
      <c r="S92" s="42"/>
      <c r="T92" s="42"/>
      <c r="U92" s="40" t="str">
        <f t="shared" si="9"/>
        <v>Not Scheduled</v>
      </c>
      <c r="V92" s="41"/>
      <c r="W92" s="42"/>
      <c r="X92" s="42"/>
      <c r="Y92" s="43"/>
      <c r="Z92" s="44"/>
      <c r="AA92" s="45">
        <f t="shared" si="2"/>
        <v>0</v>
      </c>
      <c r="AB92" s="42"/>
      <c r="AC92" s="41"/>
      <c r="AD92" s="41"/>
      <c r="AE92" s="46">
        <f t="shared" si="3"/>
        <v>46266</v>
      </c>
      <c r="AF92" s="46" t="str">
        <f t="shared" si="7"/>
        <v/>
      </c>
      <c r="AG92" s="40" t="str">
        <f t="shared" si="4"/>
        <v>Yes</v>
      </c>
      <c r="AH92" s="40" t="str">
        <f t="shared" si="5"/>
        <v>No</v>
      </c>
      <c r="AI92" s="40" t="str">
        <f t="shared" si="6"/>
        <v>No</v>
      </c>
    </row>
    <row r="93" ht="15.75" customHeight="1">
      <c r="A93" s="60">
        <v>92.0</v>
      </c>
      <c r="B93" s="36">
        <v>46267.0</v>
      </c>
      <c r="C93" s="74" t="s">
        <v>538</v>
      </c>
      <c r="D93" s="75"/>
      <c r="E93" s="76" t="s">
        <v>539</v>
      </c>
      <c r="F93" s="77" t="s">
        <v>540</v>
      </c>
      <c r="G93" s="75" t="s">
        <v>88</v>
      </c>
      <c r="H93" s="62" t="s">
        <v>89</v>
      </c>
      <c r="I93" s="66" t="s">
        <v>89</v>
      </c>
      <c r="J93" s="65" t="s">
        <v>90</v>
      </c>
      <c r="K93" s="66" t="s">
        <v>115</v>
      </c>
      <c r="L93" s="66" t="s">
        <v>115</v>
      </c>
      <c r="M93" s="41"/>
      <c r="N93" s="66" t="s">
        <v>94</v>
      </c>
      <c r="O93" s="59" t="s">
        <v>95</v>
      </c>
      <c r="P93" s="66" t="s">
        <v>136</v>
      </c>
      <c r="Q93" s="66" t="s">
        <v>181</v>
      </c>
      <c r="R93" s="66" t="s">
        <v>182</v>
      </c>
      <c r="S93" s="42"/>
      <c r="T93" s="42"/>
      <c r="U93" s="40" t="str">
        <f t="shared" si="9"/>
        <v>Not Scheduled</v>
      </c>
      <c r="V93" s="41"/>
      <c r="W93" s="42"/>
      <c r="X93" s="42"/>
      <c r="Y93" s="43"/>
      <c r="Z93" s="44"/>
      <c r="AA93" s="45">
        <f t="shared" si="2"/>
        <v>0</v>
      </c>
      <c r="AB93" s="42"/>
      <c r="AC93" s="41"/>
      <c r="AD93" s="41"/>
      <c r="AE93" s="46">
        <f t="shared" si="3"/>
        <v>46266</v>
      </c>
      <c r="AF93" s="46" t="str">
        <f t="shared" si="7"/>
        <v/>
      </c>
      <c r="AG93" s="40" t="str">
        <f t="shared" si="4"/>
        <v>Yes</v>
      </c>
      <c r="AH93" s="40" t="str">
        <f t="shared" si="5"/>
        <v>No</v>
      </c>
      <c r="AI93" s="40" t="str">
        <f t="shared" si="6"/>
        <v>No</v>
      </c>
    </row>
    <row r="94" ht="15.75" customHeight="1">
      <c r="A94" s="60">
        <v>93.0</v>
      </c>
      <c r="B94" s="36">
        <v>46267.0</v>
      </c>
      <c r="C94" s="74" t="s">
        <v>541</v>
      </c>
      <c r="D94" s="75" t="s">
        <v>542</v>
      </c>
      <c r="E94" s="76" t="s">
        <v>543</v>
      </c>
      <c r="F94" s="77" t="s">
        <v>544</v>
      </c>
      <c r="G94" s="75" t="s">
        <v>545</v>
      </c>
      <c r="H94" s="62" t="s">
        <v>89</v>
      </c>
      <c r="I94" s="66" t="s">
        <v>89</v>
      </c>
      <c r="J94" s="66" t="s">
        <v>90</v>
      </c>
      <c r="K94" s="66" t="s">
        <v>91</v>
      </c>
      <c r="L94" s="66" t="s">
        <v>141</v>
      </c>
      <c r="M94" s="41"/>
      <c r="N94" s="66" t="s">
        <v>94</v>
      </c>
      <c r="O94" s="59" t="s">
        <v>95</v>
      </c>
      <c r="P94" s="66" t="s">
        <v>136</v>
      </c>
      <c r="Q94" s="66" t="s">
        <v>181</v>
      </c>
      <c r="R94" s="66" t="s">
        <v>182</v>
      </c>
      <c r="S94" s="42"/>
      <c r="T94" s="42"/>
      <c r="U94" s="40" t="str">
        <f t="shared" si="9"/>
        <v>Not Scheduled</v>
      </c>
      <c r="V94" s="41"/>
      <c r="W94" s="42"/>
      <c r="X94" s="42"/>
      <c r="Y94" s="43"/>
      <c r="Z94" s="44"/>
      <c r="AA94" s="45">
        <f t="shared" si="2"/>
        <v>0</v>
      </c>
      <c r="AB94" s="42"/>
      <c r="AC94" s="41"/>
      <c r="AD94" s="41"/>
      <c r="AE94" s="46">
        <f t="shared" si="3"/>
        <v>46266</v>
      </c>
      <c r="AF94" s="46" t="str">
        <f t="shared" si="7"/>
        <v/>
      </c>
      <c r="AG94" s="40" t="str">
        <f t="shared" si="4"/>
        <v>Yes</v>
      </c>
      <c r="AH94" s="40" t="str">
        <f t="shared" si="5"/>
        <v>No</v>
      </c>
      <c r="AI94" s="40" t="str">
        <f t="shared" si="6"/>
        <v>No</v>
      </c>
    </row>
    <row r="95" ht="15.75" customHeight="1">
      <c r="A95" s="60">
        <v>94.0</v>
      </c>
      <c r="B95" s="36">
        <v>46270.0</v>
      </c>
      <c r="C95" s="118" t="s">
        <v>546</v>
      </c>
      <c r="D95" s="62" t="s">
        <v>547</v>
      </c>
      <c r="E95" s="119" t="s">
        <v>548</v>
      </c>
      <c r="F95" s="120" t="s">
        <v>549</v>
      </c>
      <c r="G95" s="62" t="s">
        <v>550</v>
      </c>
      <c r="H95" s="62" t="s">
        <v>551</v>
      </c>
      <c r="I95" s="66" t="s">
        <v>415</v>
      </c>
      <c r="J95" s="66" t="s">
        <v>90</v>
      </c>
      <c r="K95" s="66" t="s">
        <v>129</v>
      </c>
      <c r="L95" s="66" t="s">
        <v>152</v>
      </c>
      <c r="M95" s="41"/>
      <c r="N95" s="66" t="s">
        <v>122</v>
      </c>
      <c r="O95" s="59" t="s">
        <v>552</v>
      </c>
      <c r="P95" s="66" t="s">
        <v>117</v>
      </c>
      <c r="Q95" s="66" t="s">
        <v>168</v>
      </c>
      <c r="R95" s="66" t="s">
        <v>177</v>
      </c>
      <c r="S95" s="42"/>
      <c r="T95" s="42"/>
      <c r="U95" s="40" t="str">
        <f t="shared" si="9"/>
        <v>Not Scheduled</v>
      </c>
      <c r="V95" s="41"/>
      <c r="W95" s="42"/>
      <c r="X95" s="42"/>
      <c r="Y95" s="43"/>
      <c r="Z95" s="44"/>
      <c r="AA95" s="45">
        <f t="shared" si="2"/>
        <v>0</v>
      </c>
      <c r="AB95" s="42"/>
      <c r="AC95" s="41"/>
      <c r="AD95" s="41"/>
      <c r="AE95" s="46">
        <f t="shared" si="3"/>
        <v>46266</v>
      </c>
      <c r="AF95" s="46" t="str">
        <f t="shared" si="7"/>
        <v/>
      </c>
      <c r="AG95" s="40" t="str">
        <f t="shared" si="4"/>
        <v>Yes</v>
      </c>
      <c r="AH95" s="40" t="str">
        <f t="shared" si="5"/>
        <v>No</v>
      </c>
      <c r="AI95" s="40" t="str">
        <f t="shared" si="6"/>
        <v>No</v>
      </c>
    </row>
    <row r="96" ht="15.75" customHeight="1">
      <c r="A96" s="60">
        <v>95.0</v>
      </c>
      <c r="B96" s="36">
        <v>46272.0</v>
      </c>
      <c r="C96" s="121" t="s">
        <v>553</v>
      </c>
      <c r="D96" s="62" t="s">
        <v>554</v>
      </c>
      <c r="E96" s="64"/>
      <c r="F96" s="122" t="s">
        <v>555</v>
      </c>
      <c r="G96" s="62" t="s">
        <v>556</v>
      </c>
      <c r="H96" s="62" t="s">
        <v>551</v>
      </c>
      <c r="I96" s="66" t="s">
        <v>415</v>
      </c>
      <c r="J96" s="66" t="s">
        <v>90</v>
      </c>
      <c r="K96" s="66" t="s">
        <v>129</v>
      </c>
      <c r="L96" s="66" t="s">
        <v>152</v>
      </c>
      <c r="M96" s="41"/>
      <c r="N96" s="66" t="s">
        <v>122</v>
      </c>
      <c r="O96" s="59" t="s">
        <v>552</v>
      </c>
      <c r="P96" s="66" t="s">
        <v>96</v>
      </c>
      <c r="Q96" s="66" t="s">
        <v>173</v>
      </c>
      <c r="R96" s="66" t="s">
        <v>124</v>
      </c>
      <c r="S96" s="42"/>
      <c r="T96" s="42"/>
      <c r="U96" s="40" t="str">
        <f t="shared" si="9"/>
        <v>Not Scheduled</v>
      </c>
      <c r="V96" s="41"/>
      <c r="W96" s="42"/>
      <c r="X96" s="42"/>
      <c r="Y96" s="43"/>
      <c r="Z96" s="44"/>
      <c r="AA96" s="45">
        <f t="shared" si="2"/>
        <v>0</v>
      </c>
      <c r="AB96" s="42"/>
      <c r="AC96" s="41"/>
      <c r="AD96" s="41"/>
      <c r="AE96" s="46">
        <f t="shared" si="3"/>
        <v>46266</v>
      </c>
      <c r="AF96" s="46" t="str">
        <f t="shared" si="7"/>
        <v/>
      </c>
      <c r="AG96" s="40" t="str">
        <f t="shared" si="4"/>
        <v>Yes</v>
      </c>
      <c r="AH96" s="40" t="str">
        <f t="shared" si="5"/>
        <v>No</v>
      </c>
      <c r="AI96" s="40" t="str">
        <f t="shared" si="6"/>
        <v>No</v>
      </c>
    </row>
    <row r="97" ht="15.75" customHeight="1">
      <c r="A97" s="60">
        <v>96.0</v>
      </c>
      <c r="B97" s="36">
        <v>46272.0</v>
      </c>
      <c r="C97" s="121" t="s">
        <v>557</v>
      </c>
      <c r="D97" s="62" t="s">
        <v>558</v>
      </c>
      <c r="E97" s="63" t="s">
        <v>559</v>
      </c>
      <c r="F97" s="63" t="s">
        <v>560</v>
      </c>
      <c r="G97" s="62" t="s">
        <v>550</v>
      </c>
      <c r="H97" s="62" t="s">
        <v>551</v>
      </c>
      <c r="I97" s="66" t="s">
        <v>415</v>
      </c>
      <c r="J97" s="66" t="s">
        <v>90</v>
      </c>
      <c r="K97" s="66" t="s">
        <v>129</v>
      </c>
      <c r="L97" s="66" t="s">
        <v>152</v>
      </c>
      <c r="M97" s="41"/>
      <c r="N97" s="66" t="s">
        <v>122</v>
      </c>
      <c r="O97" s="59" t="s">
        <v>552</v>
      </c>
      <c r="P97" s="66" t="s">
        <v>96</v>
      </c>
      <c r="Q97" s="66" t="s">
        <v>421</v>
      </c>
      <c r="R97" s="66" t="s">
        <v>97</v>
      </c>
      <c r="S97" s="42"/>
      <c r="T97" s="42"/>
      <c r="U97" s="40" t="str">
        <f t="shared" si="9"/>
        <v>Completed</v>
      </c>
      <c r="V97" s="41"/>
      <c r="W97" s="42"/>
      <c r="X97" s="42"/>
      <c r="Y97" s="43"/>
      <c r="Z97" s="44"/>
      <c r="AA97" s="45">
        <f t="shared" si="2"/>
        <v>0</v>
      </c>
      <c r="AB97" s="42"/>
      <c r="AC97" s="41"/>
      <c r="AD97" s="41"/>
      <c r="AE97" s="46">
        <f t="shared" si="3"/>
        <v>46266</v>
      </c>
      <c r="AF97" s="46" t="str">
        <f t="shared" si="7"/>
        <v/>
      </c>
      <c r="AG97" s="40" t="str">
        <f t="shared" si="4"/>
        <v>No</v>
      </c>
      <c r="AH97" s="40" t="str">
        <f t="shared" si="5"/>
        <v>No</v>
      </c>
      <c r="AI97" s="40" t="str">
        <f t="shared" si="6"/>
        <v>No</v>
      </c>
    </row>
    <row r="98" ht="15.75" customHeight="1">
      <c r="A98" s="60">
        <v>97.0</v>
      </c>
      <c r="B98" s="36">
        <v>46272.0</v>
      </c>
      <c r="C98" s="121" t="s">
        <v>561</v>
      </c>
      <c r="D98" s="62" t="s">
        <v>562</v>
      </c>
      <c r="E98" s="63" t="s">
        <v>563</v>
      </c>
      <c r="F98" s="64"/>
      <c r="G98" s="62" t="s">
        <v>88</v>
      </c>
      <c r="H98" s="62" t="s">
        <v>89</v>
      </c>
      <c r="I98" s="66" t="s">
        <v>89</v>
      </c>
      <c r="J98" s="66" t="s">
        <v>90</v>
      </c>
      <c r="K98" s="66" t="s">
        <v>161</v>
      </c>
      <c r="L98" s="66" t="s">
        <v>153</v>
      </c>
      <c r="M98" s="41"/>
      <c r="N98" s="66" t="s">
        <v>163</v>
      </c>
      <c r="O98" s="59" t="s">
        <v>95</v>
      </c>
      <c r="P98" s="66" t="s">
        <v>117</v>
      </c>
      <c r="Q98" s="66" t="s">
        <v>164</v>
      </c>
      <c r="R98" s="66" t="s">
        <v>177</v>
      </c>
      <c r="S98" s="42"/>
      <c r="T98" s="42"/>
      <c r="U98" s="40" t="str">
        <f t="shared" si="9"/>
        <v>Not Scheduled</v>
      </c>
      <c r="V98" s="41"/>
      <c r="W98" s="42"/>
      <c r="X98" s="42"/>
      <c r="Y98" s="43"/>
      <c r="Z98" s="44"/>
      <c r="AA98" s="45">
        <f t="shared" si="2"/>
        <v>0</v>
      </c>
      <c r="AB98" s="42"/>
      <c r="AC98" s="41"/>
      <c r="AD98" s="41"/>
      <c r="AE98" s="46">
        <f t="shared" si="3"/>
        <v>46266</v>
      </c>
      <c r="AF98" s="46" t="str">
        <f t="shared" si="7"/>
        <v/>
      </c>
      <c r="AG98" s="40" t="str">
        <f t="shared" si="4"/>
        <v>Yes</v>
      </c>
      <c r="AH98" s="40" t="str">
        <f t="shared" si="5"/>
        <v>No</v>
      </c>
      <c r="AI98" s="40" t="str">
        <f t="shared" si="6"/>
        <v>No</v>
      </c>
    </row>
    <row r="99" ht="15.75" customHeight="1">
      <c r="A99" s="60">
        <v>98.0</v>
      </c>
      <c r="B99" s="36">
        <v>46272.0</v>
      </c>
      <c r="C99" s="121" t="s">
        <v>564</v>
      </c>
      <c r="D99" s="62" t="s">
        <v>565</v>
      </c>
      <c r="E99" s="64"/>
      <c r="F99" s="63" t="s">
        <v>566</v>
      </c>
      <c r="G99" s="62" t="s">
        <v>567</v>
      </c>
      <c r="H99" s="62" t="s">
        <v>89</v>
      </c>
      <c r="I99" s="66" t="s">
        <v>89</v>
      </c>
      <c r="J99" s="66" t="s">
        <v>90</v>
      </c>
      <c r="K99" s="66" t="s">
        <v>129</v>
      </c>
      <c r="L99" s="66" t="s">
        <v>152</v>
      </c>
      <c r="M99" s="41"/>
      <c r="N99" s="66" t="s">
        <v>122</v>
      </c>
      <c r="O99" s="66" t="s">
        <v>552</v>
      </c>
      <c r="P99" s="66" t="s">
        <v>117</v>
      </c>
      <c r="Q99" s="66" t="s">
        <v>164</v>
      </c>
      <c r="R99" s="66" t="s">
        <v>148</v>
      </c>
      <c r="S99" s="42"/>
      <c r="T99" s="42"/>
      <c r="U99" s="40" t="str">
        <f t="shared" si="9"/>
        <v>Not Scheduled</v>
      </c>
      <c r="V99" s="41"/>
      <c r="W99" s="42"/>
      <c r="X99" s="42"/>
      <c r="Y99" s="43"/>
      <c r="Z99" s="44"/>
      <c r="AA99" s="45">
        <f t="shared" si="2"/>
        <v>0</v>
      </c>
      <c r="AB99" s="42"/>
      <c r="AC99" s="41"/>
      <c r="AD99" s="41"/>
      <c r="AE99" s="46">
        <f t="shared" si="3"/>
        <v>46266</v>
      </c>
      <c r="AF99" s="46" t="str">
        <f t="shared" si="7"/>
        <v/>
      </c>
      <c r="AG99" s="40" t="str">
        <f t="shared" si="4"/>
        <v>Yes</v>
      </c>
      <c r="AH99" s="40" t="str">
        <f t="shared" si="5"/>
        <v>No</v>
      </c>
      <c r="AI99" s="40" t="str">
        <f t="shared" si="6"/>
        <v>No</v>
      </c>
    </row>
    <row r="100" ht="15.75" customHeight="1">
      <c r="A100" s="60">
        <v>99.0</v>
      </c>
      <c r="B100" s="36">
        <v>46272.0</v>
      </c>
      <c r="C100" s="121" t="s">
        <v>568</v>
      </c>
      <c r="D100" s="62" t="s">
        <v>569</v>
      </c>
      <c r="E100" s="64">
        <f>256702230051</f>
        <v>256702230051</v>
      </c>
      <c r="F100" s="63" t="s">
        <v>570</v>
      </c>
      <c r="G100" s="62" t="s">
        <v>571</v>
      </c>
      <c r="H100" s="62" t="s">
        <v>551</v>
      </c>
      <c r="I100" s="66" t="s">
        <v>415</v>
      </c>
      <c r="J100" s="66" t="s">
        <v>90</v>
      </c>
      <c r="K100" s="66" t="s">
        <v>129</v>
      </c>
      <c r="L100" s="66" t="s">
        <v>130</v>
      </c>
      <c r="M100" s="41"/>
      <c r="N100" s="66" t="s">
        <v>122</v>
      </c>
      <c r="O100" s="66" t="s">
        <v>95</v>
      </c>
      <c r="P100" s="123"/>
      <c r="Q100" s="123"/>
      <c r="R100" s="123"/>
      <c r="S100" s="42"/>
      <c r="T100" s="42"/>
      <c r="U100" s="40" t="str">
        <f t="shared" si="9"/>
        <v>Not Scheduled</v>
      </c>
      <c r="V100" s="41"/>
      <c r="W100" s="42"/>
      <c r="X100" s="42"/>
      <c r="Y100" s="43"/>
      <c r="Z100" s="44"/>
      <c r="AA100" s="45">
        <f t="shared" si="2"/>
        <v>0</v>
      </c>
      <c r="AB100" s="42"/>
      <c r="AC100" s="41"/>
      <c r="AD100" s="41"/>
      <c r="AE100" s="46">
        <f t="shared" si="3"/>
        <v>46266</v>
      </c>
      <c r="AF100" s="46" t="str">
        <f t="shared" si="7"/>
        <v/>
      </c>
      <c r="AG100" s="40" t="str">
        <f t="shared" si="4"/>
        <v>Yes</v>
      </c>
      <c r="AH100" s="40" t="str">
        <f t="shared" si="5"/>
        <v>No</v>
      </c>
      <c r="AI100" s="40" t="str">
        <f t="shared" si="6"/>
        <v>No</v>
      </c>
    </row>
    <row r="101" ht="15.75" customHeight="1">
      <c r="A101" s="60">
        <v>100.0</v>
      </c>
      <c r="B101" s="36">
        <v>46272.0</v>
      </c>
      <c r="C101" s="121" t="s">
        <v>572</v>
      </c>
      <c r="D101" s="62" t="s">
        <v>573</v>
      </c>
      <c r="E101" s="63" t="s">
        <v>574</v>
      </c>
      <c r="F101" s="122" t="s">
        <v>575</v>
      </c>
      <c r="G101" s="62" t="s">
        <v>576</v>
      </c>
      <c r="H101" s="62" t="s">
        <v>89</v>
      </c>
      <c r="I101" s="66" t="s">
        <v>89</v>
      </c>
      <c r="J101" s="66" t="s">
        <v>90</v>
      </c>
      <c r="K101" s="66" t="s">
        <v>161</v>
      </c>
      <c r="L101" s="66" t="s">
        <v>153</v>
      </c>
      <c r="M101" s="41"/>
      <c r="N101" s="66" t="s">
        <v>122</v>
      </c>
      <c r="O101" s="66" t="s">
        <v>95</v>
      </c>
      <c r="P101" s="123"/>
      <c r="Q101" s="123"/>
      <c r="R101" s="123"/>
      <c r="S101" s="42"/>
      <c r="T101" s="42"/>
      <c r="U101" s="40" t="str">
        <f t="shared" si="9"/>
        <v>Not Scheduled</v>
      </c>
      <c r="V101" s="41"/>
      <c r="W101" s="42"/>
      <c r="X101" s="42"/>
      <c r="Y101" s="43"/>
      <c r="Z101" s="44"/>
      <c r="AA101" s="45">
        <f t="shared" si="2"/>
        <v>0</v>
      </c>
      <c r="AB101" s="42"/>
      <c r="AC101" s="41"/>
      <c r="AD101" s="41"/>
      <c r="AE101" s="46">
        <f t="shared" si="3"/>
        <v>46266</v>
      </c>
      <c r="AF101" s="46" t="str">
        <f t="shared" si="7"/>
        <v/>
      </c>
      <c r="AG101" s="40" t="str">
        <f t="shared" si="4"/>
        <v>Yes</v>
      </c>
      <c r="AH101" s="40" t="str">
        <f t="shared" si="5"/>
        <v>No</v>
      </c>
      <c r="AI101" s="40" t="str">
        <f t="shared" si="6"/>
        <v>No</v>
      </c>
    </row>
    <row r="102" ht="15.75" customHeight="1">
      <c r="A102" s="60">
        <v>110.0</v>
      </c>
      <c r="B102" s="36">
        <v>46272.0</v>
      </c>
      <c r="C102" s="121" t="s">
        <v>577</v>
      </c>
      <c r="D102" s="62" t="s">
        <v>578</v>
      </c>
      <c r="E102" s="64"/>
      <c r="F102" s="63" t="s">
        <v>579</v>
      </c>
      <c r="G102" s="62" t="s">
        <v>567</v>
      </c>
      <c r="H102" s="62" t="s">
        <v>551</v>
      </c>
      <c r="I102" s="66" t="s">
        <v>415</v>
      </c>
      <c r="J102" s="66" t="s">
        <v>90</v>
      </c>
      <c r="K102" s="66" t="s">
        <v>129</v>
      </c>
      <c r="L102" s="66" t="s">
        <v>152</v>
      </c>
      <c r="M102" s="41"/>
      <c r="N102" s="66" t="s">
        <v>122</v>
      </c>
      <c r="O102" s="66" t="s">
        <v>95</v>
      </c>
      <c r="P102" s="123"/>
      <c r="Q102" s="123"/>
      <c r="R102" s="123"/>
      <c r="S102" s="42"/>
      <c r="T102" s="42"/>
      <c r="U102" s="40" t="str">
        <f t="shared" si="9"/>
        <v>Not Scheduled</v>
      </c>
      <c r="V102" s="41"/>
      <c r="W102" s="42"/>
      <c r="X102" s="42"/>
      <c r="Y102" s="43"/>
      <c r="Z102" s="44"/>
      <c r="AA102" s="45">
        <f t="shared" si="2"/>
        <v>0</v>
      </c>
      <c r="AB102" s="42"/>
      <c r="AC102" s="41"/>
      <c r="AD102" s="41"/>
      <c r="AE102" s="46">
        <f t="shared" si="3"/>
        <v>46266</v>
      </c>
      <c r="AF102" s="46" t="str">
        <f t="shared" si="7"/>
        <v/>
      </c>
      <c r="AG102" s="40" t="str">
        <f t="shared" si="4"/>
        <v>Yes</v>
      </c>
      <c r="AH102" s="40" t="str">
        <f t="shared" si="5"/>
        <v>No</v>
      </c>
      <c r="AI102" s="40" t="str">
        <f t="shared" si="6"/>
        <v>No</v>
      </c>
    </row>
    <row r="103" ht="15.75" customHeight="1">
      <c r="A103" s="60">
        <v>111.0</v>
      </c>
      <c r="B103" s="36">
        <v>46272.0</v>
      </c>
      <c r="C103" s="121" t="s">
        <v>580</v>
      </c>
      <c r="D103" s="62" t="s">
        <v>581</v>
      </c>
      <c r="E103" s="63" t="s">
        <v>582</v>
      </c>
      <c r="F103" s="63" t="s">
        <v>583</v>
      </c>
      <c r="G103" s="62" t="s">
        <v>250</v>
      </c>
      <c r="H103" s="62" t="s">
        <v>89</v>
      </c>
      <c r="I103" s="66" t="s">
        <v>89</v>
      </c>
      <c r="J103" s="66" t="s">
        <v>90</v>
      </c>
      <c r="K103" s="66" t="s">
        <v>161</v>
      </c>
      <c r="L103" s="66" t="s">
        <v>153</v>
      </c>
      <c r="M103" s="41"/>
      <c r="N103" s="66" t="s">
        <v>122</v>
      </c>
      <c r="O103" s="66" t="s">
        <v>95</v>
      </c>
      <c r="P103" s="123"/>
      <c r="Q103" s="123"/>
      <c r="R103" s="123"/>
      <c r="S103" s="42"/>
      <c r="T103" s="42"/>
      <c r="U103" s="40" t="str">
        <f t="shared" si="9"/>
        <v>Not Scheduled</v>
      </c>
      <c r="V103" s="41"/>
      <c r="W103" s="42"/>
      <c r="X103" s="42"/>
      <c r="Y103" s="43"/>
      <c r="Z103" s="44"/>
      <c r="AA103" s="45">
        <f t="shared" si="2"/>
        <v>0</v>
      </c>
      <c r="AB103" s="42"/>
      <c r="AC103" s="41"/>
      <c r="AD103" s="41"/>
      <c r="AE103" s="46">
        <f t="shared" si="3"/>
        <v>46266</v>
      </c>
      <c r="AF103" s="46" t="str">
        <f t="shared" si="7"/>
        <v/>
      </c>
      <c r="AG103" s="40" t="str">
        <f t="shared" si="4"/>
        <v>Yes</v>
      </c>
      <c r="AH103" s="40" t="str">
        <f t="shared" si="5"/>
        <v>No</v>
      </c>
      <c r="AI103" s="40" t="str">
        <f t="shared" si="6"/>
        <v>No</v>
      </c>
    </row>
    <row r="104" ht="15.75" customHeight="1">
      <c r="A104" s="60">
        <v>112.0</v>
      </c>
      <c r="B104" s="36">
        <v>46272.0</v>
      </c>
      <c r="C104" s="121" t="s">
        <v>584</v>
      </c>
      <c r="D104" s="62" t="s">
        <v>585</v>
      </c>
      <c r="E104" s="64"/>
      <c r="F104" s="63" t="s">
        <v>586</v>
      </c>
      <c r="G104" s="62" t="s">
        <v>587</v>
      </c>
      <c r="H104" s="62" t="s">
        <v>551</v>
      </c>
      <c r="I104" s="66" t="s">
        <v>415</v>
      </c>
      <c r="J104" s="66" t="s">
        <v>90</v>
      </c>
      <c r="K104" s="66" t="s">
        <v>129</v>
      </c>
      <c r="L104" s="66" t="s">
        <v>152</v>
      </c>
      <c r="M104" s="41"/>
      <c r="N104" s="66" t="s">
        <v>122</v>
      </c>
      <c r="O104" s="66" t="s">
        <v>95</v>
      </c>
      <c r="P104" s="123"/>
      <c r="Q104" s="123"/>
      <c r="R104" s="123"/>
      <c r="S104" s="42"/>
      <c r="T104" s="42"/>
      <c r="U104" s="40" t="str">
        <f t="shared" si="9"/>
        <v>Not Scheduled</v>
      </c>
      <c r="V104" s="41"/>
      <c r="W104" s="42"/>
      <c r="X104" s="42"/>
      <c r="Y104" s="43"/>
      <c r="Z104" s="44"/>
      <c r="AA104" s="45">
        <f t="shared" si="2"/>
        <v>0</v>
      </c>
      <c r="AB104" s="42"/>
      <c r="AC104" s="41"/>
      <c r="AD104" s="41"/>
      <c r="AE104" s="46">
        <f t="shared" si="3"/>
        <v>46266</v>
      </c>
      <c r="AF104" s="46" t="str">
        <f t="shared" si="7"/>
        <v/>
      </c>
      <c r="AG104" s="40" t="str">
        <f t="shared" si="4"/>
        <v>Yes</v>
      </c>
      <c r="AH104" s="40" t="str">
        <f t="shared" si="5"/>
        <v>No</v>
      </c>
      <c r="AI104" s="40" t="str">
        <f t="shared" si="6"/>
        <v>No</v>
      </c>
    </row>
    <row r="105" ht="15.75" customHeight="1">
      <c r="A105" s="60">
        <v>113.0</v>
      </c>
      <c r="B105" s="36">
        <v>46272.0</v>
      </c>
      <c r="C105" s="121" t="s">
        <v>588</v>
      </c>
      <c r="D105" s="62" t="s">
        <v>589</v>
      </c>
      <c r="E105" s="64"/>
      <c r="F105" s="63" t="s">
        <v>590</v>
      </c>
      <c r="G105" s="62" t="s">
        <v>571</v>
      </c>
      <c r="H105" s="62" t="s">
        <v>551</v>
      </c>
      <c r="I105" s="66" t="s">
        <v>415</v>
      </c>
      <c r="J105" s="66" t="s">
        <v>90</v>
      </c>
      <c r="K105" s="66" t="s">
        <v>129</v>
      </c>
      <c r="L105" s="66" t="s">
        <v>130</v>
      </c>
      <c r="M105" s="41"/>
      <c r="N105" s="66" t="s">
        <v>122</v>
      </c>
      <c r="O105" s="66" t="s">
        <v>95</v>
      </c>
      <c r="P105" s="123"/>
      <c r="Q105" s="123"/>
      <c r="R105" s="123"/>
      <c r="S105" s="42"/>
      <c r="T105" s="42"/>
      <c r="U105" s="40" t="str">
        <f t="shared" si="9"/>
        <v>Not Scheduled</v>
      </c>
      <c r="V105" s="41"/>
      <c r="W105" s="42"/>
      <c r="X105" s="42"/>
      <c r="Y105" s="43"/>
      <c r="Z105" s="44"/>
      <c r="AA105" s="45">
        <f t="shared" si="2"/>
        <v>0</v>
      </c>
      <c r="AB105" s="42"/>
      <c r="AC105" s="41"/>
      <c r="AD105" s="41"/>
      <c r="AE105" s="46">
        <f t="shared" si="3"/>
        <v>46266</v>
      </c>
      <c r="AF105" s="46" t="str">
        <f t="shared" si="7"/>
        <v/>
      </c>
      <c r="AG105" s="40" t="str">
        <f t="shared" si="4"/>
        <v>Yes</v>
      </c>
      <c r="AH105" s="40" t="str">
        <f t="shared" si="5"/>
        <v>No</v>
      </c>
      <c r="AI105" s="40" t="str">
        <f t="shared" si="6"/>
        <v>No</v>
      </c>
    </row>
    <row r="106" ht="15.75" customHeight="1">
      <c r="A106" s="60">
        <v>114.0</v>
      </c>
      <c r="B106" s="36">
        <v>46272.0</v>
      </c>
      <c r="C106" s="121" t="s">
        <v>591</v>
      </c>
      <c r="D106" s="62" t="s">
        <v>592</v>
      </c>
      <c r="E106" s="63" t="s">
        <v>593</v>
      </c>
      <c r="F106" s="63" t="s">
        <v>594</v>
      </c>
      <c r="G106" s="62" t="s">
        <v>595</v>
      </c>
      <c r="H106" s="62" t="s">
        <v>596</v>
      </c>
      <c r="I106" s="66" t="s">
        <v>415</v>
      </c>
      <c r="J106" s="66" t="s">
        <v>90</v>
      </c>
      <c r="K106" s="66" t="s">
        <v>115</v>
      </c>
      <c r="L106" s="66" t="s">
        <v>115</v>
      </c>
      <c r="M106" s="41"/>
      <c r="N106" s="66" t="s">
        <v>122</v>
      </c>
      <c r="O106" s="66" t="s">
        <v>95</v>
      </c>
      <c r="P106" s="123"/>
      <c r="Q106" s="123"/>
      <c r="R106" s="123"/>
      <c r="S106" s="42"/>
      <c r="T106" s="42"/>
      <c r="U106" s="40" t="str">
        <f t="shared" si="9"/>
        <v>Not Scheduled</v>
      </c>
      <c r="V106" s="41"/>
      <c r="W106" s="42"/>
      <c r="X106" s="42"/>
      <c r="Y106" s="43"/>
      <c r="Z106" s="44"/>
      <c r="AA106" s="45">
        <f t="shared" si="2"/>
        <v>0</v>
      </c>
      <c r="AB106" s="42"/>
      <c r="AC106" s="41"/>
      <c r="AD106" s="41"/>
      <c r="AE106" s="46">
        <f t="shared" si="3"/>
        <v>46266</v>
      </c>
      <c r="AF106" s="46" t="str">
        <f t="shared" si="7"/>
        <v/>
      </c>
      <c r="AG106" s="40" t="str">
        <f t="shared" si="4"/>
        <v>Yes</v>
      </c>
      <c r="AH106" s="40" t="str">
        <f t="shared" si="5"/>
        <v>No</v>
      </c>
      <c r="AI106" s="40" t="str">
        <f t="shared" si="6"/>
        <v>No</v>
      </c>
    </row>
    <row r="107" ht="15.75" customHeight="1">
      <c r="A107" s="60">
        <v>115.0</v>
      </c>
      <c r="B107" s="36">
        <v>46274.0</v>
      </c>
      <c r="C107" s="121" t="s">
        <v>597</v>
      </c>
      <c r="D107" s="41"/>
      <c r="E107" s="63" t="s">
        <v>598</v>
      </c>
      <c r="F107" s="64"/>
      <c r="G107" s="62" t="s">
        <v>88</v>
      </c>
      <c r="H107" s="62" t="s">
        <v>89</v>
      </c>
      <c r="I107" s="66" t="s">
        <v>89</v>
      </c>
      <c r="J107" s="66" t="s">
        <v>90</v>
      </c>
      <c r="K107" s="66" t="s">
        <v>129</v>
      </c>
      <c r="L107" s="66" t="s">
        <v>152</v>
      </c>
      <c r="M107" s="41"/>
      <c r="N107" s="66" t="s">
        <v>122</v>
      </c>
      <c r="O107" s="66" t="s">
        <v>95</v>
      </c>
      <c r="P107" s="123"/>
      <c r="Q107" s="123"/>
      <c r="R107" s="123"/>
      <c r="S107" s="42"/>
      <c r="T107" s="42"/>
      <c r="U107" s="40" t="str">
        <f t="shared" si="9"/>
        <v>Not Scheduled</v>
      </c>
      <c r="V107" s="41"/>
      <c r="W107" s="42"/>
      <c r="X107" s="42"/>
      <c r="Y107" s="43"/>
      <c r="Z107" s="44"/>
      <c r="AA107" s="45">
        <f t="shared" si="2"/>
        <v>0</v>
      </c>
      <c r="AB107" s="42"/>
      <c r="AC107" s="41"/>
      <c r="AD107" s="41"/>
      <c r="AE107" s="46">
        <f t="shared" si="3"/>
        <v>46266</v>
      </c>
      <c r="AF107" s="46" t="str">
        <f t="shared" si="7"/>
        <v/>
      </c>
      <c r="AG107" s="40" t="str">
        <f t="shared" si="4"/>
        <v>Yes</v>
      </c>
      <c r="AH107" s="40" t="str">
        <f t="shared" si="5"/>
        <v>No</v>
      </c>
      <c r="AI107" s="40" t="str">
        <f t="shared" si="6"/>
        <v>No</v>
      </c>
    </row>
    <row r="108" ht="15.75" customHeight="1">
      <c r="A108" s="60">
        <v>116.0</v>
      </c>
      <c r="B108" s="36">
        <v>46274.0</v>
      </c>
      <c r="C108" s="121" t="s">
        <v>599</v>
      </c>
      <c r="D108" s="41"/>
      <c r="E108" s="63" t="s">
        <v>600</v>
      </c>
      <c r="F108" s="64"/>
      <c r="G108" s="62" t="s">
        <v>88</v>
      </c>
      <c r="H108" s="62" t="s">
        <v>89</v>
      </c>
      <c r="I108" s="66" t="s">
        <v>89</v>
      </c>
      <c r="J108" s="66" t="s">
        <v>90</v>
      </c>
      <c r="K108" s="66" t="s">
        <v>129</v>
      </c>
      <c r="L108" s="66" t="s">
        <v>152</v>
      </c>
      <c r="M108" s="41"/>
      <c r="N108" s="66" t="s">
        <v>122</v>
      </c>
      <c r="O108" s="66" t="s">
        <v>95</v>
      </c>
      <c r="P108" s="123"/>
      <c r="Q108" s="123"/>
      <c r="R108" s="123"/>
      <c r="S108" s="42"/>
      <c r="T108" s="42"/>
      <c r="U108" s="40" t="str">
        <f t="shared" si="9"/>
        <v>Not Scheduled</v>
      </c>
      <c r="V108" s="41"/>
      <c r="W108" s="42"/>
      <c r="X108" s="42"/>
      <c r="Y108" s="43"/>
      <c r="Z108" s="44"/>
      <c r="AA108" s="45">
        <f t="shared" si="2"/>
        <v>0</v>
      </c>
      <c r="AB108" s="42"/>
      <c r="AC108" s="41"/>
      <c r="AD108" s="41"/>
      <c r="AE108" s="46">
        <f t="shared" si="3"/>
        <v>46266</v>
      </c>
      <c r="AF108" s="46" t="str">
        <f t="shared" si="7"/>
        <v/>
      </c>
      <c r="AG108" s="40" t="str">
        <f t="shared" si="4"/>
        <v>Yes</v>
      </c>
      <c r="AH108" s="40" t="str">
        <f t="shared" si="5"/>
        <v>No</v>
      </c>
      <c r="AI108" s="40" t="str">
        <f t="shared" si="6"/>
        <v>No</v>
      </c>
    </row>
    <row r="109" ht="15.75" customHeight="1">
      <c r="A109" s="60">
        <v>117.0</v>
      </c>
      <c r="B109" s="36">
        <v>46274.0</v>
      </c>
      <c r="C109" s="121" t="s">
        <v>601</v>
      </c>
      <c r="D109" s="62" t="s">
        <v>602</v>
      </c>
      <c r="E109" s="63" t="s">
        <v>603</v>
      </c>
      <c r="F109" s="64"/>
      <c r="G109" s="62" t="s">
        <v>88</v>
      </c>
      <c r="H109" s="62" t="s">
        <v>89</v>
      </c>
      <c r="I109" s="66" t="s">
        <v>89</v>
      </c>
      <c r="J109" s="66" t="s">
        <v>90</v>
      </c>
      <c r="K109" s="66" t="s">
        <v>145</v>
      </c>
      <c r="L109" s="66" t="s">
        <v>146</v>
      </c>
      <c r="M109" s="41"/>
      <c r="N109" s="66" t="s">
        <v>122</v>
      </c>
      <c r="O109" s="66" t="s">
        <v>95</v>
      </c>
      <c r="P109" s="123"/>
      <c r="Q109" s="123"/>
      <c r="R109" s="123"/>
      <c r="S109" s="42"/>
      <c r="T109" s="42"/>
      <c r="U109" s="40" t="str">
        <f t="shared" si="9"/>
        <v>Not Scheduled</v>
      </c>
      <c r="V109" s="41"/>
      <c r="W109" s="42"/>
      <c r="X109" s="42"/>
      <c r="Y109" s="43"/>
      <c r="Z109" s="44"/>
      <c r="AA109" s="45">
        <f t="shared" si="2"/>
        <v>0</v>
      </c>
      <c r="AB109" s="42"/>
      <c r="AC109" s="41"/>
      <c r="AD109" s="41"/>
      <c r="AE109" s="46">
        <f t="shared" si="3"/>
        <v>46266</v>
      </c>
      <c r="AF109" s="46" t="str">
        <f t="shared" si="7"/>
        <v/>
      </c>
      <c r="AG109" s="40" t="str">
        <f t="shared" si="4"/>
        <v>Yes</v>
      </c>
      <c r="AH109" s="40" t="str">
        <f t="shared" si="5"/>
        <v>No</v>
      </c>
      <c r="AI109" s="40" t="str">
        <f t="shared" si="6"/>
        <v>No</v>
      </c>
    </row>
    <row r="110" ht="15.75" customHeight="1">
      <c r="A110" s="60">
        <v>118.0</v>
      </c>
      <c r="B110" s="36">
        <v>46274.0</v>
      </c>
      <c r="C110" s="72" t="s">
        <v>604</v>
      </c>
      <c r="D110" s="62" t="s">
        <v>605</v>
      </c>
      <c r="E110" s="63" t="s">
        <v>606</v>
      </c>
      <c r="F110" s="64"/>
      <c r="G110" s="62" t="s">
        <v>88</v>
      </c>
      <c r="H110" s="62" t="s">
        <v>89</v>
      </c>
      <c r="I110" s="66" t="s">
        <v>89</v>
      </c>
      <c r="J110" s="66" t="s">
        <v>90</v>
      </c>
      <c r="K110" s="66" t="s">
        <v>91</v>
      </c>
      <c r="L110" s="66" t="s">
        <v>92</v>
      </c>
      <c r="M110" s="41"/>
      <c r="N110" s="66" t="s">
        <v>122</v>
      </c>
      <c r="O110" s="66" t="s">
        <v>95</v>
      </c>
      <c r="P110" s="123"/>
      <c r="Q110" s="123"/>
      <c r="R110" s="123"/>
      <c r="S110" s="42"/>
      <c r="T110" s="42"/>
      <c r="U110" s="40" t="str">
        <f t="shared" si="9"/>
        <v>Not Scheduled</v>
      </c>
      <c r="V110" s="41"/>
      <c r="W110" s="42"/>
      <c r="X110" s="42"/>
      <c r="Y110" s="43"/>
      <c r="Z110" s="44"/>
      <c r="AA110" s="45">
        <f t="shared" si="2"/>
        <v>0</v>
      </c>
      <c r="AB110" s="42"/>
      <c r="AC110" s="41"/>
      <c r="AD110" s="41"/>
      <c r="AE110" s="46">
        <f t="shared" si="3"/>
        <v>46266</v>
      </c>
      <c r="AF110" s="46" t="str">
        <f t="shared" si="7"/>
        <v/>
      </c>
      <c r="AG110" s="40" t="str">
        <f t="shared" si="4"/>
        <v>Yes</v>
      </c>
      <c r="AH110" s="40" t="str">
        <f t="shared" si="5"/>
        <v>No</v>
      </c>
      <c r="AI110" s="40" t="str">
        <f t="shared" si="6"/>
        <v>No</v>
      </c>
    </row>
    <row r="111" ht="15.75" customHeight="1">
      <c r="A111" s="60">
        <v>119.0</v>
      </c>
      <c r="B111" s="36">
        <v>46274.0</v>
      </c>
      <c r="C111" s="72" t="s">
        <v>607</v>
      </c>
      <c r="D111" s="41"/>
      <c r="E111" s="63" t="s">
        <v>608</v>
      </c>
      <c r="F111" s="64"/>
      <c r="G111" s="62" t="s">
        <v>88</v>
      </c>
      <c r="H111" s="62" t="s">
        <v>89</v>
      </c>
      <c r="I111" s="66" t="s">
        <v>89</v>
      </c>
      <c r="J111" s="66" t="s">
        <v>90</v>
      </c>
      <c r="K111" s="66" t="s">
        <v>129</v>
      </c>
      <c r="L111" s="66" t="s">
        <v>152</v>
      </c>
      <c r="M111" s="41"/>
      <c r="N111" s="66" t="s">
        <v>122</v>
      </c>
      <c r="O111" s="66" t="s">
        <v>95</v>
      </c>
      <c r="P111" s="123"/>
      <c r="Q111" s="123"/>
      <c r="R111" s="123"/>
      <c r="S111" s="42"/>
      <c r="T111" s="42"/>
      <c r="U111" s="40" t="str">
        <f t="shared" si="9"/>
        <v>Not Scheduled</v>
      </c>
      <c r="V111" s="41"/>
      <c r="W111" s="42"/>
      <c r="X111" s="42"/>
      <c r="Y111" s="43"/>
      <c r="Z111" s="44"/>
      <c r="AA111" s="45">
        <f t="shared" si="2"/>
        <v>0</v>
      </c>
      <c r="AB111" s="42"/>
      <c r="AC111" s="41"/>
      <c r="AD111" s="41"/>
      <c r="AE111" s="46">
        <f t="shared" si="3"/>
        <v>46266</v>
      </c>
      <c r="AF111" s="46" t="str">
        <f t="shared" si="7"/>
        <v/>
      </c>
      <c r="AG111" s="40" t="str">
        <f t="shared" si="4"/>
        <v>Yes</v>
      </c>
      <c r="AH111" s="40" t="str">
        <f t="shared" si="5"/>
        <v>No</v>
      </c>
      <c r="AI111" s="40" t="str">
        <f t="shared" si="6"/>
        <v>No</v>
      </c>
    </row>
    <row r="112" ht="15.75" customHeight="1">
      <c r="A112" s="60">
        <v>120.0</v>
      </c>
      <c r="B112" s="36">
        <v>46274.0</v>
      </c>
      <c r="C112" s="72" t="s">
        <v>609</v>
      </c>
      <c r="D112" s="41"/>
      <c r="E112" s="63" t="s">
        <v>610</v>
      </c>
      <c r="F112" s="64"/>
      <c r="G112" s="62" t="s">
        <v>88</v>
      </c>
      <c r="H112" s="62" t="s">
        <v>89</v>
      </c>
      <c r="I112" s="66" t="s">
        <v>89</v>
      </c>
      <c r="J112" s="66" t="s">
        <v>90</v>
      </c>
      <c r="K112" s="66" t="s">
        <v>129</v>
      </c>
      <c r="L112" s="66" t="s">
        <v>152</v>
      </c>
      <c r="M112" s="41"/>
      <c r="N112" s="66" t="s">
        <v>122</v>
      </c>
      <c r="O112" s="66" t="s">
        <v>95</v>
      </c>
      <c r="P112" s="123"/>
      <c r="Q112" s="123"/>
      <c r="R112" s="123"/>
      <c r="S112" s="42"/>
      <c r="T112" s="42"/>
      <c r="U112" s="40" t="str">
        <f t="shared" si="9"/>
        <v>Not Scheduled</v>
      </c>
      <c r="V112" s="41"/>
      <c r="W112" s="42"/>
      <c r="X112" s="42"/>
      <c r="Y112" s="43"/>
      <c r="Z112" s="44"/>
      <c r="AA112" s="45">
        <f t="shared" si="2"/>
        <v>0</v>
      </c>
      <c r="AB112" s="42"/>
      <c r="AC112" s="41"/>
      <c r="AD112" s="41"/>
      <c r="AE112" s="46">
        <f t="shared" si="3"/>
        <v>46266</v>
      </c>
      <c r="AF112" s="46" t="str">
        <f t="shared" si="7"/>
        <v/>
      </c>
      <c r="AG112" s="40" t="str">
        <f t="shared" si="4"/>
        <v>Yes</v>
      </c>
      <c r="AH112" s="40" t="str">
        <f t="shared" si="5"/>
        <v>No</v>
      </c>
      <c r="AI112" s="40" t="str">
        <f t="shared" si="6"/>
        <v>No</v>
      </c>
    </row>
    <row r="113" ht="15.75" customHeight="1">
      <c r="A113" s="60">
        <v>121.0</v>
      </c>
      <c r="B113" s="36">
        <v>46274.0</v>
      </c>
      <c r="C113" s="72" t="s">
        <v>611</v>
      </c>
      <c r="D113" s="41"/>
      <c r="E113" s="63" t="s">
        <v>612</v>
      </c>
      <c r="F113" s="64"/>
      <c r="G113" s="62" t="s">
        <v>88</v>
      </c>
      <c r="H113" s="62" t="s">
        <v>89</v>
      </c>
      <c r="I113" s="66" t="s">
        <v>89</v>
      </c>
      <c r="J113" s="66" t="s">
        <v>90</v>
      </c>
      <c r="K113" s="66" t="s">
        <v>129</v>
      </c>
      <c r="L113" s="66" t="s">
        <v>152</v>
      </c>
      <c r="M113" s="41"/>
      <c r="N113" s="66" t="s">
        <v>122</v>
      </c>
      <c r="O113" s="66" t="s">
        <v>95</v>
      </c>
      <c r="P113" s="123"/>
      <c r="Q113" s="123"/>
      <c r="R113" s="123"/>
      <c r="S113" s="42"/>
      <c r="T113" s="42"/>
      <c r="U113" s="40" t="str">
        <f t="shared" si="9"/>
        <v>Not Scheduled</v>
      </c>
      <c r="V113" s="41"/>
      <c r="W113" s="42"/>
      <c r="X113" s="42"/>
      <c r="Y113" s="43"/>
      <c r="Z113" s="44"/>
      <c r="AA113" s="45">
        <f t="shared" si="2"/>
        <v>0</v>
      </c>
      <c r="AB113" s="42"/>
      <c r="AC113" s="41"/>
      <c r="AD113" s="41"/>
      <c r="AE113" s="46">
        <f t="shared" si="3"/>
        <v>46266</v>
      </c>
      <c r="AF113" s="46" t="str">
        <f t="shared" si="7"/>
        <v/>
      </c>
      <c r="AG113" s="40" t="str">
        <f t="shared" si="4"/>
        <v>Yes</v>
      </c>
      <c r="AH113" s="40" t="str">
        <f t="shared" si="5"/>
        <v>No</v>
      </c>
      <c r="AI113" s="40" t="str">
        <f t="shared" si="6"/>
        <v>No</v>
      </c>
    </row>
    <row r="114" ht="15.75" customHeight="1">
      <c r="A114" s="60">
        <v>122.0</v>
      </c>
      <c r="B114" s="36">
        <v>46274.0</v>
      </c>
      <c r="C114" s="72" t="s">
        <v>613</v>
      </c>
      <c r="D114" s="41"/>
      <c r="E114" s="63" t="s">
        <v>614</v>
      </c>
      <c r="F114" s="63" t="s">
        <v>615</v>
      </c>
      <c r="G114" s="62" t="s">
        <v>88</v>
      </c>
      <c r="H114" s="62" t="s">
        <v>89</v>
      </c>
      <c r="I114" s="66" t="s">
        <v>89</v>
      </c>
      <c r="J114" s="66" t="s">
        <v>90</v>
      </c>
      <c r="K114" s="66" t="s">
        <v>129</v>
      </c>
      <c r="L114" s="66" t="s">
        <v>152</v>
      </c>
      <c r="M114" s="41"/>
      <c r="N114" s="66" t="s">
        <v>122</v>
      </c>
      <c r="O114" s="66" t="s">
        <v>95</v>
      </c>
      <c r="P114" s="123"/>
      <c r="Q114" s="123"/>
      <c r="R114" s="123"/>
      <c r="S114" s="42"/>
      <c r="T114" s="42"/>
      <c r="U114" s="40" t="str">
        <f t="shared" si="9"/>
        <v>Not Scheduled</v>
      </c>
      <c r="V114" s="41"/>
      <c r="W114" s="42"/>
      <c r="X114" s="42"/>
      <c r="Y114" s="43"/>
      <c r="Z114" s="44"/>
      <c r="AA114" s="45">
        <f t="shared" si="2"/>
        <v>0</v>
      </c>
      <c r="AB114" s="42"/>
      <c r="AC114" s="41"/>
      <c r="AD114" s="41"/>
      <c r="AE114" s="46">
        <f t="shared" si="3"/>
        <v>46266</v>
      </c>
      <c r="AF114" s="46" t="str">
        <f t="shared" si="7"/>
        <v/>
      </c>
      <c r="AG114" s="40" t="str">
        <f t="shared" si="4"/>
        <v>Yes</v>
      </c>
      <c r="AH114" s="40" t="str">
        <f t="shared" si="5"/>
        <v>No</v>
      </c>
      <c r="AI114" s="40" t="str">
        <f t="shared" si="6"/>
        <v>No</v>
      </c>
    </row>
    <row r="115" ht="15.75" customHeight="1">
      <c r="A115" s="60">
        <v>123.0</v>
      </c>
      <c r="B115" s="36">
        <v>46274.0</v>
      </c>
      <c r="C115" s="72" t="s">
        <v>616</v>
      </c>
      <c r="D115" s="41"/>
      <c r="E115" s="63" t="s">
        <v>617</v>
      </c>
      <c r="F115" s="63" t="s">
        <v>618</v>
      </c>
      <c r="G115" s="62" t="s">
        <v>88</v>
      </c>
      <c r="H115" s="62" t="s">
        <v>89</v>
      </c>
      <c r="I115" s="66" t="s">
        <v>89</v>
      </c>
      <c r="J115" s="66" t="s">
        <v>90</v>
      </c>
      <c r="K115" s="66" t="s">
        <v>129</v>
      </c>
      <c r="L115" s="66" t="s">
        <v>152</v>
      </c>
      <c r="M115" s="41"/>
      <c r="N115" s="66" t="s">
        <v>122</v>
      </c>
      <c r="O115" s="66" t="s">
        <v>95</v>
      </c>
      <c r="P115" s="123"/>
      <c r="Q115" s="123"/>
      <c r="R115" s="123"/>
      <c r="S115" s="42"/>
      <c r="T115" s="42"/>
      <c r="U115" s="40" t="str">
        <f t="shared" si="9"/>
        <v>Not Scheduled</v>
      </c>
      <c r="V115" s="41"/>
      <c r="W115" s="42"/>
      <c r="X115" s="42"/>
      <c r="Y115" s="43"/>
      <c r="Z115" s="44"/>
      <c r="AA115" s="45">
        <f t="shared" si="2"/>
        <v>0</v>
      </c>
      <c r="AB115" s="42"/>
      <c r="AC115" s="41"/>
      <c r="AD115" s="41"/>
      <c r="AE115" s="46">
        <f t="shared" si="3"/>
        <v>46266</v>
      </c>
      <c r="AF115" s="46" t="str">
        <f t="shared" si="7"/>
        <v/>
      </c>
      <c r="AG115" s="40" t="str">
        <f t="shared" si="4"/>
        <v>Yes</v>
      </c>
      <c r="AH115" s="40" t="str">
        <f t="shared" si="5"/>
        <v>No</v>
      </c>
      <c r="AI115" s="40" t="str">
        <f t="shared" si="6"/>
        <v>No</v>
      </c>
    </row>
    <row r="116" ht="15.75" customHeight="1">
      <c r="A116" s="60">
        <v>124.0</v>
      </c>
      <c r="B116" s="36">
        <v>46274.0</v>
      </c>
      <c r="C116" s="72" t="s">
        <v>619</v>
      </c>
      <c r="D116" s="62" t="s">
        <v>620</v>
      </c>
      <c r="E116" s="63" t="s">
        <v>621</v>
      </c>
      <c r="F116" s="63" t="s">
        <v>622</v>
      </c>
      <c r="G116" s="62" t="s">
        <v>88</v>
      </c>
      <c r="H116" s="62" t="s">
        <v>89</v>
      </c>
      <c r="I116" s="66" t="s">
        <v>89</v>
      </c>
      <c r="J116" s="66" t="s">
        <v>90</v>
      </c>
      <c r="K116" s="66" t="s">
        <v>129</v>
      </c>
      <c r="L116" s="66" t="s">
        <v>152</v>
      </c>
      <c r="M116" s="41"/>
      <c r="N116" s="66" t="s">
        <v>122</v>
      </c>
      <c r="O116" s="66" t="s">
        <v>95</v>
      </c>
      <c r="P116" s="123"/>
      <c r="Q116" s="123"/>
      <c r="R116" s="123"/>
      <c r="S116" s="42"/>
      <c r="T116" s="42"/>
      <c r="U116" s="40" t="str">
        <f t="shared" si="9"/>
        <v>Not Scheduled</v>
      </c>
      <c r="V116" s="41"/>
      <c r="W116" s="42"/>
      <c r="X116" s="42"/>
      <c r="Y116" s="43"/>
      <c r="Z116" s="44"/>
      <c r="AA116" s="45">
        <f t="shared" si="2"/>
        <v>0</v>
      </c>
      <c r="AB116" s="42"/>
      <c r="AC116" s="41"/>
      <c r="AD116" s="41"/>
      <c r="AE116" s="46">
        <f t="shared" si="3"/>
        <v>46266</v>
      </c>
      <c r="AF116" s="46" t="str">
        <f t="shared" si="7"/>
        <v/>
      </c>
      <c r="AG116" s="40" t="str">
        <f t="shared" si="4"/>
        <v>Yes</v>
      </c>
      <c r="AH116" s="40" t="str">
        <f t="shared" si="5"/>
        <v>No</v>
      </c>
      <c r="AI116" s="40" t="str">
        <f t="shared" si="6"/>
        <v>No</v>
      </c>
    </row>
    <row r="117" ht="15.75" customHeight="1">
      <c r="A117" s="60">
        <v>125.0</v>
      </c>
      <c r="B117" s="36">
        <v>46274.0</v>
      </c>
      <c r="C117" s="72" t="s">
        <v>623</v>
      </c>
      <c r="D117" s="62" t="s">
        <v>624</v>
      </c>
      <c r="E117" s="63" t="s">
        <v>625</v>
      </c>
      <c r="F117" s="63" t="s">
        <v>626</v>
      </c>
      <c r="G117" s="62" t="s">
        <v>88</v>
      </c>
      <c r="H117" s="62" t="s">
        <v>89</v>
      </c>
      <c r="I117" s="66" t="s">
        <v>89</v>
      </c>
      <c r="J117" s="66" t="s">
        <v>90</v>
      </c>
      <c r="K117" s="66" t="s">
        <v>115</v>
      </c>
      <c r="L117" s="66" t="s">
        <v>115</v>
      </c>
      <c r="M117" s="41"/>
      <c r="N117" s="66" t="s">
        <v>122</v>
      </c>
      <c r="O117" s="66" t="s">
        <v>95</v>
      </c>
      <c r="P117" s="123"/>
      <c r="Q117" s="123"/>
      <c r="R117" s="123"/>
      <c r="S117" s="42"/>
      <c r="T117" s="42"/>
      <c r="U117" s="40" t="str">
        <f t="shared" si="9"/>
        <v>Not Scheduled</v>
      </c>
      <c r="V117" s="41"/>
      <c r="W117" s="42"/>
      <c r="X117" s="42"/>
      <c r="Y117" s="43"/>
      <c r="Z117" s="44"/>
      <c r="AA117" s="45">
        <f t="shared" si="2"/>
        <v>0</v>
      </c>
      <c r="AB117" s="42"/>
      <c r="AC117" s="41"/>
      <c r="AD117" s="41"/>
      <c r="AE117" s="46">
        <f t="shared" si="3"/>
        <v>46266</v>
      </c>
      <c r="AF117" s="46" t="str">
        <f t="shared" si="7"/>
        <v/>
      </c>
      <c r="AG117" s="40" t="str">
        <f t="shared" si="4"/>
        <v>Yes</v>
      </c>
      <c r="AH117" s="40" t="str">
        <f t="shared" si="5"/>
        <v>No</v>
      </c>
      <c r="AI117" s="40" t="str">
        <f t="shared" si="6"/>
        <v>No</v>
      </c>
    </row>
    <row r="118" ht="15.75" customHeight="1">
      <c r="A118" s="60">
        <v>126.0</v>
      </c>
      <c r="B118" s="36">
        <v>46274.0</v>
      </c>
      <c r="C118" s="72" t="s">
        <v>627</v>
      </c>
      <c r="D118" s="62" t="s">
        <v>628</v>
      </c>
      <c r="E118" s="63" t="s">
        <v>629</v>
      </c>
      <c r="F118" s="64"/>
      <c r="G118" s="62" t="s">
        <v>88</v>
      </c>
      <c r="H118" s="62" t="s">
        <v>89</v>
      </c>
      <c r="I118" s="66" t="s">
        <v>89</v>
      </c>
      <c r="J118" s="66" t="s">
        <v>90</v>
      </c>
      <c r="K118" s="66" t="s">
        <v>115</v>
      </c>
      <c r="L118" s="66" t="s">
        <v>115</v>
      </c>
      <c r="M118" s="41"/>
      <c r="N118" s="66" t="s">
        <v>94</v>
      </c>
      <c r="O118" s="66" t="s">
        <v>95</v>
      </c>
      <c r="P118" s="123"/>
      <c r="Q118" s="123"/>
      <c r="R118" s="123"/>
      <c r="S118" s="42"/>
      <c r="T118" s="42"/>
      <c r="U118" s="40" t="str">
        <f t="shared" si="9"/>
        <v>Not Scheduled</v>
      </c>
      <c r="V118" s="41"/>
      <c r="W118" s="42"/>
      <c r="X118" s="42"/>
      <c r="Y118" s="43"/>
      <c r="Z118" s="44"/>
      <c r="AA118" s="45">
        <f t="shared" si="2"/>
        <v>0</v>
      </c>
      <c r="AB118" s="42"/>
      <c r="AC118" s="41"/>
      <c r="AD118" s="41"/>
      <c r="AE118" s="46">
        <f t="shared" si="3"/>
        <v>46266</v>
      </c>
      <c r="AF118" s="46" t="str">
        <f t="shared" si="7"/>
        <v/>
      </c>
      <c r="AG118" s="40" t="str">
        <f t="shared" si="4"/>
        <v>Yes</v>
      </c>
      <c r="AH118" s="40" t="str">
        <f t="shared" si="5"/>
        <v>No</v>
      </c>
      <c r="AI118" s="40" t="str">
        <f t="shared" si="6"/>
        <v>No</v>
      </c>
    </row>
    <row r="119" ht="15.75" customHeight="1">
      <c r="A119" s="60">
        <v>127.0</v>
      </c>
      <c r="B119" s="36">
        <v>46274.0</v>
      </c>
      <c r="C119" s="72" t="s">
        <v>630</v>
      </c>
      <c r="D119" s="62" t="s">
        <v>631</v>
      </c>
      <c r="E119" s="63" t="s">
        <v>632</v>
      </c>
      <c r="F119" s="64"/>
      <c r="G119" s="62" t="s">
        <v>88</v>
      </c>
      <c r="H119" s="62" t="s">
        <v>89</v>
      </c>
      <c r="I119" s="66" t="s">
        <v>89</v>
      </c>
      <c r="J119" s="66" t="s">
        <v>90</v>
      </c>
      <c r="K119" s="66" t="s">
        <v>129</v>
      </c>
      <c r="L119" s="66" t="s">
        <v>152</v>
      </c>
      <c r="M119" s="41"/>
      <c r="N119" s="66" t="s">
        <v>122</v>
      </c>
      <c r="O119" s="66" t="s">
        <v>95</v>
      </c>
      <c r="P119" s="66" t="s">
        <v>136</v>
      </c>
      <c r="Q119" s="66" t="s">
        <v>173</v>
      </c>
      <c r="R119" s="66" t="s">
        <v>97</v>
      </c>
      <c r="S119" s="42"/>
      <c r="T119" s="42"/>
      <c r="U119" s="40" t="str">
        <f t="shared" si="9"/>
        <v>Not Scheduled</v>
      </c>
      <c r="V119" s="41"/>
      <c r="W119" s="42"/>
      <c r="X119" s="42"/>
      <c r="Y119" s="43"/>
      <c r="Z119" s="44"/>
      <c r="AA119" s="45">
        <f t="shared" si="2"/>
        <v>0</v>
      </c>
      <c r="AB119" s="42"/>
      <c r="AC119" s="41"/>
      <c r="AD119" s="41"/>
      <c r="AE119" s="46">
        <f t="shared" si="3"/>
        <v>46266</v>
      </c>
      <c r="AF119" s="46" t="str">
        <f t="shared" si="7"/>
        <v/>
      </c>
      <c r="AG119" s="40" t="str">
        <f t="shared" si="4"/>
        <v>Yes</v>
      </c>
      <c r="AH119" s="40" t="str">
        <f t="shared" si="5"/>
        <v>No</v>
      </c>
      <c r="AI119" s="40" t="str">
        <f t="shared" si="6"/>
        <v>No</v>
      </c>
    </row>
    <row r="120" ht="15.75" customHeight="1">
      <c r="A120" s="60">
        <v>128.0</v>
      </c>
      <c r="B120" s="36">
        <v>46274.0</v>
      </c>
      <c r="C120" s="72" t="s">
        <v>633</v>
      </c>
      <c r="D120" s="41"/>
      <c r="E120" s="63" t="s">
        <v>634</v>
      </c>
      <c r="F120" s="64"/>
      <c r="G120" s="62" t="s">
        <v>88</v>
      </c>
      <c r="H120" s="62" t="s">
        <v>89</v>
      </c>
      <c r="I120" s="66" t="s">
        <v>89</v>
      </c>
      <c r="J120" s="66" t="s">
        <v>90</v>
      </c>
      <c r="K120" s="66" t="s">
        <v>129</v>
      </c>
      <c r="L120" s="66" t="s">
        <v>152</v>
      </c>
      <c r="M120" s="41"/>
      <c r="N120" s="66" t="s">
        <v>122</v>
      </c>
      <c r="O120" s="65"/>
      <c r="P120" s="123"/>
      <c r="Q120" s="123"/>
      <c r="R120" s="123"/>
      <c r="S120" s="42"/>
      <c r="T120" s="42"/>
      <c r="U120" s="40" t="str">
        <f t="shared" si="9"/>
        <v>Not Scheduled</v>
      </c>
      <c r="V120" s="41"/>
      <c r="W120" s="42"/>
      <c r="X120" s="42"/>
      <c r="Y120" s="43"/>
      <c r="Z120" s="44"/>
      <c r="AA120" s="45">
        <f t="shared" si="2"/>
        <v>0</v>
      </c>
      <c r="AB120" s="42"/>
      <c r="AC120" s="41"/>
      <c r="AD120" s="41"/>
      <c r="AE120" s="46">
        <f t="shared" si="3"/>
        <v>46266</v>
      </c>
      <c r="AF120" s="46" t="str">
        <f t="shared" si="7"/>
        <v/>
      </c>
      <c r="AG120" s="40" t="str">
        <f t="shared" si="4"/>
        <v>Yes</v>
      </c>
      <c r="AH120" s="40" t="str">
        <f t="shared" si="5"/>
        <v>No</v>
      </c>
      <c r="AI120" s="40" t="str">
        <f t="shared" si="6"/>
        <v>No</v>
      </c>
    </row>
    <row r="121" ht="15.75" customHeight="1">
      <c r="A121" s="60">
        <v>129.0</v>
      </c>
      <c r="B121" s="36">
        <v>46275.0</v>
      </c>
      <c r="C121" s="72" t="s">
        <v>635</v>
      </c>
      <c r="D121" s="62" t="s">
        <v>636</v>
      </c>
      <c r="E121" s="63" t="s">
        <v>637</v>
      </c>
      <c r="F121" s="64"/>
      <c r="G121" s="62" t="s">
        <v>88</v>
      </c>
      <c r="H121" s="62" t="s">
        <v>89</v>
      </c>
      <c r="I121" s="66" t="s">
        <v>89</v>
      </c>
      <c r="J121" s="66" t="s">
        <v>90</v>
      </c>
      <c r="K121" s="66" t="s">
        <v>129</v>
      </c>
      <c r="L121" s="66" t="s">
        <v>152</v>
      </c>
      <c r="M121" s="41"/>
      <c r="N121" s="123"/>
      <c r="O121" s="65"/>
      <c r="P121" s="123"/>
      <c r="Q121" s="123"/>
      <c r="R121" s="123"/>
      <c r="S121" s="42"/>
      <c r="T121" s="42"/>
      <c r="U121" s="40" t="str">
        <f t="shared" si="9"/>
        <v>Not Scheduled</v>
      </c>
      <c r="V121" s="41"/>
      <c r="W121" s="42"/>
      <c r="X121" s="42"/>
      <c r="Y121" s="43"/>
      <c r="Z121" s="44"/>
      <c r="AA121" s="45">
        <f t="shared" si="2"/>
        <v>0</v>
      </c>
      <c r="AB121" s="42"/>
      <c r="AC121" s="41"/>
      <c r="AD121" s="41"/>
      <c r="AE121" s="46">
        <f t="shared" si="3"/>
        <v>46266</v>
      </c>
      <c r="AF121" s="46" t="str">
        <f t="shared" si="7"/>
        <v/>
      </c>
      <c r="AG121" s="40" t="str">
        <f t="shared" si="4"/>
        <v>Yes</v>
      </c>
      <c r="AH121" s="40" t="str">
        <f t="shared" si="5"/>
        <v>No</v>
      </c>
      <c r="AI121" s="40" t="str">
        <f t="shared" si="6"/>
        <v>No</v>
      </c>
    </row>
    <row r="122" ht="15.75" customHeight="1">
      <c r="A122" s="25">
        <v>130.0</v>
      </c>
      <c r="B122" s="26">
        <v>46296.0</v>
      </c>
      <c r="C122" s="70" t="s">
        <v>638</v>
      </c>
      <c r="D122" s="29" t="s">
        <v>639</v>
      </c>
      <c r="E122" s="31" t="s">
        <v>640</v>
      </c>
      <c r="F122" s="67"/>
      <c r="G122" s="29" t="s">
        <v>491</v>
      </c>
      <c r="H122" s="29" t="s">
        <v>89</v>
      </c>
      <c r="I122" s="35" t="s">
        <v>89</v>
      </c>
      <c r="J122" s="35" t="s">
        <v>90</v>
      </c>
      <c r="K122" s="35" t="s">
        <v>233</v>
      </c>
      <c r="L122" s="35" t="s">
        <v>162</v>
      </c>
      <c r="M122" s="34"/>
      <c r="N122" s="35" t="s">
        <v>163</v>
      </c>
      <c r="O122" s="32"/>
      <c r="P122" s="35" t="s">
        <v>117</v>
      </c>
      <c r="Q122" s="35" t="s">
        <v>164</v>
      </c>
      <c r="R122" s="35" t="s">
        <v>177</v>
      </c>
      <c r="S122" s="71"/>
      <c r="T122" s="71"/>
      <c r="U122" s="34" t="str">
        <f t="shared" si="9"/>
        <v>Not Scheduled</v>
      </c>
      <c r="V122" s="34"/>
      <c r="W122" s="71"/>
      <c r="X122" s="71"/>
      <c r="Y122" s="102"/>
      <c r="Z122" s="103"/>
      <c r="AA122" s="102">
        <f t="shared" si="2"/>
        <v>0</v>
      </c>
      <c r="AB122" s="71"/>
      <c r="AC122" s="34"/>
      <c r="AD122" s="34"/>
      <c r="AE122" s="124">
        <f t="shared" si="3"/>
        <v>46296</v>
      </c>
      <c r="AF122" s="124" t="str">
        <f t="shared" si="7"/>
        <v/>
      </c>
      <c r="AG122" s="34" t="str">
        <f t="shared" si="4"/>
        <v>Yes</v>
      </c>
      <c r="AH122" s="34" t="str">
        <f t="shared" si="5"/>
        <v>No</v>
      </c>
      <c r="AI122" s="34" t="str">
        <f t="shared" si="6"/>
        <v>No</v>
      </c>
    </row>
    <row r="123" ht="15.75" customHeight="1">
      <c r="A123" s="25">
        <v>131.0</v>
      </c>
      <c r="B123" s="26">
        <v>46296.0</v>
      </c>
      <c r="C123" s="70" t="s">
        <v>641</v>
      </c>
      <c r="D123" s="29" t="s">
        <v>642</v>
      </c>
      <c r="E123" s="31" t="s">
        <v>643</v>
      </c>
      <c r="F123" s="67"/>
      <c r="G123" s="29" t="s">
        <v>88</v>
      </c>
      <c r="H123" s="29" t="s">
        <v>89</v>
      </c>
      <c r="I123" s="35" t="s">
        <v>89</v>
      </c>
      <c r="J123" s="35" t="s">
        <v>90</v>
      </c>
      <c r="K123" s="35" t="s">
        <v>91</v>
      </c>
      <c r="L123" s="35" t="s">
        <v>92</v>
      </c>
      <c r="M123" s="34"/>
      <c r="N123" s="35" t="s">
        <v>163</v>
      </c>
      <c r="O123" s="32"/>
      <c r="P123" s="35" t="s">
        <v>117</v>
      </c>
      <c r="Q123" s="35" t="s">
        <v>164</v>
      </c>
      <c r="R123" s="35" t="s">
        <v>432</v>
      </c>
      <c r="S123" s="71"/>
      <c r="T123" s="71"/>
      <c r="U123" s="34" t="str">
        <f t="shared" si="9"/>
        <v>Not Scheduled</v>
      </c>
      <c r="V123" s="34"/>
      <c r="W123" s="71"/>
      <c r="X123" s="71"/>
      <c r="Y123" s="102"/>
      <c r="Z123" s="103"/>
      <c r="AA123" s="102">
        <f t="shared" si="2"/>
        <v>0</v>
      </c>
      <c r="AB123" s="71"/>
      <c r="AC123" s="34"/>
      <c r="AD123" s="34"/>
      <c r="AE123" s="124">
        <f t="shared" si="3"/>
        <v>46296</v>
      </c>
      <c r="AF123" s="124" t="str">
        <f t="shared" si="7"/>
        <v/>
      </c>
      <c r="AG123" s="34" t="str">
        <f t="shared" si="4"/>
        <v>Yes</v>
      </c>
      <c r="AH123" s="34" t="str">
        <f t="shared" si="5"/>
        <v>No</v>
      </c>
      <c r="AI123" s="34" t="str">
        <f t="shared" si="6"/>
        <v>No</v>
      </c>
    </row>
    <row r="124" ht="15.75" customHeight="1">
      <c r="A124" s="25">
        <v>132.0</v>
      </c>
      <c r="B124" s="26">
        <v>46296.0</v>
      </c>
      <c r="C124" s="70" t="s">
        <v>644</v>
      </c>
      <c r="D124" s="29" t="s">
        <v>645</v>
      </c>
      <c r="E124" s="31" t="s">
        <v>646</v>
      </c>
      <c r="F124" s="67"/>
      <c r="G124" s="29" t="s">
        <v>647</v>
      </c>
      <c r="H124" s="29" t="s">
        <v>89</v>
      </c>
      <c r="I124" s="35" t="s">
        <v>89</v>
      </c>
      <c r="J124" s="35" t="s">
        <v>90</v>
      </c>
      <c r="K124" s="35" t="s">
        <v>233</v>
      </c>
      <c r="L124" s="35" t="s">
        <v>436</v>
      </c>
      <c r="M124" s="34"/>
      <c r="N124" s="35" t="s">
        <v>422</v>
      </c>
      <c r="O124" s="32"/>
      <c r="P124" s="35" t="s">
        <v>117</v>
      </c>
      <c r="Q124" s="35" t="s">
        <v>123</v>
      </c>
      <c r="R124" s="35" t="s">
        <v>97</v>
      </c>
      <c r="S124" s="71"/>
      <c r="T124" s="71"/>
      <c r="U124" s="34" t="str">
        <f t="shared" si="9"/>
        <v>Not Scheduled</v>
      </c>
      <c r="V124" s="34"/>
      <c r="W124" s="71"/>
      <c r="X124" s="71"/>
      <c r="Y124" s="102"/>
      <c r="Z124" s="103"/>
      <c r="AA124" s="102">
        <f t="shared" si="2"/>
        <v>0</v>
      </c>
      <c r="AB124" s="71"/>
      <c r="AC124" s="34"/>
      <c r="AD124" s="34"/>
      <c r="AE124" s="124">
        <f t="shared" si="3"/>
        <v>46296</v>
      </c>
      <c r="AF124" s="124" t="str">
        <f t="shared" si="7"/>
        <v/>
      </c>
      <c r="AG124" s="34" t="str">
        <f t="shared" si="4"/>
        <v>Yes</v>
      </c>
      <c r="AH124" s="34" t="str">
        <f t="shared" si="5"/>
        <v>No</v>
      </c>
      <c r="AI124" s="34" t="str">
        <f t="shared" si="6"/>
        <v>No</v>
      </c>
    </row>
    <row r="125" ht="15.75" customHeight="1">
      <c r="A125" s="25">
        <v>133.0</v>
      </c>
      <c r="B125" s="26">
        <v>46296.0</v>
      </c>
      <c r="C125" s="70" t="s">
        <v>648</v>
      </c>
      <c r="D125" s="29" t="s">
        <v>649</v>
      </c>
      <c r="E125" s="31" t="s">
        <v>650</v>
      </c>
      <c r="F125" s="67"/>
      <c r="G125" s="29" t="s">
        <v>88</v>
      </c>
      <c r="H125" s="29" t="s">
        <v>89</v>
      </c>
      <c r="I125" s="35" t="s">
        <v>89</v>
      </c>
      <c r="J125" s="35" t="s">
        <v>90</v>
      </c>
      <c r="K125" s="35" t="s">
        <v>233</v>
      </c>
      <c r="L125" s="35" t="s">
        <v>162</v>
      </c>
      <c r="M125" s="34"/>
      <c r="N125" s="35" t="s">
        <v>422</v>
      </c>
      <c r="O125" s="32"/>
      <c r="P125" s="35" t="s">
        <v>117</v>
      </c>
      <c r="Q125" s="35" t="s">
        <v>123</v>
      </c>
      <c r="R125" s="35" t="s">
        <v>148</v>
      </c>
      <c r="S125" s="71"/>
      <c r="T125" s="71"/>
      <c r="U125" s="34" t="str">
        <f t="shared" si="9"/>
        <v>Not Scheduled</v>
      </c>
      <c r="V125" s="34"/>
      <c r="W125" s="71"/>
      <c r="X125" s="71"/>
      <c r="Y125" s="102"/>
      <c r="Z125" s="103"/>
      <c r="AA125" s="102">
        <f t="shared" si="2"/>
        <v>0</v>
      </c>
      <c r="AB125" s="71"/>
      <c r="AC125" s="34"/>
      <c r="AD125" s="34"/>
      <c r="AE125" s="124">
        <f t="shared" si="3"/>
        <v>46296</v>
      </c>
      <c r="AF125" s="124" t="str">
        <f t="shared" si="7"/>
        <v/>
      </c>
      <c r="AG125" s="34" t="str">
        <f t="shared" si="4"/>
        <v>Yes</v>
      </c>
      <c r="AH125" s="34" t="str">
        <f t="shared" si="5"/>
        <v>No</v>
      </c>
      <c r="AI125" s="34" t="str">
        <f t="shared" si="6"/>
        <v>No</v>
      </c>
    </row>
    <row r="126" ht="15.75" customHeight="1">
      <c r="A126" s="60">
        <v>134.0</v>
      </c>
      <c r="B126" s="36">
        <v>46296.0</v>
      </c>
      <c r="C126" s="72" t="s">
        <v>651</v>
      </c>
      <c r="D126" s="62" t="s">
        <v>652</v>
      </c>
      <c r="E126" s="64"/>
      <c r="F126" s="64"/>
      <c r="G126" s="41"/>
      <c r="H126" s="41"/>
      <c r="I126" s="123"/>
      <c r="J126" s="123"/>
      <c r="K126" s="123"/>
      <c r="L126" s="123"/>
      <c r="M126" s="41"/>
      <c r="N126" s="123"/>
      <c r="O126" s="65"/>
      <c r="P126" s="123"/>
      <c r="Q126" s="123"/>
      <c r="R126" s="123"/>
      <c r="S126" s="42"/>
      <c r="T126" s="42"/>
      <c r="U126" s="40" t="str">
        <f t="shared" si="9"/>
        <v>Not Scheduled</v>
      </c>
      <c r="V126" s="41"/>
      <c r="W126" s="42"/>
      <c r="X126" s="42"/>
      <c r="Y126" s="43"/>
      <c r="Z126" s="44"/>
      <c r="AA126" s="45">
        <f t="shared" si="2"/>
        <v>0</v>
      </c>
      <c r="AB126" s="42"/>
      <c r="AC126" s="41"/>
      <c r="AD126" s="41"/>
      <c r="AE126" s="46">
        <f t="shared" si="3"/>
        <v>46296</v>
      </c>
      <c r="AF126" s="46" t="str">
        <f t="shared" si="7"/>
        <v/>
      </c>
      <c r="AG126" s="40" t="str">
        <f t="shared" si="4"/>
        <v>Yes</v>
      </c>
      <c r="AH126" s="40" t="str">
        <f t="shared" si="5"/>
        <v>No</v>
      </c>
      <c r="AI126" s="40" t="str">
        <f t="shared" si="6"/>
        <v>No</v>
      </c>
    </row>
    <row r="127" ht="15.75" customHeight="1">
      <c r="A127" s="60"/>
      <c r="B127" s="42"/>
      <c r="C127" s="125"/>
      <c r="D127" s="41"/>
      <c r="E127" s="64"/>
      <c r="F127" s="64"/>
      <c r="G127" s="41"/>
      <c r="H127" s="41"/>
      <c r="I127" s="123"/>
      <c r="J127" s="123"/>
      <c r="K127" s="123"/>
      <c r="L127" s="123"/>
      <c r="M127" s="41"/>
      <c r="N127" s="123"/>
      <c r="O127" s="65"/>
      <c r="P127" s="123"/>
      <c r="Q127" s="123"/>
      <c r="R127" s="123"/>
      <c r="S127" s="42"/>
      <c r="T127" s="42"/>
      <c r="U127" s="40" t="str">
        <f t="shared" si="9"/>
        <v/>
      </c>
      <c r="V127" s="41"/>
      <c r="W127" s="42"/>
      <c r="X127" s="42"/>
      <c r="Y127" s="43"/>
      <c r="Z127" s="44"/>
      <c r="AA127" s="45" t="str">
        <f t="shared" si="2"/>
        <v/>
      </c>
      <c r="AB127" s="42"/>
      <c r="AC127" s="41"/>
      <c r="AD127" s="41"/>
      <c r="AE127" s="46" t="str">
        <f t="shared" si="3"/>
        <v/>
      </c>
      <c r="AF127" s="46" t="str">
        <f t="shared" si="7"/>
        <v/>
      </c>
      <c r="AG127" s="40" t="str">
        <f t="shared" si="4"/>
        <v/>
      </c>
      <c r="AH127" s="40" t="str">
        <f t="shared" si="5"/>
        <v/>
      </c>
      <c r="AI127" s="40" t="str">
        <f t="shared" si="6"/>
        <v/>
      </c>
    </row>
    <row r="128" ht="15.75" customHeight="1">
      <c r="A128" s="60"/>
      <c r="B128" s="42"/>
      <c r="C128" s="125"/>
      <c r="D128" s="41"/>
      <c r="E128" s="64"/>
      <c r="F128" s="64"/>
      <c r="G128" s="41"/>
      <c r="H128" s="41"/>
      <c r="I128" s="123"/>
      <c r="J128" s="123"/>
      <c r="K128" s="123"/>
      <c r="L128" s="123"/>
      <c r="M128" s="41"/>
      <c r="N128" s="123"/>
      <c r="O128" s="65"/>
      <c r="P128" s="123"/>
      <c r="Q128" s="123"/>
      <c r="R128" s="123"/>
      <c r="S128" s="42"/>
      <c r="T128" s="42"/>
      <c r="U128" s="40" t="str">
        <f t="shared" si="9"/>
        <v/>
      </c>
      <c r="V128" s="41"/>
      <c r="W128" s="42"/>
      <c r="X128" s="42"/>
      <c r="Y128" s="43"/>
      <c r="Z128" s="44"/>
      <c r="AA128" s="45" t="str">
        <f t="shared" si="2"/>
        <v/>
      </c>
      <c r="AB128" s="42"/>
      <c r="AC128" s="41"/>
      <c r="AD128" s="41"/>
      <c r="AE128" s="46" t="str">
        <f t="shared" si="3"/>
        <v/>
      </c>
      <c r="AF128" s="46" t="str">
        <f t="shared" si="7"/>
        <v/>
      </c>
      <c r="AG128" s="40" t="str">
        <f t="shared" si="4"/>
        <v/>
      </c>
      <c r="AH128" s="40" t="str">
        <f t="shared" si="5"/>
        <v/>
      </c>
      <c r="AI128" s="40" t="str">
        <f t="shared" si="6"/>
        <v/>
      </c>
    </row>
    <row r="129" ht="15.75" customHeight="1">
      <c r="A129" s="60"/>
      <c r="B129" s="42"/>
      <c r="C129" s="125"/>
      <c r="D129" s="41"/>
      <c r="E129" s="64"/>
      <c r="F129" s="64"/>
      <c r="G129" s="41"/>
      <c r="H129" s="41"/>
      <c r="I129" s="123"/>
      <c r="J129" s="123"/>
      <c r="K129" s="123"/>
      <c r="L129" s="123"/>
      <c r="M129" s="41"/>
      <c r="N129" s="123"/>
      <c r="O129" s="65"/>
      <c r="P129" s="123"/>
      <c r="Q129" s="123"/>
      <c r="R129" s="123"/>
      <c r="S129" s="42"/>
      <c r="T129" s="42"/>
      <c r="U129" s="40" t="str">
        <f t="shared" si="9"/>
        <v/>
      </c>
      <c r="V129" s="41"/>
      <c r="W129" s="42"/>
      <c r="X129" s="42"/>
      <c r="Y129" s="43"/>
      <c r="Z129" s="44"/>
      <c r="AA129" s="45" t="str">
        <f t="shared" si="2"/>
        <v/>
      </c>
      <c r="AB129" s="42"/>
      <c r="AC129" s="41"/>
      <c r="AD129" s="41"/>
      <c r="AE129" s="46" t="str">
        <f t="shared" si="3"/>
        <v/>
      </c>
      <c r="AF129" s="46" t="str">
        <f t="shared" si="7"/>
        <v/>
      </c>
      <c r="AG129" s="40" t="str">
        <f t="shared" si="4"/>
        <v/>
      </c>
      <c r="AH129" s="40" t="str">
        <f t="shared" si="5"/>
        <v/>
      </c>
      <c r="AI129" s="40" t="str">
        <f t="shared" si="6"/>
        <v/>
      </c>
    </row>
    <row r="130" ht="15.75" customHeight="1">
      <c r="A130" s="60"/>
      <c r="B130" s="42"/>
      <c r="C130" s="125"/>
      <c r="D130" s="41"/>
      <c r="E130" s="64"/>
      <c r="F130" s="64"/>
      <c r="G130" s="41"/>
      <c r="H130" s="41"/>
      <c r="I130" s="123"/>
      <c r="J130" s="123"/>
      <c r="K130" s="123"/>
      <c r="L130" s="123"/>
      <c r="M130" s="41"/>
      <c r="N130" s="123"/>
      <c r="O130" s="65"/>
      <c r="P130" s="123"/>
      <c r="Q130" s="123"/>
      <c r="R130" s="123"/>
      <c r="S130" s="42"/>
      <c r="T130" s="42"/>
      <c r="U130" s="40" t="str">
        <f t="shared" si="9"/>
        <v/>
      </c>
      <c r="V130" s="41"/>
      <c r="W130" s="42"/>
      <c r="X130" s="42"/>
      <c r="Y130" s="43"/>
      <c r="Z130" s="44"/>
      <c r="AA130" s="45" t="str">
        <f t="shared" si="2"/>
        <v/>
      </c>
      <c r="AB130" s="42"/>
      <c r="AC130" s="41"/>
      <c r="AD130" s="41"/>
      <c r="AE130" s="46" t="str">
        <f t="shared" si="3"/>
        <v/>
      </c>
      <c r="AF130" s="46" t="str">
        <f t="shared" si="7"/>
        <v/>
      </c>
      <c r="AG130" s="40" t="str">
        <f t="shared" si="4"/>
        <v/>
      </c>
      <c r="AH130" s="40" t="str">
        <f t="shared" si="5"/>
        <v/>
      </c>
      <c r="AI130" s="40" t="str">
        <f t="shared" si="6"/>
        <v/>
      </c>
    </row>
    <row r="131" ht="15.75" customHeight="1">
      <c r="A131" s="60"/>
      <c r="B131" s="42"/>
      <c r="C131" s="125"/>
      <c r="D131" s="41"/>
      <c r="E131" s="64"/>
      <c r="F131" s="64"/>
      <c r="G131" s="41"/>
      <c r="H131" s="41"/>
      <c r="I131" s="123"/>
      <c r="J131" s="123"/>
      <c r="K131" s="123"/>
      <c r="L131" s="123"/>
      <c r="M131" s="41"/>
      <c r="N131" s="123"/>
      <c r="O131" s="65"/>
      <c r="P131" s="123"/>
      <c r="Q131" s="123"/>
      <c r="R131" s="123"/>
      <c r="S131" s="42"/>
      <c r="T131" s="42"/>
      <c r="U131" s="40" t="str">
        <f t="shared" si="9"/>
        <v/>
      </c>
      <c r="V131" s="41"/>
      <c r="W131" s="42"/>
      <c r="X131" s="42"/>
      <c r="Y131" s="43"/>
      <c r="Z131" s="44"/>
      <c r="AA131" s="45" t="str">
        <f t="shared" si="2"/>
        <v/>
      </c>
      <c r="AB131" s="42"/>
      <c r="AC131" s="41"/>
      <c r="AD131" s="41"/>
      <c r="AE131" s="46" t="str">
        <f t="shared" si="3"/>
        <v/>
      </c>
      <c r="AF131" s="46" t="str">
        <f t="shared" si="7"/>
        <v/>
      </c>
      <c r="AG131" s="40" t="str">
        <f t="shared" si="4"/>
        <v/>
      </c>
      <c r="AH131" s="40" t="str">
        <f t="shared" si="5"/>
        <v/>
      </c>
      <c r="AI131" s="40" t="str">
        <f t="shared" si="6"/>
        <v/>
      </c>
    </row>
    <row r="132" ht="15.75" customHeight="1">
      <c r="A132" s="60"/>
      <c r="B132" s="42"/>
      <c r="C132" s="125"/>
      <c r="D132" s="41"/>
      <c r="E132" s="64"/>
      <c r="F132" s="64"/>
      <c r="G132" s="41"/>
      <c r="H132" s="41"/>
      <c r="I132" s="123"/>
      <c r="J132" s="123"/>
      <c r="K132" s="123"/>
      <c r="L132" s="123"/>
      <c r="M132" s="41"/>
      <c r="N132" s="123"/>
      <c r="O132" s="65"/>
      <c r="P132" s="123"/>
      <c r="Q132" s="123"/>
      <c r="R132" s="123"/>
      <c r="S132" s="42"/>
      <c r="T132" s="42"/>
      <c r="U132" s="40" t="str">
        <f t="shared" si="9"/>
        <v/>
      </c>
      <c r="V132" s="41"/>
      <c r="W132" s="42"/>
      <c r="X132" s="42"/>
      <c r="Y132" s="43"/>
      <c r="Z132" s="44"/>
      <c r="AA132" s="45" t="str">
        <f t="shared" si="2"/>
        <v/>
      </c>
      <c r="AB132" s="42"/>
      <c r="AC132" s="41"/>
      <c r="AD132" s="41"/>
      <c r="AE132" s="46" t="str">
        <f t="shared" si="3"/>
        <v/>
      </c>
      <c r="AF132" s="46" t="str">
        <f t="shared" si="7"/>
        <v/>
      </c>
      <c r="AG132" s="40" t="str">
        <f t="shared" si="4"/>
        <v/>
      </c>
      <c r="AH132" s="40" t="str">
        <f t="shared" si="5"/>
        <v/>
      </c>
      <c r="AI132" s="40" t="str">
        <f t="shared" si="6"/>
        <v/>
      </c>
    </row>
    <row r="133" ht="15.75" customHeight="1">
      <c r="A133" s="60"/>
      <c r="B133" s="42"/>
      <c r="C133" s="125"/>
      <c r="D133" s="41"/>
      <c r="E133" s="64"/>
      <c r="F133" s="64"/>
      <c r="G133" s="41"/>
      <c r="H133" s="41"/>
      <c r="I133" s="123"/>
      <c r="J133" s="123"/>
      <c r="K133" s="123"/>
      <c r="L133" s="123"/>
      <c r="M133" s="41"/>
      <c r="N133" s="123"/>
      <c r="O133" s="65"/>
      <c r="P133" s="123"/>
      <c r="Q133" s="123"/>
      <c r="R133" s="123"/>
      <c r="S133" s="42"/>
      <c r="T133" s="42"/>
      <c r="U133" s="40" t="str">
        <f t="shared" si="9"/>
        <v/>
      </c>
      <c r="V133" s="41"/>
      <c r="W133" s="42"/>
      <c r="X133" s="42"/>
      <c r="Y133" s="43"/>
      <c r="Z133" s="44"/>
      <c r="AA133" s="45" t="str">
        <f t="shared" si="2"/>
        <v/>
      </c>
      <c r="AB133" s="42"/>
      <c r="AC133" s="41"/>
      <c r="AD133" s="41"/>
      <c r="AE133" s="46" t="str">
        <f t="shared" si="3"/>
        <v/>
      </c>
      <c r="AF133" s="46" t="str">
        <f t="shared" si="7"/>
        <v/>
      </c>
      <c r="AG133" s="40" t="str">
        <f t="shared" si="4"/>
        <v/>
      </c>
      <c r="AH133" s="40" t="str">
        <f t="shared" si="5"/>
        <v/>
      </c>
      <c r="AI133" s="40" t="str">
        <f t="shared" si="6"/>
        <v/>
      </c>
    </row>
    <row r="134" ht="15.75" customHeight="1">
      <c r="A134" s="60"/>
      <c r="B134" s="42"/>
      <c r="C134" s="125"/>
      <c r="D134" s="41"/>
      <c r="E134" s="64"/>
      <c r="F134" s="64"/>
      <c r="G134" s="41"/>
      <c r="H134" s="41"/>
      <c r="I134" s="123"/>
      <c r="J134" s="123"/>
      <c r="K134" s="123"/>
      <c r="L134" s="123"/>
      <c r="M134" s="41"/>
      <c r="N134" s="123"/>
      <c r="O134" s="65"/>
      <c r="P134" s="123"/>
      <c r="Q134" s="123"/>
      <c r="R134" s="123"/>
      <c r="S134" s="42"/>
      <c r="T134" s="42"/>
      <c r="U134" s="40" t="str">
        <f t="shared" si="9"/>
        <v/>
      </c>
      <c r="V134" s="41"/>
      <c r="W134" s="42"/>
      <c r="X134" s="42"/>
      <c r="Y134" s="43"/>
      <c r="Z134" s="44"/>
      <c r="AA134" s="45" t="str">
        <f t="shared" si="2"/>
        <v/>
      </c>
      <c r="AB134" s="42"/>
      <c r="AC134" s="41"/>
      <c r="AD134" s="41"/>
      <c r="AE134" s="46" t="str">
        <f t="shared" si="3"/>
        <v/>
      </c>
      <c r="AF134" s="46" t="str">
        <f t="shared" si="7"/>
        <v/>
      </c>
      <c r="AG134" s="40" t="str">
        <f t="shared" si="4"/>
        <v/>
      </c>
      <c r="AH134" s="40" t="str">
        <f t="shared" si="5"/>
        <v/>
      </c>
      <c r="AI134" s="40" t="str">
        <f t="shared" si="6"/>
        <v/>
      </c>
    </row>
    <row r="135" ht="15.75" customHeight="1">
      <c r="A135" s="60"/>
      <c r="B135" s="42"/>
      <c r="C135" s="125"/>
      <c r="D135" s="41"/>
      <c r="E135" s="64"/>
      <c r="F135" s="64"/>
      <c r="G135" s="41"/>
      <c r="H135" s="41"/>
      <c r="I135" s="123"/>
      <c r="J135" s="123"/>
      <c r="K135" s="123"/>
      <c r="L135" s="123"/>
      <c r="M135" s="41"/>
      <c r="N135" s="123"/>
      <c r="O135" s="65"/>
      <c r="P135" s="123"/>
      <c r="Q135" s="123"/>
      <c r="R135" s="123"/>
      <c r="S135" s="42"/>
      <c r="T135" s="42"/>
      <c r="U135" s="40" t="str">
        <f t="shared" si="9"/>
        <v/>
      </c>
      <c r="V135" s="41"/>
      <c r="W135" s="42"/>
      <c r="X135" s="42"/>
      <c r="Y135" s="43"/>
      <c r="Z135" s="44"/>
      <c r="AA135" s="45" t="str">
        <f t="shared" si="2"/>
        <v/>
      </c>
      <c r="AB135" s="42"/>
      <c r="AC135" s="41"/>
      <c r="AD135" s="41"/>
      <c r="AE135" s="46" t="str">
        <f t="shared" si="3"/>
        <v/>
      </c>
      <c r="AF135" s="46" t="str">
        <f t="shared" si="7"/>
        <v/>
      </c>
      <c r="AG135" s="40" t="str">
        <f t="shared" si="4"/>
        <v/>
      </c>
      <c r="AH135" s="40" t="str">
        <f t="shared" si="5"/>
        <v/>
      </c>
      <c r="AI135" s="40" t="str">
        <f t="shared" si="6"/>
        <v/>
      </c>
    </row>
    <row r="136" ht="15.75" customHeight="1">
      <c r="A136" s="60"/>
      <c r="B136" s="42"/>
      <c r="C136" s="125"/>
      <c r="D136" s="41"/>
      <c r="E136" s="64"/>
      <c r="F136" s="64"/>
      <c r="G136" s="41"/>
      <c r="H136" s="41"/>
      <c r="I136" s="123"/>
      <c r="J136" s="123"/>
      <c r="K136" s="123"/>
      <c r="L136" s="123"/>
      <c r="M136" s="41"/>
      <c r="N136" s="123"/>
      <c r="O136" s="65"/>
      <c r="P136" s="123"/>
      <c r="Q136" s="123"/>
      <c r="R136" s="123"/>
      <c r="S136" s="42"/>
      <c r="T136" s="42"/>
      <c r="U136" s="40" t="str">
        <f t="shared" si="9"/>
        <v/>
      </c>
      <c r="V136" s="41"/>
      <c r="W136" s="42"/>
      <c r="X136" s="42"/>
      <c r="Y136" s="43"/>
      <c r="Z136" s="44"/>
      <c r="AA136" s="45" t="str">
        <f t="shared" si="2"/>
        <v/>
      </c>
      <c r="AB136" s="42"/>
      <c r="AC136" s="41"/>
      <c r="AD136" s="41"/>
      <c r="AE136" s="46" t="str">
        <f t="shared" si="3"/>
        <v/>
      </c>
      <c r="AF136" s="46" t="str">
        <f t="shared" si="7"/>
        <v/>
      </c>
      <c r="AG136" s="40" t="str">
        <f t="shared" si="4"/>
        <v/>
      </c>
      <c r="AH136" s="40" t="str">
        <f t="shared" si="5"/>
        <v/>
      </c>
      <c r="AI136" s="40" t="str">
        <f t="shared" si="6"/>
        <v/>
      </c>
    </row>
    <row r="137" ht="15.75" customHeight="1">
      <c r="A137" s="60"/>
      <c r="B137" s="42"/>
      <c r="C137" s="125"/>
      <c r="D137" s="41"/>
      <c r="E137" s="64"/>
      <c r="F137" s="64"/>
      <c r="G137" s="41"/>
      <c r="H137" s="41"/>
      <c r="I137" s="123"/>
      <c r="J137" s="123"/>
      <c r="K137" s="123"/>
      <c r="L137" s="123"/>
      <c r="M137" s="41"/>
      <c r="N137" s="123"/>
      <c r="O137" s="65"/>
      <c r="P137" s="123"/>
      <c r="Q137" s="123"/>
      <c r="R137" s="123"/>
      <c r="S137" s="42"/>
      <c r="T137" s="42"/>
      <c r="U137" s="40" t="str">
        <f t="shared" si="9"/>
        <v/>
      </c>
      <c r="V137" s="41"/>
      <c r="W137" s="42"/>
      <c r="X137" s="42"/>
      <c r="Y137" s="43"/>
      <c r="Z137" s="44"/>
      <c r="AA137" s="45" t="str">
        <f t="shared" si="2"/>
        <v/>
      </c>
      <c r="AB137" s="42"/>
      <c r="AC137" s="41"/>
      <c r="AD137" s="41"/>
      <c r="AE137" s="46" t="str">
        <f t="shared" si="3"/>
        <v/>
      </c>
      <c r="AF137" s="46" t="str">
        <f t="shared" si="7"/>
        <v/>
      </c>
      <c r="AG137" s="40" t="str">
        <f t="shared" si="4"/>
        <v/>
      </c>
      <c r="AH137" s="40" t="str">
        <f t="shared" si="5"/>
        <v/>
      </c>
      <c r="AI137" s="40" t="str">
        <f t="shared" si="6"/>
        <v/>
      </c>
    </row>
    <row r="138" ht="15.75" customHeight="1">
      <c r="A138" s="126"/>
      <c r="B138" s="42"/>
      <c r="C138" s="125"/>
      <c r="D138" s="41"/>
      <c r="E138" s="64"/>
      <c r="F138" s="64"/>
      <c r="G138" s="41"/>
      <c r="H138" s="41"/>
      <c r="I138" s="123"/>
      <c r="J138" s="123"/>
      <c r="K138" s="123"/>
      <c r="L138" s="123"/>
      <c r="M138" s="41"/>
      <c r="N138" s="123"/>
      <c r="O138" s="65"/>
      <c r="P138" s="123"/>
      <c r="Q138" s="123"/>
      <c r="R138" s="123"/>
      <c r="S138" s="42"/>
      <c r="T138" s="42"/>
      <c r="U138" s="40" t="str">
        <f t="shared" si="9"/>
        <v/>
      </c>
      <c r="V138" s="41"/>
      <c r="W138" s="42"/>
      <c r="X138" s="42"/>
      <c r="Y138" s="43"/>
      <c r="Z138" s="44"/>
      <c r="AA138" s="45" t="str">
        <f t="shared" si="2"/>
        <v/>
      </c>
      <c r="AB138" s="42"/>
      <c r="AC138" s="41"/>
      <c r="AD138" s="41"/>
      <c r="AE138" s="46" t="str">
        <f t="shared" si="3"/>
        <v/>
      </c>
      <c r="AF138" s="46" t="str">
        <f t="shared" si="7"/>
        <v/>
      </c>
      <c r="AG138" s="40" t="str">
        <f t="shared" si="4"/>
        <v/>
      </c>
      <c r="AH138" s="40" t="str">
        <f t="shared" si="5"/>
        <v/>
      </c>
      <c r="AI138" s="40" t="str">
        <f t="shared" si="6"/>
        <v/>
      </c>
    </row>
    <row r="139" ht="15.75" customHeight="1">
      <c r="A139" s="126"/>
      <c r="B139" s="42"/>
      <c r="C139" s="125"/>
      <c r="D139" s="41"/>
      <c r="E139" s="64"/>
      <c r="F139" s="64"/>
      <c r="G139" s="41"/>
      <c r="H139" s="41"/>
      <c r="I139" s="123"/>
      <c r="J139" s="123"/>
      <c r="K139" s="123"/>
      <c r="L139" s="123"/>
      <c r="M139" s="41"/>
      <c r="N139" s="123"/>
      <c r="O139" s="65"/>
      <c r="P139" s="123"/>
      <c r="Q139" s="123"/>
      <c r="R139" s="123"/>
      <c r="S139" s="42"/>
      <c r="T139" s="42"/>
      <c r="U139" s="40" t="str">
        <f t="shared" si="9"/>
        <v/>
      </c>
      <c r="V139" s="41"/>
      <c r="W139" s="42"/>
      <c r="X139" s="42"/>
      <c r="Y139" s="43"/>
      <c r="Z139" s="44"/>
      <c r="AA139" s="45" t="str">
        <f t="shared" si="2"/>
        <v/>
      </c>
      <c r="AB139" s="42"/>
      <c r="AC139" s="41"/>
      <c r="AD139" s="41"/>
      <c r="AE139" s="46" t="str">
        <f t="shared" si="3"/>
        <v/>
      </c>
      <c r="AF139" s="46" t="str">
        <f t="shared" si="7"/>
        <v/>
      </c>
      <c r="AG139" s="40" t="str">
        <f t="shared" si="4"/>
        <v/>
      </c>
      <c r="AH139" s="40" t="str">
        <f t="shared" si="5"/>
        <v/>
      </c>
      <c r="AI139" s="40" t="str">
        <f t="shared" si="6"/>
        <v/>
      </c>
    </row>
    <row r="140" ht="15.75" customHeight="1">
      <c r="A140" s="126"/>
      <c r="B140" s="42"/>
      <c r="C140" s="125"/>
      <c r="D140" s="41"/>
      <c r="E140" s="64"/>
      <c r="F140" s="64"/>
      <c r="G140" s="41"/>
      <c r="H140" s="41"/>
      <c r="I140" s="123"/>
      <c r="J140" s="123"/>
      <c r="K140" s="123"/>
      <c r="L140" s="123"/>
      <c r="M140" s="41"/>
      <c r="N140" s="123"/>
      <c r="O140" s="65"/>
      <c r="P140" s="123"/>
      <c r="Q140" s="123"/>
      <c r="R140" s="123"/>
      <c r="S140" s="42"/>
      <c r="T140" s="42"/>
      <c r="U140" s="40" t="str">
        <f t="shared" si="9"/>
        <v/>
      </c>
      <c r="V140" s="41"/>
      <c r="W140" s="42"/>
      <c r="X140" s="42"/>
      <c r="Y140" s="43"/>
      <c r="Z140" s="44"/>
      <c r="AA140" s="45" t="str">
        <f t="shared" si="2"/>
        <v/>
      </c>
      <c r="AB140" s="42"/>
      <c r="AC140" s="41"/>
      <c r="AD140" s="41"/>
      <c r="AE140" s="46" t="str">
        <f t="shared" si="3"/>
        <v/>
      </c>
      <c r="AF140" s="46" t="str">
        <f t="shared" si="7"/>
        <v/>
      </c>
      <c r="AG140" s="40" t="str">
        <f t="shared" si="4"/>
        <v/>
      </c>
      <c r="AH140" s="40" t="str">
        <f t="shared" si="5"/>
        <v/>
      </c>
      <c r="AI140" s="40" t="str">
        <f t="shared" si="6"/>
        <v/>
      </c>
    </row>
    <row r="141" ht="15.75" customHeight="1">
      <c r="A141" s="126"/>
      <c r="B141" s="42"/>
      <c r="C141" s="125"/>
      <c r="D141" s="41"/>
      <c r="E141" s="64"/>
      <c r="F141" s="64"/>
      <c r="G141" s="41"/>
      <c r="H141" s="41"/>
      <c r="I141" s="123"/>
      <c r="J141" s="123"/>
      <c r="K141" s="123"/>
      <c r="L141" s="123"/>
      <c r="M141" s="41"/>
      <c r="N141" s="123"/>
      <c r="O141" s="65"/>
      <c r="P141" s="123"/>
      <c r="Q141" s="123"/>
      <c r="R141" s="123"/>
      <c r="S141" s="42"/>
      <c r="T141" s="42"/>
      <c r="U141" s="40" t="str">
        <f t="shared" si="9"/>
        <v/>
      </c>
      <c r="V141" s="41"/>
      <c r="W141" s="42"/>
      <c r="X141" s="42"/>
      <c r="Y141" s="43"/>
      <c r="Z141" s="44"/>
      <c r="AA141" s="45" t="str">
        <f t="shared" si="2"/>
        <v/>
      </c>
      <c r="AB141" s="42"/>
      <c r="AC141" s="41"/>
      <c r="AD141" s="41"/>
      <c r="AE141" s="46" t="str">
        <f t="shared" si="3"/>
        <v/>
      </c>
      <c r="AF141" s="46" t="str">
        <f t="shared" si="7"/>
        <v/>
      </c>
      <c r="AG141" s="40" t="str">
        <f t="shared" si="4"/>
        <v/>
      </c>
      <c r="AH141" s="40" t="str">
        <f t="shared" si="5"/>
        <v/>
      </c>
      <c r="AI141" s="40" t="str">
        <f t="shared" si="6"/>
        <v/>
      </c>
    </row>
    <row r="142" ht="15.75" customHeight="1">
      <c r="A142" s="126"/>
      <c r="B142" s="42"/>
      <c r="C142" s="125"/>
      <c r="D142" s="41"/>
      <c r="E142" s="64"/>
      <c r="F142" s="64"/>
      <c r="G142" s="41"/>
      <c r="H142" s="41"/>
      <c r="I142" s="123"/>
      <c r="J142" s="123"/>
      <c r="K142" s="123"/>
      <c r="L142" s="123"/>
      <c r="M142" s="41"/>
      <c r="N142" s="123"/>
      <c r="O142" s="65"/>
      <c r="P142" s="123"/>
      <c r="Q142" s="123"/>
      <c r="R142" s="123"/>
      <c r="S142" s="42"/>
      <c r="T142" s="42"/>
      <c r="U142" s="40" t="str">
        <f t="shared" si="9"/>
        <v/>
      </c>
      <c r="V142" s="41"/>
      <c r="W142" s="42"/>
      <c r="X142" s="42"/>
      <c r="Y142" s="43"/>
      <c r="Z142" s="44"/>
      <c r="AA142" s="45" t="str">
        <f t="shared" si="2"/>
        <v/>
      </c>
      <c r="AB142" s="42"/>
      <c r="AC142" s="41"/>
      <c r="AD142" s="41"/>
      <c r="AE142" s="46" t="str">
        <f t="shared" si="3"/>
        <v/>
      </c>
      <c r="AF142" s="46" t="str">
        <f t="shared" si="7"/>
        <v/>
      </c>
      <c r="AG142" s="40" t="str">
        <f t="shared" si="4"/>
        <v/>
      </c>
      <c r="AH142" s="40" t="str">
        <f t="shared" si="5"/>
        <v/>
      </c>
      <c r="AI142" s="40" t="str">
        <f t="shared" si="6"/>
        <v/>
      </c>
    </row>
    <row r="143" ht="15.75" customHeight="1">
      <c r="A143" s="126"/>
      <c r="B143" s="42"/>
      <c r="C143" s="125"/>
      <c r="D143" s="41"/>
      <c r="E143" s="64"/>
      <c r="F143" s="64"/>
      <c r="G143" s="41"/>
      <c r="H143" s="41"/>
      <c r="I143" s="123"/>
      <c r="J143" s="123"/>
      <c r="K143" s="123"/>
      <c r="L143" s="123"/>
      <c r="M143" s="41"/>
      <c r="N143" s="123"/>
      <c r="O143" s="65"/>
      <c r="P143" s="123"/>
      <c r="Q143" s="123"/>
      <c r="R143" s="123"/>
      <c r="S143" s="42"/>
      <c r="T143" s="42"/>
      <c r="U143" s="40" t="str">
        <f t="shared" si="9"/>
        <v/>
      </c>
      <c r="V143" s="41"/>
      <c r="W143" s="42"/>
      <c r="X143" s="42"/>
      <c r="Y143" s="43"/>
      <c r="Z143" s="44"/>
      <c r="AA143" s="45" t="str">
        <f t="shared" si="2"/>
        <v/>
      </c>
      <c r="AB143" s="42"/>
      <c r="AC143" s="41"/>
      <c r="AD143" s="41"/>
      <c r="AE143" s="46" t="str">
        <f t="shared" si="3"/>
        <v/>
      </c>
      <c r="AF143" s="46" t="str">
        <f t="shared" si="7"/>
        <v/>
      </c>
      <c r="AG143" s="40" t="str">
        <f t="shared" si="4"/>
        <v/>
      </c>
      <c r="AH143" s="40" t="str">
        <f t="shared" si="5"/>
        <v/>
      </c>
      <c r="AI143" s="40" t="str">
        <f t="shared" si="6"/>
        <v/>
      </c>
    </row>
    <row r="144" ht="15.75" customHeight="1">
      <c r="A144" s="126"/>
      <c r="B144" s="42"/>
      <c r="C144" s="125"/>
      <c r="D144" s="41"/>
      <c r="E144" s="64"/>
      <c r="F144" s="64"/>
      <c r="G144" s="41"/>
      <c r="H144" s="41"/>
      <c r="I144" s="123"/>
      <c r="J144" s="123"/>
      <c r="K144" s="123"/>
      <c r="L144" s="123"/>
      <c r="M144" s="41"/>
      <c r="N144" s="123"/>
      <c r="O144" s="65"/>
      <c r="P144" s="123"/>
      <c r="Q144" s="123"/>
      <c r="R144" s="123"/>
      <c r="S144" s="42"/>
      <c r="T144" s="42"/>
      <c r="U144" s="40" t="str">
        <f t="shared" si="9"/>
        <v/>
      </c>
      <c r="V144" s="41"/>
      <c r="W144" s="42"/>
      <c r="X144" s="42"/>
      <c r="Y144" s="43"/>
      <c r="Z144" s="44"/>
      <c r="AA144" s="45" t="str">
        <f t="shared" si="2"/>
        <v/>
      </c>
      <c r="AB144" s="42"/>
      <c r="AC144" s="41"/>
      <c r="AD144" s="41"/>
      <c r="AE144" s="46" t="str">
        <f t="shared" si="3"/>
        <v/>
      </c>
      <c r="AF144" s="46" t="str">
        <f t="shared" si="7"/>
        <v/>
      </c>
      <c r="AG144" s="40" t="str">
        <f t="shared" si="4"/>
        <v/>
      </c>
      <c r="AH144" s="40" t="str">
        <f t="shared" si="5"/>
        <v/>
      </c>
      <c r="AI144" s="40" t="str">
        <f t="shared" si="6"/>
        <v/>
      </c>
    </row>
    <row r="145" ht="15.75" customHeight="1">
      <c r="A145" s="126"/>
      <c r="B145" s="42"/>
      <c r="C145" s="125"/>
      <c r="D145" s="41"/>
      <c r="E145" s="64"/>
      <c r="F145" s="64"/>
      <c r="G145" s="41"/>
      <c r="H145" s="41"/>
      <c r="I145" s="123"/>
      <c r="J145" s="123"/>
      <c r="K145" s="123"/>
      <c r="L145" s="123"/>
      <c r="M145" s="41"/>
      <c r="N145" s="123"/>
      <c r="O145" s="65"/>
      <c r="P145" s="123"/>
      <c r="Q145" s="123"/>
      <c r="R145" s="123"/>
      <c r="S145" s="42"/>
      <c r="T145" s="42"/>
      <c r="U145" s="40" t="str">
        <f t="shared" si="9"/>
        <v/>
      </c>
      <c r="V145" s="41"/>
      <c r="W145" s="42"/>
      <c r="X145" s="42"/>
      <c r="Y145" s="43"/>
      <c r="Z145" s="44"/>
      <c r="AA145" s="45" t="str">
        <f t="shared" si="2"/>
        <v/>
      </c>
      <c r="AB145" s="42"/>
      <c r="AC145" s="41"/>
      <c r="AD145" s="41"/>
      <c r="AE145" s="46" t="str">
        <f t="shared" si="3"/>
        <v/>
      </c>
      <c r="AF145" s="46" t="str">
        <f t="shared" si="7"/>
        <v/>
      </c>
      <c r="AG145" s="40" t="str">
        <f t="shared" si="4"/>
        <v/>
      </c>
      <c r="AH145" s="40" t="str">
        <f t="shared" si="5"/>
        <v/>
      </c>
      <c r="AI145" s="40" t="str">
        <f t="shared" si="6"/>
        <v/>
      </c>
    </row>
    <row r="146" ht="15.75" customHeight="1">
      <c r="A146" s="126"/>
      <c r="B146" s="42"/>
      <c r="C146" s="125"/>
      <c r="D146" s="41"/>
      <c r="E146" s="64"/>
      <c r="F146" s="64"/>
      <c r="G146" s="41"/>
      <c r="H146" s="41"/>
      <c r="I146" s="123"/>
      <c r="J146" s="123"/>
      <c r="K146" s="123"/>
      <c r="L146" s="123"/>
      <c r="M146" s="41"/>
      <c r="N146" s="123"/>
      <c r="O146" s="65"/>
      <c r="P146" s="123"/>
      <c r="Q146" s="123"/>
      <c r="R146" s="123"/>
      <c r="S146" s="42"/>
      <c r="T146" s="42"/>
      <c r="U146" s="40" t="str">
        <f t="shared" si="9"/>
        <v/>
      </c>
      <c r="V146" s="41"/>
      <c r="W146" s="42"/>
      <c r="X146" s="42"/>
      <c r="Y146" s="43"/>
      <c r="Z146" s="44"/>
      <c r="AA146" s="45" t="str">
        <f t="shared" si="2"/>
        <v/>
      </c>
      <c r="AB146" s="42"/>
      <c r="AC146" s="41"/>
      <c r="AD146" s="41"/>
      <c r="AE146" s="46" t="str">
        <f t="shared" si="3"/>
        <v/>
      </c>
      <c r="AF146" s="46" t="str">
        <f t="shared" si="7"/>
        <v/>
      </c>
      <c r="AG146" s="40" t="str">
        <f t="shared" si="4"/>
        <v/>
      </c>
      <c r="AH146" s="40" t="str">
        <f t="shared" si="5"/>
        <v/>
      </c>
      <c r="AI146" s="40" t="str">
        <f t="shared" si="6"/>
        <v/>
      </c>
    </row>
    <row r="147" ht="15.75" customHeight="1">
      <c r="A147" s="126"/>
      <c r="B147" s="42"/>
      <c r="C147" s="125"/>
      <c r="D147" s="41"/>
      <c r="E147" s="64"/>
      <c r="F147" s="64"/>
      <c r="G147" s="41"/>
      <c r="H147" s="41"/>
      <c r="I147" s="123"/>
      <c r="J147" s="123"/>
      <c r="K147" s="123"/>
      <c r="L147" s="123"/>
      <c r="M147" s="41"/>
      <c r="N147" s="123"/>
      <c r="O147" s="65"/>
      <c r="P147" s="123"/>
      <c r="Q147" s="123"/>
      <c r="R147" s="123"/>
      <c r="S147" s="42"/>
      <c r="T147" s="42"/>
      <c r="U147" s="40" t="str">
        <f t="shared" si="9"/>
        <v/>
      </c>
      <c r="V147" s="41"/>
      <c r="W147" s="42"/>
      <c r="X147" s="42"/>
      <c r="Y147" s="43"/>
      <c r="Z147" s="44"/>
      <c r="AA147" s="45" t="str">
        <f t="shared" si="2"/>
        <v/>
      </c>
      <c r="AB147" s="42"/>
      <c r="AC147" s="41"/>
      <c r="AD147" s="41"/>
      <c r="AE147" s="46" t="str">
        <f t="shared" si="3"/>
        <v/>
      </c>
      <c r="AF147" s="46" t="str">
        <f t="shared" si="7"/>
        <v/>
      </c>
      <c r="AG147" s="40" t="str">
        <f t="shared" si="4"/>
        <v/>
      </c>
      <c r="AH147" s="40" t="str">
        <f t="shared" si="5"/>
        <v/>
      </c>
      <c r="AI147" s="40" t="str">
        <f t="shared" si="6"/>
        <v/>
      </c>
    </row>
    <row r="148" ht="15.75" customHeight="1">
      <c r="A148" s="126"/>
      <c r="B148" s="42"/>
      <c r="C148" s="125"/>
      <c r="D148" s="41"/>
      <c r="E148" s="64"/>
      <c r="F148" s="64"/>
      <c r="G148" s="41"/>
      <c r="H148" s="41"/>
      <c r="I148" s="123"/>
      <c r="J148" s="123"/>
      <c r="K148" s="123"/>
      <c r="L148" s="123"/>
      <c r="M148" s="41"/>
      <c r="N148" s="123"/>
      <c r="O148" s="65"/>
      <c r="P148" s="123"/>
      <c r="Q148" s="123"/>
      <c r="R148" s="123"/>
      <c r="S148" s="42"/>
      <c r="T148" s="42"/>
      <c r="U148" s="40" t="str">
        <f t="shared" si="9"/>
        <v/>
      </c>
      <c r="V148" s="41"/>
      <c r="W148" s="42"/>
      <c r="X148" s="42"/>
      <c r="Y148" s="43"/>
      <c r="Z148" s="44"/>
      <c r="AA148" s="45" t="str">
        <f t="shared" si="2"/>
        <v/>
      </c>
      <c r="AB148" s="42"/>
      <c r="AC148" s="41"/>
      <c r="AD148" s="41"/>
      <c r="AE148" s="46" t="str">
        <f t="shared" si="3"/>
        <v/>
      </c>
      <c r="AF148" s="46" t="str">
        <f t="shared" si="7"/>
        <v/>
      </c>
      <c r="AG148" s="40" t="str">
        <f t="shared" si="4"/>
        <v/>
      </c>
      <c r="AH148" s="40" t="str">
        <f t="shared" si="5"/>
        <v/>
      </c>
      <c r="AI148" s="40" t="str">
        <f t="shared" si="6"/>
        <v/>
      </c>
    </row>
    <row r="149" ht="15.75" customHeight="1">
      <c r="A149" s="126"/>
      <c r="B149" s="42"/>
      <c r="C149" s="125"/>
      <c r="D149" s="41"/>
      <c r="E149" s="64"/>
      <c r="F149" s="64"/>
      <c r="G149" s="41"/>
      <c r="H149" s="41"/>
      <c r="I149" s="123"/>
      <c r="J149" s="123"/>
      <c r="K149" s="123"/>
      <c r="L149" s="123"/>
      <c r="M149" s="41"/>
      <c r="N149" s="123"/>
      <c r="O149" s="65"/>
      <c r="P149" s="123"/>
      <c r="Q149" s="123"/>
      <c r="R149" s="123"/>
      <c r="S149" s="42"/>
      <c r="T149" s="42"/>
      <c r="U149" s="40" t="str">
        <f t="shared" si="9"/>
        <v/>
      </c>
      <c r="V149" s="41"/>
      <c r="W149" s="42"/>
      <c r="X149" s="42"/>
      <c r="Y149" s="43"/>
      <c r="Z149" s="44"/>
      <c r="AA149" s="45" t="str">
        <f t="shared" si="2"/>
        <v/>
      </c>
      <c r="AB149" s="42"/>
      <c r="AC149" s="41"/>
      <c r="AD149" s="41"/>
      <c r="AE149" s="46" t="str">
        <f t="shared" si="3"/>
        <v/>
      </c>
      <c r="AF149" s="46" t="str">
        <f t="shared" si="7"/>
        <v/>
      </c>
      <c r="AG149" s="40" t="str">
        <f t="shared" si="4"/>
        <v/>
      </c>
      <c r="AH149" s="40" t="str">
        <f t="shared" si="5"/>
        <v/>
      </c>
      <c r="AI149" s="40" t="str">
        <f t="shared" si="6"/>
        <v/>
      </c>
    </row>
    <row r="150" ht="15.75" customHeight="1">
      <c r="A150" s="126"/>
      <c r="B150" s="42"/>
      <c r="C150" s="125"/>
      <c r="D150" s="41"/>
      <c r="E150" s="64"/>
      <c r="F150" s="64"/>
      <c r="G150" s="41"/>
      <c r="H150" s="41"/>
      <c r="I150" s="123"/>
      <c r="J150" s="123"/>
      <c r="K150" s="123"/>
      <c r="L150" s="123"/>
      <c r="M150" s="41"/>
      <c r="N150" s="123"/>
      <c r="O150" s="65"/>
      <c r="P150" s="123"/>
      <c r="Q150" s="123"/>
      <c r="R150" s="123"/>
      <c r="S150" s="42"/>
      <c r="T150" s="42"/>
      <c r="U150" s="40" t="str">
        <f t="shared" si="9"/>
        <v/>
      </c>
      <c r="V150" s="41"/>
      <c r="W150" s="42"/>
      <c r="X150" s="42"/>
      <c r="Y150" s="43"/>
      <c r="Z150" s="44"/>
      <c r="AA150" s="45" t="str">
        <f t="shared" si="2"/>
        <v/>
      </c>
      <c r="AB150" s="42"/>
      <c r="AC150" s="41"/>
      <c r="AD150" s="41"/>
      <c r="AE150" s="46" t="str">
        <f t="shared" si="3"/>
        <v/>
      </c>
      <c r="AF150" s="46" t="str">
        <f t="shared" si="7"/>
        <v/>
      </c>
      <c r="AG150" s="40" t="str">
        <f t="shared" si="4"/>
        <v/>
      </c>
      <c r="AH150" s="40" t="str">
        <f t="shared" si="5"/>
        <v/>
      </c>
      <c r="AI150" s="40" t="str">
        <f t="shared" si="6"/>
        <v/>
      </c>
    </row>
    <row r="151" ht="15.75" customHeight="1">
      <c r="A151" s="126"/>
      <c r="B151" s="42"/>
      <c r="C151" s="125"/>
      <c r="D151" s="41"/>
      <c r="E151" s="64"/>
      <c r="F151" s="64"/>
      <c r="G151" s="41"/>
      <c r="H151" s="41"/>
      <c r="I151" s="123"/>
      <c r="J151" s="123"/>
      <c r="K151" s="123"/>
      <c r="L151" s="123"/>
      <c r="M151" s="41"/>
      <c r="N151" s="123"/>
      <c r="O151" s="65"/>
      <c r="P151" s="123"/>
      <c r="Q151" s="123"/>
      <c r="R151" s="123"/>
      <c r="S151" s="42"/>
      <c r="T151" s="42"/>
      <c r="U151" s="40" t="str">
        <f t="shared" si="9"/>
        <v/>
      </c>
      <c r="V151" s="41"/>
      <c r="W151" s="42"/>
      <c r="X151" s="42"/>
      <c r="Y151" s="43"/>
      <c r="Z151" s="44"/>
      <c r="AA151" s="45" t="str">
        <f t="shared" si="2"/>
        <v/>
      </c>
      <c r="AB151" s="42"/>
      <c r="AC151" s="41"/>
      <c r="AD151" s="41"/>
      <c r="AE151" s="46" t="str">
        <f t="shared" si="3"/>
        <v/>
      </c>
      <c r="AF151" s="46" t="str">
        <f t="shared" si="7"/>
        <v/>
      </c>
      <c r="AG151" s="40" t="str">
        <f t="shared" si="4"/>
        <v/>
      </c>
      <c r="AH151" s="40" t="str">
        <f t="shared" si="5"/>
        <v/>
      </c>
      <c r="AI151" s="40" t="str">
        <f t="shared" si="6"/>
        <v/>
      </c>
    </row>
    <row r="152" ht="15.75" customHeight="1">
      <c r="A152" s="126"/>
      <c r="B152" s="42"/>
      <c r="C152" s="125"/>
      <c r="D152" s="41"/>
      <c r="E152" s="64"/>
      <c r="F152" s="64"/>
      <c r="G152" s="41"/>
      <c r="H152" s="41"/>
      <c r="I152" s="123"/>
      <c r="J152" s="123"/>
      <c r="K152" s="123"/>
      <c r="L152" s="123"/>
      <c r="M152" s="41"/>
      <c r="N152" s="123"/>
      <c r="O152" s="65"/>
      <c r="P152" s="123"/>
      <c r="Q152" s="123"/>
      <c r="R152" s="123"/>
      <c r="S152" s="42"/>
      <c r="T152" s="42"/>
      <c r="U152" s="40" t="str">
        <f t="shared" si="9"/>
        <v/>
      </c>
      <c r="V152" s="41"/>
      <c r="W152" s="42"/>
      <c r="X152" s="42"/>
      <c r="Y152" s="43"/>
      <c r="Z152" s="44"/>
      <c r="AA152" s="45" t="str">
        <f t="shared" si="2"/>
        <v/>
      </c>
      <c r="AB152" s="42"/>
      <c r="AC152" s="41"/>
      <c r="AD152" s="41"/>
      <c r="AE152" s="46" t="str">
        <f t="shared" si="3"/>
        <v/>
      </c>
      <c r="AF152" s="46" t="str">
        <f t="shared" si="7"/>
        <v/>
      </c>
      <c r="AG152" s="40" t="str">
        <f t="shared" si="4"/>
        <v/>
      </c>
      <c r="AH152" s="40" t="str">
        <f t="shared" si="5"/>
        <v/>
      </c>
      <c r="AI152" s="40" t="str">
        <f t="shared" si="6"/>
        <v/>
      </c>
    </row>
    <row r="153" ht="15.75" customHeight="1">
      <c r="A153" s="126"/>
      <c r="B153" s="42"/>
      <c r="C153" s="125"/>
      <c r="D153" s="41"/>
      <c r="E153" s="64"/>
      <c r="F153" s="64"/>
      <c r="G153" s="41"/>
      <c r="H153" s="41"/>
      <c r="I153" s="123"/>
      <c r="J153" s="123"/>
      <c r="K153" s="123"/>
      <c r="L153" s="123"/>
      <c r="M153" s="41"/>
      <c r="N153" s="123"/>
      <c r="O153" s="65"/>
      <c r="P153" s="123"/>
      <c r="Q153" s="123"/>
      <c r="R153" s="123"/>
      <c r="S153" s="42"/>
      <c r="T153" s="42"/>
      <c r="U153" s="40" t="str">
        <f t="shared" si="9"/>
        <v/>
      </c>
      <c r="V153" s="41"/>
      <c r="W153" s="42"/>
      <c r="X153" s="42"/>
      <c r="Y153" s="43"/>
      <c r="Z153" s="44"/>
      <c r="AA153" s="45" t="str">
        <f t="shared" si="2"/>
        <v/>
      </c>
      <c r="AB153" s="42"/>
      <c r="AC153" s="41"/>
      <c r="AD153" s="41"/>
      <c r="AE153" s="46" t="str">
        <f t="shared" si="3"/>
        <v/>
      </c>
      <c r="AF153" s="46" t="str">
        <f t="shared" si="7"/>
        <v/>
      </c>
      <c r="AG153" s="40" t="str">
        <f t="shared" si="4"/>
        <v/>
      </c>
      <c r="AH153" s="40" t="str">
        <f t="shared" si="5"/>
        <v/>
      </c>
      <c r="AI153" s="40" t="str">
        <f t="shared" si="6"/>
        <v/>
      </c>
    </row>
    <row r="154" ht="15.75" customHeight="1">
      <c r="A154" s="126"/>
      <c r="B154" s="42"/>
      <c r="C154" s="125"/>
      <c r="D154" s="41"/>
      <c r="E154" s="64"/>
      <c r="F154" s="64"/>
      <c r="G154" s="41"/>
      <c r="H154" s="41"/>
      <c r="I154" s="123"/>
      <c r="J154" s="123"/>
      <c r="K154" s="123"/>
      <c r="L154" s="123"/>
      <c r="M154" s="41"/>
      <c r="N154" s="123"/>
      <c r="O154" s="65"/>
      <c r="P154" s="123"/>
      <c r="Q154" s="123"/>
      <c r="R154" s="123"/>
      <c r="S154" s="42"/>
      <c r="T154" s="42"/>
      <c r="U154" s="40" t="str">
        <f t="shared" si="9"/>
        <v/>
      </c>
      <c r="V154" s="41"/>
      <c r="W154" s="42"/>
      <c r="X154" s="42"/>
      <c r="Y154" s="43"/>
      <c r="Z154" s="44"/>
      <c r="AA154" s="45" t="str">
        <f t="shared" si="2"/>
        <v/>
      </c>
      <c r="AB154" s="42"/>
      <c r="AC154" s="41"/>
      <c r="AD154" s="41"/>
      <c r="AE154" s="46" t="str">
        <f t="shared" si="3"/>
        <v/>
      </c>
      <c r="AF154" s="46" t="str">
        <f t="shared" si="7"/>
        <v/>
      </c>
      <c r="AG154" s="40" t="str">
        <f t="shared" si="4"/>
        <v/>
      </c>
      <c r="AH154" s="40" t="str">
        <f t="shared" si="5"/>
        <v/>
      </c>
      <c r="AI154" s="40" t="str">
        <f t="shared" si="6"/>
        <v/>
      </c>
    </row>
    <row r="155" ht="15.75" customHeight="1">
      <c r="A155" s="126"/>
      <c r="B155" s="42"/>
      <c r="C155" s="125"/>
      <c r="D155" s="41"/>
      <c r="E155" s="64"/>
      <c r="F155" s="64"/>
      <c r="G155" s="41"/>
      <c r="H155" s="41"/>
      <c r="I155" s="123"/>
      <c r="J155" s="123"/>
      <c r="K155" s="123"/>
      <c r="L155" s="123"/>
      <c r="M155" s="41"/>
      <c r="N155" s="123"/>
      <c r="O155" s="65"/>
      <c r="P155" s="123"/>
      <c r="Q155" s="123"/>
      <c r="R155" s="123"/>
      <c r="S155" s="42"/>
      <c r="T155" s="42"/>
      <c r="U155" s="40" t="str">
        <f t="shared" si="9"/>
        <v/>
      </c>
      <c r="V155" s="41"/>
      <c r="W155" s="42"/>
      <c r="X155" s="42"/>
      <c r="Y155" s="43"/>
      <c r="Z155" s="44"/>
      <c r="AA155" s="45" t="str">
        <f t="shared" si="2"/>
        <v/>
      </c>
      <c r="AB155" s="42"/>
      <c r="AC155" s="41"/>
      <c r="AD155" s="41"/>
      <c r="AE155" s="46" t="str">
        <f t="shared" si="3"/>
        <v/>
      </c>
      <c r="AF155" s="46" t="str">
        <f t="shared" si="7"/>
        <v/>
      </c>
      <c r="AG155" s="40" t="str">
        <f t="shared" si="4"/>
        <v/>
      </c>
      <c r="AH155" s="40" t="str">
        <f t="shared" si="5"/>
        <v/>
      </c>
      <c r="AI155" s="40" t="str">
        <f t="shared" si="6"/>
        <v/>
      </c>
    </row>
    <row r="156" ht="15.75" customHeight="1">
      <c r="A156" s="126"/>
      <c r="B156" s="42"/>
      <c r="C156" s="125"/>
      <c r="D156" s="41"/>
      <c r="E156" s="64"/>
      <c r="F156" s="64"/>
      <c r="G156" s="41"/>
      <c r="H156" s="41"/>
      <c r="I156" s="123"/>
      <c r="J156" s="123"/>
      <c r="K156" s="123"/>
      <c r="L156" s="123"/>
      <c r="M156" s="41"/>
      <c r="N156" s="123"/>
      <c r="O156" s="65"/>
      <c r="P156" s="123"/>
      <c r="Q156" s="123"/>
      <c r="R156" s="123"/>
      <c r="S156" s="42"/>
      <c r="T156" s="42"/>
      <c r="U156" s="40" t="str">
        <f t="shared" si="9"/>
        <v/>
      </c>
      <c r="V156" s="41"/>
      <c r="W156" s="42"/>
      <c r="X156" s="42"/>
      <c r="Y156" s="43"/>
      <c r="Z156" s="44"/>
      <c r="AA156" s="45" t="str">
        <f t="shared" si="2"/>
        <v/>
      </c>
      <c r="AB156" s="42"/>
      <c r="AC156" s="41"/>
      <c r="AD156" s="41"/>
      <c r="AE156" s="46" t="str">
        <f t="shared" si="3"/>
        <v/>
      </c>
      <c r="AF156" s="46" t="str">
        <f t="shared" si="7"/>
        <v/>
      </c>
      <c r="AG156" s="40" t="str">
        <f t="shared" si="4"/>
        <v/>
      </c>
      <c r="AH156" s="40" t="str">
        <f t="shared" si="5"/>
        <v/>
      </c>
      <c r="AI156" s="40" t="str">
        <f t="shared" si="6"/>
        <v/>
      </c>
    </row>
    <row r="157" ht="15.75" customHeight="1">
      <c r="A157" s="126"/>
      <c r="B157" s="42"/>
      <c r="C157" s="125"/>
      <c r="D157" s="41"/>
      <c r="E157" s="64"/>
      <c r="F157" s="64"/>
      <c r="G157" s="41"/>
      <c r="H157" s="41"/>
      <c r="I157" s="123"/>
      <c r="J157" s="123"/>
      <c r="K157" s="123"/>
      <c r="L157" s="123"/>
      <c r="M157" s="41"/>
      <c r="N157" s="123"/>
      <c r="O157" s="65"/>
      <c r="P157" s="123"/>
      <c r="Q157" s="123"/>
      <c r="R157" s="123"/>
      <c r="S157" s="42"/>
      <c r="T157" s="42"/>
      <c r="U157" s="40" t="str">
        <f t="shared" si="9"/>
        <v/>
      </c>
      <c r="V157" s="41"/>
      <c r="W157" s="42"/>
      <c r="X157" s="42"/>
      <c r="Y157" s="43"/>
      <c r="Z157" s="44"/>
      <c r="AA157" s="45" t="str">
        <f t="shared" si="2"/>
        <v/>
      </c>
      <c r="AB157" s="42"/>
      <c r="AC157" s="41"/>
      <c r="AD157" s="41"/>
      <c r="AE157" s="46" t="str">
        <f t="shared" si="3"/>
        <v/>
      </c>
      <c r="AF157" s="46" t="str">
        <f t="shared" si="7"/>
        <v/>
      </c>
      <c r="AG157" s="40" t="str">
        <f t="shared" si="4"/>
        <v/>
      </c>
      <c r="AH157" s="40" t="str">
        <f t="shared" si="5"/>
        <v/>
      </c>
      <c r="AI157" s="40" t="str">
        <f t="shared" si="6"/>
        <v/>
      </c>
    </row>
    <row r="158" ht="15.75" customHeight="1">
      <c r="A158" s="126"/>
      <c r="B158" s="42"/>
      <c r="C158" s="125"/>
      <c r="D158" s="41"/>
      <c r="E158" s="64"/>
      <c r="F158" s="64"/>
      <c r="G158" s="41"/>
      <c r="H158" s="41"/>
      <c r="I158" s="123"/>
      <c r="J158" s="123"/>
      <c r="K158" s="123"/>
      <c r="L158" s="123"/>
      <c r="M158" s="41"/>
      <c r="N158" s="123"/>
      <c r="O158" s="65"/>
      <c r="P158" s="123"/>
      <c r="Q158" s="123"/>
      <c r="R158" s="123"/>
      <c r="S158" s="42"/>
      <c r="T158" s="42"/>
      <c r="U158" s="40" t="str">
        <f t="shared" si="9"/>
        <v/>
      </c>
      <c r="V158" s="41"/>
      <c r="W158" s="42"/>
      <c r="X158" s="42"/>
      <c r="Y158" s="43"/>
      <c r="Z158" s="44"/>
      <c r="AA158" s="45" t="str">
        <f t="shared" si="2"/>
        <v/>
      </c>
      <c r="AB158" s="42"/>
      <c r="AC158" s="41"/>
      <c r="AD158" s="41"/>
      <c r="AE158" s="46" t="str">
        <f t="shared" si="3"/>
        <v/>
      </c>
      <c r="AF158" s="46" t="str">
        <f t="shared" si="7"/>
        <v/>
      </c>
      <c r="AG158" s="40" t="str">
        <f t="shared" si="4"/>
        <v/>
      </c>
      <c r="AH158" s="40" t="str">
        <f t="shared" si="5"/>
        <v/>
      </c>
      <c r="AI158" s="40" t="str">
        <f t="shared" si="6"/>
        <v/>
      </c>
    </row>
    <row r="159" ht="15.75" customHeight="1">
      <c r="A159" s="126"/>
      <c r="B159" s="42"/>
      <c r="C159" s="125"/>
      <c r="D159" s="41"/>
      <c r="E159" s="64"/>
      <c r="F159" s="64"/>
      <c r="G159" s="41"/>
      <c r="H159" s="41"/>
      <c r="I159" s="123"/>
      <c r="J159" s="123"/>
      <c r="K159" s="123"/>
      <c r="L159" s="123"/>
      <c r="M159" s="41"/>
      <c r="N159" s="123"/>
      <c r="O159" s="65"/>
      <c r="P159" s="123"/>
      <c r="Q159" s="123"/>
      <c r="R159" s="123"/>
      <c r="S159" s="42"/>
      <c r="T159" s="42"/>
      <c r="U159" s="40" t="str">
        <f t="shared" si="9"/>
        <v/>
      </c>
      <c r="V159" s="41"/>
      <c r="W159" s="42"/>
      <c r="X159" s="42"/>
      <c r="Y159" s="43"/>
      <c r="Z159" s="44"/>
      <c r="AA159" s="45" t="str">
        <f t="shared" si="2"/>
        <v/>
      </c>
      <c r="AB159" s="42"/>
      <c r="AC159" s="41"/>
      <c r="AD159" s="41"/>
      <c r="AE159" s="46" t="str">
        <f t="shared" si="3"/>
        <v/>
      </c>
      <c r="AF159" s="46" t="str">
        <f t="shared" si="7"/>
        <v/>
      </c>
      <c r="AG159" s="40" t="str">
        <f t="shared" si="4"/>
        <v/>
      </c>
      <c r="AH159" s="40" t="str">
        <f t="shared" si="5"/>
        <v/>
      </c>
      <c r="AI159" s="40" t="str">
        <f t="shared" si="6"/>
        <v/>
      </c>
    </row>
    <row r="160" ht="15.75" customHeight="1">
      <c r="A160" s="126"/>
      <c r="B160" s="42"/>
      <c r="C160" s="125"/>
      <c r="D160" s="41"/>
      <c r="E160" s="64"/>
      <c r="F160" s="64"/>
      <c r="G160" s="41"/>
      <c r="H160" s="41"/>
      <c r="I160" s="123"/>
      <c r="J160" s="123"/>
      <c r="K160" s="123"/>
      <c r="L160" s="123"/>
      <c r="M160" s="41"/>
      <c r="N160" s="123"/>
      <c r="O160" s="65"/>
      <c r="P160" s="123"/>
      <c r="Q160" s="123"/>
      <c r="R160" s="123"/>
      <c r="S160" s="42"/>
      <c r="T160" s="42"/>
      <c r="U160" s="40" t="str">
        <f t="shared" si="9"/>
        <v/>
      </c>
      <c r="V160" s="41"/>
      <c r="W160" s="42"/>
      <c r="X160" s="42"/>
      <c r="Y160" s="43"/>
      <c r="Z160" s="44"/>
      <c r="AA160" s="45" t="str">
        <f t="shared" si="2"/>
        <v/>
      </c>
      <c r="AB160" s="42"/>
      <c r="AC160" s="41"/>
      <c r="AD160" s="41"/>
      <c r="AE160" s="46" t="str">
        <f t="shared" si="3"/>
        <v/>
      </c>
      <c r="AF160" s="46" t="str">
        <f t="shared" si="7"/>
        <v/>
      </c>
      <c r="AG160" s="40" t="str">
        <f t="shared" si="4"/>
        <v/>
      </c>
      <c r="AH160" s="40" t="str">
        <f t="shared" si="5"/>
        <v/>
      </c>
      <c r="AI160" s="40" t="str">
        <f t="shared" si="6"/>
        <v/>
      </c>
    </row>
    <row r="161" ht="15.75" customHeight="1">
      <c r="A161" s="126"/>
      <c r="B161" s="42"/>
      <c r="C161" s="125"/>
      <c r="D161" s="41"/>
      <c r="E161" s="64"/>
      <c r="F161" s="64"/>
      <c r="G161" s="41"/>
      <c r="H161" s="41"/>
      <c r="I161" s="123"/>
      <c r="J161" s="123"/>
      <c r="K161" s="123"/>
      <c r="L161" s="123"/>
      <c r="M161" s="41"/>
      <c r="N161" s="123"/>
      <c r="O161" s="65"/>
      <c r="P161" s="123"/>
      <c r="Q161" s="123"/>
      <c r="R161" s="123"/>
      <c r="S161" s="42"/>
      <c r="T161" s="42"/>
      <c r="U161" s="40" t="str">
        <f t="shared" si="9"/>
        <v/>
      </c>
      <c r="V161" s="41"/>
      <c r="W161" s="42"/>
      <c r="X161" s="42"/>
      <c r="Y161" s="43"/>
      <c r="Z161" s="44"/>
      <c r="AA161" s="45" t="str">
        <f t="shared" si="2"/>
        <v/>
      </c>
      <c r="AB161" s="42"/>
      <c r="AC161" s="41"/>
      <c r="AD161" s="41"/>
      <c r="AE161" s="46" t="str">
        <f t="shared" si="3"/>
        <v/>
      </c>
      <c r="AF161" s="46" t="str">
        <f t="shared" si="7"/>
        <v/>
      </c>
      <c r="AG161" s="40" t="str">
        <f t="shared" si="4"/>
        <v/>
      </c>
      <c r="AH161" s="40" t="str">
        <f t="shared" si="5"/>
        <v/>
      </c>
      <c r="AI161" s="40" t="str">
        <f t="shared" si="6"/>
        <v/>
      </c>
    </row>
    <row r="162" ht="15.75" customHeight="1">
      <c r="A162" s="126"/>
      <c r="B162" s="42"/>
      <c r="C162" s="125"/>
      <c r="D162" s="41"/>
      <c r="E162" s="64"/>
      <c r="F162" s="64"/>
      <c r="G162" s="41"/>
      <c r="H162" s="41"/>
      <c r="I162" s="123"/>
      <c r="J162" s="123"/>
      <c r="K162" s="123"/>
      <c r="L162" s="123"/>
      <c r="M162" s="41"/>
      <c r="N162" s="123"/>
      <c r="O162" s="65"/>
      <c r="P162" s="123"/>
      <c r="Q162" s="123"/>
      <c r="R162" s="123"/>
      <c r="S162" s="42"/>
      <c r="T162" s="42"/>
      <c r="U162" s="40" t="str">
        <f t="shared" si="9"/>
        <v/>
      </c>
      <c r="V162" s="41"/>
      <c r="W162" s="42"/>
      <c r="X162" s="42"/>
      <c r="Y162" s="43"/>
      <c r="Z162" s="44"/>
      <c r="AA162" s="45" t="str">
        <f t="shared" si="2"/>
        <v/>
      </c>
      <c r="AB162" s="42"/>
      <c r="AC162" s="41"/>
      <c r="AD162" s="41"/>
      <c r="AE162" s="46" t="str">
        <f t="shared" si="3"/>
        <v/>
      </c>
      <c r="AF162" s="46" t="str">
        <f t="shared" si="7"/>
        <v/>
      </c>
      <c r="AG162" s="40" t="str">
        <f t="shared" si="4"/>
        <v/>
      </c>
      <c r="AH162" s="40" t="str">
        <f t="shared" si="5"/>
        <v/>
      </c>
      <c r="AI162" s="40" t="str">
        <f t="shared" si="6"/>
        <v/>
      </c>
    </row>
    <row r="163" ht="15.75" customHeight="1">
      <c r="A163" s="126"/>
      <c r="B163" s="42"/>
      <c r="C163" s="125"/>
      <c r="D163" s="41"/>
      <c r="E163" s="64"/>
      <c r="F163" s="64"/>
      <c r="G163" s="41"/>
      <c r="H163" s="41"/>
      <c r="I163" s="123"/>
      <c r="J163" s="123"/>
      <c r="K163" s="123"/>
      <c r="L163" s="123"/>
      <c r="M163" s="41"/>
      <c r="N163" s="123"/>
      <c r="O163" s="65"/>
      <c r="P163" s="123"/>
      <c r="Q163" s="123"/>
      <c r="R163" s="123"/>
      <c r="S163" s="42"/>
      <c r="T163" s="42"/>
      <c r="U163" s="40" t="str">
        <f t="shared" si="9"/>
        <v/>
      </c>
      <c r="V163" s="41"/>
      <c r="W163" s="42"/>
      <c r="X163" s="42"/>
      <c r="Y163" s="43"/>
      <c r="Z163" s="44"/>
      <c r="AA163" s="45" t="str">
        <f t="shared" si="2"/>
        <v/>
      </c>
      <c r="AB163" s="42"/>
      <c r="AC163" s="41"/>
      <c r="AD163" s="41"/>
      <c r="AE163" s="46" t="str">
        <f t="shared" si="3"/>
        <v/>
      </c>
      <c r="AF163" s="46" t="str">
        <f t="shared" si="7"/>
        <v/>
      </c>
      <c r="AG163" s="40" t="str">
        <f t="shared" si="4"/>
        <v/>
      </c>
      <c r="AH163" s="40" t="str">
        <f t="shared" si="5"/>
        <v/>
      </c>
      <c r="AI163" s="40" t="str">
        <f t="shared" si="6"/>
        <v/>
      </c>
    </row>
    <row r="164" ht="15.75" customHeight="1">
      <c r="A164" s="126"/>
      <c r="B164" s="42"/>
      <c r="C164" s="125"/>
      <c r="D164" s="41"/>
      <c r="E164" s="64"/>
      <c r="F164" s="64"/>
      <c r="G164" s="41"/>
      <c r="H164" s="41"/>
      <c r="I164" s="123"/>
      <c r="J164" s="123"/>
      <c r="K164" s="123"/>
      <c r="L164" s="123"/>
      <c r="M164" s="41"/>
      <c r="N164" s="123"/>
      <c r="O164" s="65"/>
      <c r="P164" s="123"/>
      <c r="Q164" s="123"/>
      <c r="R164" s="123"/>
      <c r="S164" s="42"/>
      <c r="T164" s="42"/>
      <c r="U164" s="40" t="str">
        <f t="shared" si="9"/>
        <v/>
      </c>
      <c r="V164" s="41"/>
      <c r="W164" s="42"/>
      <c r="X164" s="42"/>
      <c r="Y164" s="43"/>
      <c r="Z164" s="44"/>
      <c r="AA164" s="45" t="str">
        <f t="shared" si="2"/>
        <v/>
      </c>
      <c r="AB164" s="42"/>
      <c r="AC164" s="41"/>
      <c r="AD164" s="41"/>
      <c r="AE164" s="46" t="str">
        <f t="shared" si="3"/>
        <v/>
      </c>
      <c r="AF164" s="46" t="str">
        <f t="shared" si="7"/>
        <v/>
      </c>
      <c r="AG164" s="40" t="str">
        <f t="shared" si="4"/>
        <v/>
      </c>
      <c r="AH164" s="40" t="str">
        <f t="shared" si="5"/>
        <v/>
      </c>
      <c r="AI164" s="40" t="str">
        <f t="shared" si="6"/>
        <v/>
      </c>
    </row>
    <row r="165" ht="15.75" customHeight="1">
      <c r="A165" s="126"/>
      <c r="B165" s="42"/>
      <c r="C165" s="125"/>
      <c r="D165" s="41"/>
      <c r="E165" s="64"/>
      <c r="F165" s="64"/>
      <c r="G165" s="41"/>
      <c r="H165" s="41"/>
      <c r="I165" s="123"/>
      <c r="J165" s="123"/>
      <c r="K165" s="123"/>
      <c r="L165" s="123"/>
      <c r="M165" s="41"/>
      <c r="N165" s="123"/>
      <c r="O165" s="65"/>
      <c r="P165" s="123"/>
      <c r="Q165" s="123"/>
      <c r="R165" s="123"/>
      <c r="S165" s="42"/>
      <c r="T165" s="42"/>
      <c r="U165" s="40" t="str">
        <f t="shared" si="9"/>
        <v/>
      </c>
      <c r="V165" s="41"/>
      <c r="W165" s="42"/>
      <c r="X165" s="42"/>
      <c r="Y165" s="43"/>
      <c r="Z165" s="44"/>
      <c r="AA165" s="45" t="str">
        <f t="shared" si="2"/>
        <v/>
      </c>
      <c r="AB165" s="42"/>
      <c r="AC165" s="41"/>
      <c r="AD165" s="41"/>
      <c r="AE165" s="46" t="str">
        <f t="shared" si="3"/>
        <v/>
      </c>
      <c r="AF165" s="46" t="str">
        <f t="shared" si="7"/>
        <v/>
      </c>
      <c r="AG165" s="40" t="str">
        <f t="shared" si="4"/>
        <v/>
      </c>
      <c r="AH165" s="40" t="str">
        <f t="shared" si="5"/>
        <v/>
      </c>
      <c r="AI165" s="40" t="str">
        <f t="shared" si="6"/>
        <v/>
      </c>
    </row>
    <row r="166" ht="15.75" customHeight="1">
      <c r="A166" s="126"/>
      <c r="B166" s="42"/>
      <c r="C166" s="125"/>
      <c r="D166" s="41"/>
      <c r="E166" s="64"/>
      <c r="F166" s="64"/>
      <c r="G166" s="41"/>
      <c r="H166" s="41"/>
      <c r="I166" s="123"/>
      <c r="J166" s="123"/>
      <c r="K166" s="123"/>
      <c r="L166" s="123"/>
      <c r="M166" s="41"/>
      <c r="N166" s="123"/>
      <c r="O166" s="65"/>
      <c r="P166" s="123"/>
      <c r="Q166" s="123"/>
      <c r="R166" s="123"/>
      <c r="S166" s="42"/>
      <c r="T166" s="42"/>
      <c r="U166" s="40" t="str">
        <f t="shared" si="9"/>
        <v/>
      </c>
      <c r="V166" s="41"/>
      <c r="W166" s="42"/>
      <c r="X166" s="42"/>
      <c r="Y166" s="43"/>
      <c r="Z166" s="44"/>
      <c r="AA166" s="45" t="str">
        <f t="shared" si="2"/>
        <v/>
      </c>
      <c r="AB166" s="42"/>
      <c r="AC166" s="41"/>
      <c r="AD166" s="41"/>
      <c r="AE166" s="46" t="str">
        <f t="shared" si="3"/>
        <v/>
      </c>
      <c r="AF166" s="46" t="str">
        <f t="shared" si="7"/>
        <v/>
      </c>
      <c r="AG166" s="40" t="str">
        <f t="shared" si="4"/>
        <v/>
      </c>
      <c r="AH166" s="40" t="str">
        <f t="shared" si="5"/>
        <v/>
      </c>
      <c r="AI166" s="40" t="str">
        <f t="shared" si="6"/>
        <v/>
      </c>
    </row>
    <row r="167" ht="15.75" customHeight="1">
      <c r="A167" s="126"/>
      <c r="B167" s="42"/>
      <c r="C167" s="125"/>
      <c r="D167" s="41"/>
      <c r="E167" s="64"/>
      <c r="F167" s="64"/>
      <c r="G167" s="41"/>
      <c r="H167" s="41"/>
      <c r="I167" s="123"/>
      <c r="J167" s="123"/>
      <c r="K167" s="123"/>
      <c r="L167" s="123"/>
      <c r="M167" s="41"/>
      <c r="N167" s="123"/>
      <c r="O167" s="65"/>
      <c r="P167" s="123"/>
      <c r="Q167" s="123"/>
      <c r="R167" s="123"/>
      <c r="S167" s="42"/>
      <c r="T167" s="42"/>
      <c r="U167" s="40" t="str">
        <f t="shared" si="9"/>
        <v/>
      </c>
      <c r="V167" s="41"/>
      <c r="W167" s="42"/>
      <c r="X167" s="42"/>
      <c r="Y167" s="43"/>
      <c r="Z167" s="44"/>
      <c r="AA167" s="45" t="str">
        <f t="shared" si="2"/>
        <v/>
      </c>
      <c r="AB167" s="42"/>
      <c r="AC167" s="41"/>
      <c r="AD167" s="41"/>
      <c r="AE167" s="46" t="str">
        <f t="shared" si="3"/>
        <v/>
      </c>
      <c r="AF167" s="46" t="str">
        <f t="shared" si="7"/>
        <v/>
      </c>
      <c r="AG167" s="40" t="str">
        <f t="shared" si="4"/>
        <v/>
      </c>
      <c r="AH167" s="40" t="str">
        <f t="shared" si="5"/>
        <v/>
      </c>
      <c r="AI167" s="40" t="str">
        <f t="shared" si="6"/>
        <v/>
      </c>
    </row>
    <row r="168" ht="15.75" customHeight="1">
      <c r="A168" s="126"/>
      <c r="B168" s="42"/>
      <c r="C168" s="125"/>
      <c r="D168" s="41"/>
      <c r="E168" s="64"/>
      <c r="F168" s="64"/>
      <c r="G168" s="41"/>
      <c r="H168" s="41"/>
      <c r="I168" s="123"/>
      <c r="J168" s="123"/>
      <c r="K168" s="123"/>
      <c r="L168" s="123"/>
      <c r="M168" s="41"/>
      <c r="N168" s="123"/>
      <c r="O168" s="65"/>
      <c r="P168" s="123"/>
      <c r="Q168" s="123"/>
      <c r="R168" s="123"/>
      <c r="S168" s="42"/>
      <c r="T168" s="42"/>
      <c r="U168" s="40" t="str">
        <f t="shared" si="9"/>
        <v/>
      </c>
      <c r="V168" s="41"/>
      <c r="W168" s="42"/>
      <c r="X168" s="42"/>
      <c r="Y168" s="43"/>
      <c r="Z168" s="44"/>
      <c r="AA168" s="45" t="str">
        <f t="shared" si="2"/>
        <v/>
      </c>
      <c r="AB168" s="42"/>
      <c r="AC168" s="41"/>
      <c r="AD168" s="41"/>
      <c r="AE168" s="46" t="str">
        <f t="shared" si="3"/>
        <v/>
      </c>
      <c r="AF168" s="46" t="str">
        <f t="shared" si="7"/>
        <v/>
      </c>
      <c r="AG168" s="40" t="str">
        <f t="shared" si="4"/>
        <v/>
      </c>
      <c r="AH168" s="40" t="str">
        <f t="shared" si="5"/>
        <v/>
      </c>
      <c r="AI168" s="40" t="str">
        <f t="shared" si="6"/>
        <v/>
      </c>
    </row>
    <row r="169" ht="15.75" customHeight="1">
      <c r="A169" s="126"/>
      <c r="B169" s="42"/>
      <c r="C169" s="125"/>
      <c r="D169" s="41"/>
      <c r="E169" s="64"/>
      <c r="F169" s="64"/>
      <c r="G169" s="41"/>
      <c r="H169" s="41"/>
      <c r="I169" s="123"/>
      <c r="J169" s="123"/>
      <c r="K169" s="123"/>
      <c r="L169" s="123"/>
      <c r="M169" s="41"/>
      <c r="N169" s="123"/>
      <c r="O169" s="65"/>
      <c r="P169" s="123"/>
      <c r="Q169" s="123"/>
      <c r="R169" s="123"/>
      <c r="S169" s="42"/>
      <c r="T169" s="42"/>
      <c r="U169" s="40" t="str">
        <f t="shared" si="9"/>
        <v/>
      </c>
      <c r="V169" s="41"/>
      <c r="W169" s="42"/>
      <c r="X169" s="42"/>
      <c r="Y169" s="43"/>
      <c r="Z169" s="44"/>
      <c r="AA169" s="45" t="str">
        <f t="shared" si="2"/>
        <v/>
      </c>
      <c r="AB169" s="42"/>
      <c r="AC169" s="41"/>
      <c r="AD169" s="41"/>
      <c r="AE169" s="46" t="str">
        <f t="shared" si="3"/>
        <v/>
      </c>
      <c r="AF169" s="46" t="str">
        <f t="shared" si="7"/>
        <v/>
      </c>
      <c r="AG169" s="40" t="str">
        <f t="shared" si="4"/>
        <v/>
      </c>
      <c r="AH169" s="40" t="str">
        <f t="shared" si="5"/>
        <v/>
      </c>
      <c r="AI169" s="40" t="str">
        <f t="shared" si="6"/>
        <v/>
      </c>
    </row>
    <row r="170" ht="15.75" customHeight="1">
      <c r="A170" s="126"/>
      <c r="B170" s="42"/>
      <c r="C170" s="125"/>
      <c r="D170" s="41"/>
      <c r="E170" s="64"/>
      <c r="F170" s="64"/>
      <c r="G170" s="41"/>
      <c r="H170" s="41"/>
      <c r="I170" s="123"/>
      <c r="J170" s="123"/>
      <c r="K170" s="123"/>
      <c r="L170" s="123"/>
      <c r="M170" s="41"/>
      <c r="N170" s="123"/>
      <c r="O170" s="65"/>
      <c r="P170" s="123"/>
      <c r="Q170" s="123"/>
      <c r="R170" s="123"/>
      <c r="S170" s="42"/>
      <c r="T170" s="42"/>
      <c r="U170" s="40" t="str">
        <f t="shared" si="9"/>
        <v/>
      </c>
      <c r="V170" s="41"/>
      <c r="W170" s="42"/>
      <c r="X170" s="42"/>
      <c r="Y170" s="43"/>
      <c r="Z170" s="44"/>
      <c r="AA170" s="45" t="str">
        <f t="shared" si="2"/>
        <v/>
      </c>
      <c r="AB170" s="42"/>
      <c r="AC170" s="41"/>
      <c r="AD170" s="41"/>
      <c r="AE170" s="46" t="str">
        <f t="shared" si="3"/>
        <v/>
      </c>
      <c r="AF170" s="46" t="str">
        <f t="shared" si="7"/>
        <v/>
      </c>
      <c r="AG170" s="40" t="str">
        <f t="shared" si="4"/>
        <v/>
      </c>
      <c r="AH170" s="40" t="str">
        <f t="shared" si="5"/>
        <v/>
      </c>
      <c r="AI170" s="40" t="str">
        <f t="shared" si="6"/>
        <v/>
      </c>
    </row>
    <row r="171" ht="15.75" customHeight="1">
      <c r="A171" s="126"/>
      <c r="B171" s="42"/>
      <c r="C171" s="125"/>
      <c r="D171" s="41"/>
      <c r="E171" s="64"/>
      <c r="F171" s="64"/>
      <c r="G171" s="41"/>
      <c r="H171" s="41"/>
      <c r="I171" s="123"/>
      <c r="J171" s="123"/>
      <c r="K171" s="123"/>
      <c r="L171" s="123"/>
      <c r="M171" s="41"/>
      <c r="N171" s="123"/>
      <c r="O171" s="65"/>
      <c r="P171" s="123"/>
      <c r="Q171" s="123"/>
      <c r="R171" s="123"/>
      <c r="S171" s="42"/>
      <c r="T171" s="42"/>
      <c r="U171" s="40" t="str">
        <f t="shared" si="9"/>
        <v/>
      </c>
      <c r="V171" s="41"/>
      <c r="W171" s="42"/>
      <c r="X171" s="42"/>
      <c r="Y171" s="43"/>
      <c r="Z171" s="44"/>
      <c r="AA171" s="45" t="str">
        <f t="shared" si="2"/>
        <v/>
      </c>
      <c r="AB171" s="42"/>
      <c r="AC171" s="41"/>
      <c r="AD171" s="41"/>
      <c r="AE171" s="46" t="str">
        <f t="shared" si="3"/>
        <v/>
      </c>
      <c r="AF171" s="46" t="str">
        <f t="shared" si="7"/>
        <v/>
      </c>
      <c r="AG171" s="40" t="str">
        <f t="shared" si="4"/>
        <v/>
      </c>
      <c r="AH171" s="40" t="str">
        <f t="shared" si="5"/>
        <v/>
      </c>
      <c r="AI171" s="40" t="str">
        <f t="shared" si="6"/>
        <v/>
      </c>
    </row>
    <row r="172" ht="15.75" customHeight="1">
      <c r="A172" s="126"/>
      <c r="B172" s="42"/>
      <c r="C172" s="125"/>
      <c r="D172" s="41"/>
      <c r="E172" s="64"/>
      <c r="F172" s="64"/>
      <c r="G172" s="41"/>
      <c r="H172" s="41"/>
      <c r="I172" s="123"/>
      <c r="J172" s="123"/>
      <c r="K172" s="123"/>
      <c r="L172" s="123"/>
      <c r="M172" s="41"/>
      <c r="N172" s="123"/>
      <c r="O172" s="65"/>
      <c r="P172" s="123"/>
      <c r="Q172" s="123"/>
      <c r="R172" s="123"/>
      <c r="S172" s="42"/>
      <c r="T172" s="42"/>
      <c r="U172" s="40" t="str">
        <f t="shared" si="9"/>
        <v/>
      </c>
      <c r="V172" s="41"/>
      <c r="W172" s="42"/>
      <c r="X172" s="42"/>
      <c r="Y172" s="43"/>
      <c r="Z172" s="44"/>
      <c r="AA172" s="45" t="str">
        <f t="shared" si="2"/>
        <v/>
      </c>
      <c r="AB172" s="42"/>
      <c r="AC172" s="41"/>
      <c r="AD172" s="41"/>
      <c r="AE172" s="46" t="str">
        <f t="shared" si="3"/>
        <v/>
      </c>
      <c r="AF172" s="46" t="str">
        <f t="shared" si="7"/>
        <v/>
      </c>
      <c r="AG172" s="40" t="str">
        <f t="shared" si="4"/>
        <v/>
      </c>
      <c r="AH172" s="40" t="str">
        <f t="shared" si="5"/>
        <v/>
      </c>
      <c r="AI172" s="40" t="str">
        <f t="shared" si="6"/>
        <v/>
      </c>
    </row>
    <row r="173" ht="15.75" customHeight="1">
      <c r="A173" s="126"/>
      <c r="B173" s="42"/>
      <c r="C173" s="125"/>
      <c r="D173" s="41"/>
      <c r="E173" s="64"/>
      <c r="F173" s="64"/>
      <c r="G173" s="41"/>
      <c r="H173" s="41"/>
      <c r="I173" s="123"/>
      <c r="J173" s="123"/>
      <c r="K173" s="123"/>
      <c r="L173" s="123"/>
      <c r="M173" s="41"/>
      <c r="N173" s="123"/>
      <c r="O173" s="65"/>
      <c r="P173" s="123"/>
      <c r="Q173" s="123"/>
      <c r="R173" s="123"/>
      <c r="S173" s="42"/>
      <c r="T173" s="42"/>
      <c r="U173" s="40" t="str">
        <f t="shared" si="9"/>
        <v/>
      </c>
      <c r="V173" s="41"/>
      <c r="W173" s="42"/>
      <c r="X173" s="42"/>
      <c r="Y173" s="43"/>
      <c r="Z173" s="44"/>
      <c r="AA173" s="45" t="str">
        <f t="shared" si="2"/>
        <v/>
      </c>
      <c r="AB173" s="42"/>
      <c r="AC173" s="41"/>
      <c r="AD173" s="41"/>
      <c r="AE173" s="46" t="str">
        <f t="shared" si="3"/>
        <v/>
      </c>
      <c r="AF173" s="46" t="str">
        <f t="shared" si="7"/>
        <v/>
      </c>
      <c r="AG173" s="40" t="str">
        <f t="shared" si="4"/>
        <v/>
      </c>
      <c r="AH173" s="40" t="str">
        <f t="shared" si="5"/>
        <v/>
      </c>
      <c r="AI173" s="40" t="str">
        <f t="shared" si="6"/>
        <v/>
      </c>
    </row>
    <row r="174" ht="15.75" customHeight="1">
      <c r="A174" s="126"/>
      <c r="B174" s="42"/>
      <c r="C174" s="125"/>
      <c r="D174" s="41"/>
      <c r="E174" s="64"/>
      <c r="F174" s="64"/>
      <c r="G174" s="41"/>
      <c r="H174" s="41"/>
      <c r="I174" s="123"/>
      <c r="J174" s="123"/>
      <c r="K174" s="123"/>
      <c r="L174" s="123"/>
      <c r="M174" s="41"/>
      <c r="N174" s="123"/>
      <c r="O174" s="65"/>
      <c r="P174" s="123"/>
      <c r="Q174" s="123"/>
      <c r="R174" s="123"/>
      <c r="S174" s="42"/>
      <c r="T174" s="42"/>
      <c r="U174" s="40" t="str">
        <f t="shared" si="9"/>
        <v/>
      </c>
      <c r="V174" s="41"/>
      <c r="W174" s="42"/>
      <c r="X174" s="42"/>
      <c r="Y174" s="43"/>
      <c r="Z174" s="44"/>
      <c r="AA174" s="45" t="str">
        <f t="shared" si="2"/>
        <v/>
      </c>
      <c r="AB174" s="42"/>
      <c r="AC174" s="41"/>
      <c r="AD174" s="41"/>
      <c r="AE174" s="46" t="str">
        <f t="shared" si="3"/>
        <v/>
      </c>
      <c r="AF174" s="46" t="str">
        <f t="shared" si="7"/>
        <v/>
      </c>
      <c r="AG174" s="40" t="str">
        <f t="shared" si="4"/>
        <v/>
      </c>
      <c r="AH174" s="40" t="str">
        <f t="shared" si="5"/>
        <v/>
      </c>
      <c r="AI174" s="40" t="str">
        <f t="shared" si="6"/>
        <v/>
      </c>
    </row>
    <row r="175" ht="15.75" customHeight="1">
      <c r="A175" s="126"/>
      <c r="B175" s="42"/>
      <c r="C175" s="125"/>
      <c r="D175" s="41"/>
      <c r="E175" s="64"/>
      <c r="F175" s="64"/>
      <c r="G175" s="41"/>
      <c r="H175" s="41"/>
      <c r="I175" s="123"/>
      <c r="J175" s="123"/>
      <c r="K175" s="123"/>
      <c r="L175" s="123"/>
      <c r="M175" s="41"/>
      <c r="N175" s="123"/>
      <c r="O175" s="65"/>
      <c r="P175" s="123"/>
      <c r="Q175" s="123"/>
      <c r="R175" s="123"/>
      <c r="S175" s="42"/>
      <c r="T175" s="42"/>
      <c r="U175" s="40" t="str">
        <f t="shared" si="9"/>
        <v/>
      </c>
      <c r="V175" s="41"/>
      <c r="W175" s="42"/>
      <c r="X175" s="42"/>
      <c r="Y175" s="43"/>
      <c r="Z175" s="44"/>
      <c r="AA175" s="45" t="str">
        <f t="shared" si="2"/>
        <v/>
      </c>
      <c r="AB175" s="42"/>
      <c r="AC175" s="41"/>
      <c r="AD175" s="41"/>
      <c r="AE175" s="46" t="str">
        <f t="shared" si="3"/>
        <v/>
      </c>
      <c r="AF175" s="46" t="str">
        <f t="shared" si="7"/>
        <v/>
      </c>
      <c r="AG175" s="40" t="str">
        <f t="shared" si="4"/>
        <v/>
      </c>
      <c r="AH175" s="40" t="str">
        <f t="shared" si="5"/>
        <v/>
      </c>
      <c r="AI175" s="40" t="str">
        <f t="shared" si="6"/>
        <v/>
      </c>
    </row>
    <row r="176" ht="15.75" customHeight="1">
      <c r="A176" s="126"/>
      <c r="B176" s="42"/>
      <c r="C176" s="125"/>
      <c r="D176" s="41"/>
      <c r="E176" s="64"/>
      <c r="F176" s="64"/>
      <c r="G176" s="41"/>
      <c r="H176" s="41"/>
      <c r="I176" s="123"/>
      <c r="J176" s="123"/>
      <c r="K176" s="123"/>
      <c r="L176" s="123"/>
      <c r="M176" s="41"/>
      <c r="N176" s="123"/>
      <c r="O176" s="65"/>
      <c r="P176" s="123"/>
      <c r="Q176" s="123"/>
      <c r="R176" s="123"/>
      <c r="S176" s="42"/>
      <c r="T176" s="42"/>
      <c r="U176" s="40" t="str">
        <f t="shared" si="9"/>
        <v/>
      </c>
      <c r="V176" s="41"/>
      <c r="W176" s="42"/>
      <c r="X176" s="42"/>
      <c r="Y176" s="43"/>
      <c r="Z176" s="44"/>
      <c r="AA176" s="45" t="str">
        <f t="shared" si="2"/>
        <v/>
      </c>
      <c r="AB176" s="42"/>
      <c r="AC176" s="41"/>
      <c r="AD176" s="41"/>
      <c r="AE176" s="46" t="str">
        <f t="shared" si="3"/>
        <v/>
      </c>
      <c r="AF176" s="46" t="str">
        <f t="shared" si="7"/>
        <v/>
      </c>
      <c r="AG176" s="40" t="str">
        <f t="shared" si="4"/>
        <v/>
      </c>
      <c r="AH176" s="40" t="str">
        <f t="shared" si="5"/>
        <v/>
      </c>
      <c r="AI176" s="40" t="str">
        <f t="shared" si="6"/>
        <v/>
      </c>
    </row>
    <row r="177" ht="15.75" customHeight="1">
      <c r="A177" s="126"/>
      <c r="B177" s="42"/>
      <c r="C177" s="125"/>
      <c r="D177" s="41"/>
      <c r="E177" s="64"/>
      <c r="F177" s="64"/>
      <c r="G177" s="41"/>
      <c r="H177" s="41"/>
      <c r="I177" s="123"/>
      <c r="J177" s="123"/>
      <c r="K177" s="123"/>
      <c r="L177" s="123"/>
      <c r="M177" s="41"/>
      <c r="N177" s="123"/>
      <c r="O177" s="65"/>
      <c r="P177" s="123"/>
      <c r="Q177" s="123"/>
      <c r="R177" s="123"/>
      <c r="S177" s="42"/>
      <c r="T177" s="42"/>
      <c r="U177" s="40" t="str">
        <f t="shared" si="9"/>
        <v/>
      </c>
      <c r="V177" s="41"/>
      <c r="W177" s="42"/>
      <c r="X177" s="42"/>
      <c r="Y177" s="43"/>
      <c r="Z177" s="44"/>
      <c r="AA177" s="45" t="str">
        <f t="shared" si="2"/>
        <v/>
      </c>
      <c r="AB177" s="42"/>
      <c r="AC177" s="41"/>
      <c r="AD177" s="41"/>
      <c r="AE177" s="46" t="str">
        <f t="shared" si="3"/>
        <v/>
      </c>
      <c r="AF177" s="46" t="str">
        <f t="shared" si="7"/>
        <v/>
      </c>
      <c r="AG177" s="40" t="str">
        <f t="shared" si="4"/>
        <v/>
      </c>
      <c r="AH177" s="40" t="str">
        <f t="shared" si="5"/>
        <v/>
      </c>
      <c r="AI177" s="40" t="str">
        <f t="shared" si="6"/>
        <v/>
      </c>
    </row>
    <row r="178" ht="15.75" customHeight="1">
      <c r="A178" s="126"/>
      <c r="B178" s="42"/>
      <c r="C178" s="125"/>
      <c r="D178" s="41"/>
      <c r="E178" s="64"/>
      <c r="F178" s="64"/>
      <c r="G178" s="41"/>
      <c r="H178" s="41"/>
      <c r="I178" s="123"/>
      <c r="J178" s="123"/>
      <c r="K178" s="123"/>
      <c r="L178" s="123"/>
      <c r="M178" s="41"/>
      <c r="N178" s="123"/>
      <c r="O178" s="65"/>
      <c r="P178" s="123"/>
      <c r="Q178" s="123"/>
      <c r="R178" s="123"/>
      <c r="S178" s="42"/>
      <c r="T178" s="42"/>
      <c r="U178" s="40" t="str">
        <f t="shared" si="9"/>
        <v/>
      </c>
      <c r="V178" s="41"/>
      <c r="W178" s="42"/>
      <c r="X178" s="42"/>
      <c r="Y178" s="43"/>
      <c r="Z178" s="44"/>
      <c r="AA178" s="45" t="str">
        <f t="shared" si="2"/>
        <v/>
      </c>
      <c r="AB178" s="42"/>
      <c r="AC178" s="41"/>
      <c r="AD178" s="41"/>
      <c r="AE178" s="46" t="str">
        <f t="shared" si="3"/>
        <v/>
      </c>
      <c r="AF178" s="46" t="str">
        <f t="shared" si="7"/>
        <v/>
      </c>
      <c r="AG178" s="40" t="str">
        <f t="shared" si="4"/>
        <v/>
      </c>
      <c r="AH178" s="40" t="str">
        <f t="shared" si="5"/>
        <v/>
      </c>
      <c r="AI178" s="40" t="str">
        <f t="shared" si="6"/>
        <v/>
      </c>
    </row>
    <row r="179" ht="15.75" customHeight="1">
      <c r="A179" s="126"/>
      <c r="B179" s="42"/>
      <c r="C179" s="125"/>
      <c r="D179" s="41"/>
      <c r="E179" s="64"/>
      <c r="F179" s="64"/>
      <c r="G179" s="41"/>
      <c r="H179" s="41"/>
      <c r="I179" s="123"/>
      <c r="J179" s="123"/>
      <c r="K179" s="123"/>
      <c r="L179" s="123"/>
      <c r="M179" s="41"/>
      <c r="N179" s="123"/>
      <c r="O179" s="65"/>
      <c r="P179" s="123"/>
      <c r="Q179" s="123"/>
      <c r="R179" s="123"/>
      <c r="S179" s="42"/>
      <c r="T179" s="42"/>
      <c r="U179" s="40" t="str">
        <f t="shared" si="9"/>
        <v/>
      </c>
      <c r="V179" s="41"/>
      <c r="W179" s="42"/>
      <c r="X179" s="42"/>
      <c r="Y179" s="43"/>
      <c r="Z179" s="44"/>
      <c r="AA179" s="45" t="str">
        <f t="shared" si="2"/>
        <v/>
      </c>
      <c r="AB179" s="42"/>
      <c r="AC179" s="41"/>
      <c r="AD179" s="41"/>
      <c r="AE179" s="46" t="str">
        <f t="shared" si="3"/>
        <v/>
      </c>
      <c r="AF179" s="46" t="str">
        <f t="shared" si="7"/>
        <v/>
      </c>
      <c r="AG179" s="40" t="str">
        <f t="shared" si="4"/>
        <v/>
      </c>
      <c r="AH179" s="40" t="str">
        <f t="shared" si="5"/>
        <v/>
      </c>
      <c r="AI179" s="40" t="str">
        <f t="shared" si="6"/>
        <v/>
      </c>
    </row>
    <row r="180" ht="15.75" customHeight="1">
      <c r="A180" s="126"/>
      <c r="B180" s="42"/>
      <c r="C180" s="125"/>
      <c r="D180" s="41"/>
      <c r="E180" s="64"/>
      <c r="F180" s="64"/>
      <c r="G180" s="41"/>
      <c r="H180" s="41"/>
      <c r="I180" s="123"/>
      <c r="J180" s="123"/>
      <c r="K180" s="123"/>
      <c r="L180" s="123"/>
      <c r="M180" s="41"/>
      <c r="N180" s="123"/>
      <c r="O180" s="65"/>
      <c r="P180" s="123"/>
      <c r="Q180" s="123"/>
      <c r="R180" s="123"/>
      <c r="S180" s="42"/>
      <c r="T180" s="42"/>
      <c r="U180" s="40" t="str">
        <f t="shared" si="9"/>
        <v/>
      </c>
      <c r="V180" s="41"/>
      <c r="W180" s="42"/>
      <c r="X180" s="42"/>
      <c r="Y180" s="43"/>
      <c r="Z180" s="44"/>
      <c r="AA180" s="45" t="str">
        <f t="shared" si="2"/>
        <v/>
      </c>
      <c r="AB180" s="42"/>
      <c r="AC180" s="41"/>
      <c r="AD180" s="41"/>
      <c r="AE180" s="46" t="str">
        <f t="shared" si="3"/>
        <v/>
      </c>
      <c r="AF180" s="46" t="str">
        <f t="shared" si="7"/>
        <v/>
      </c>
      <c r="AG180" s="40" t="str">
        <f t="shared" si="4"/>
        <v/>
      </c>
      <c r="AH180" s="40" t="str">
        <f t="shared" si="5"/>
        <v/>
      </c>
      <c r="AI180" s="40" t="str">
        <f t="shared" si="6"/>
        <v/>
      </c>
    </row>
    <row r="181" ht="15.75" customHeight="1">
      <c r="A181" s="126"/>
      <c r="B181" s="42"/>
      <c r="C181" s="125"/>
      <c r="D181" s="41"/>
      <c r="E181" s="64"/>
      <c r="F181" s="64"/>
      <c r="G181" s="41"/>
      <c r="H181" s="41"/>
      <c r="I181" s="123"/>
      <c r="J181" s="123"/>
      <c r="K181" s="123"/>
      <c r="L181" s="123"/>
      <c r="M181" s="41"/>
      <c r="N181" s="123"/>
      <c r="O181" s="65"/>
      <c r="P181" s="123"/>
      <c r="Q181" s="123"/>
      <c r="R181" s="123"/>
      <c r="S181" s="42"/>
      <c r="T181" s="42"/>
      <c r="U181" s="40" t="str">
        <f t="shared" si="9"/>
        <v/>
      </c>
      <c r="V181" s="41"/>
      <c r="W181" s="42"/>
      <c r="X181" s="42"/>
      <c r="Y181" s="43"/>
      <c r="Z181" s="44"/>
      <c r="AA181" s="45" t="str">
        <f t="shared" si="2"/>
        <v/>
      </c>
      <c r="AB181" s="42"/>
      <c r="AC181" s="41"/>
      <c r="AD181" s="41"/>
      <c r="AE181" s="46" t="str">
        <f t="shared" si="3"/>
        <v/>
      </c>
      <c r="AF181" s="46" t="str">
        <f t="shared" si="7"/>
        <v/>
      </c>
      <c r="AG181" s="40" t="str">
        <f t="shared" si="4"/>
        <v/>
      </c>
      <c r="AH181" s="40" t="str">
        <f t="shared" si="5"/>
        <v/>
      </c>
      <c r="AI181" s="40" t="str">
        <f t="shared" si="6"/>
        <v/>
      </c>
    </row>
    <row r="182" ht="15.75" customHeight="1">
      <c r="A182" s="126"/>
      <c r="B182" s="42"/>
      <c r="C182" s="125"/>
      <c r="D182" s="41"/>
      <c r="E182" s="64"/>
      <c r="F182" s="64"/>
      <c r="G182" s="41"/>
      <c r="H182" s="41"/>
      <c r="I182" s="123"/>
      <c r="J182" s="123"/>
      <c r="K182" s="123"/>
      <c r="L182" s="123"/>
      <c r="M182" s="41"/>
      <c r="N182" s="123"/>
      <c r="O182" s="65"/>
      <c r="P182" s="123"/>
      <c r="Q182" s="123"/>
      <c r="R182" s="123"/>
      <c r="S182" s="42"/>
      <c r="T182" s="42"/>
      <c r="U182" s="40" t="str">
        <f t="shared" si="9"/>
        <v/>
      </c>
      <c r="V182" s="41"/>
      <c r="W182" s="42"/>
      <c r="X182" s="42"/>
      <c r="Y182" s="43"/>
      <c r="Z182" s="44"/>
      <c r="AA182" s="45" t="str">
        <f t="shared" si="2"/>
        <v/>
      </c>
      <c r="AB182" s="42"/>
      <c r="AC182" s="41"/>
      <c r="AD182" s="41"/>
      <c r="AE182" s="46" t="str">
        <f t="shared" si="3"/>
        <v/>
      </c>
      <c r="AF182" s="46" t="str">
        <f t="shared" si="7"/>
        <v/>
      </c>
      <c r="AG182" s="40" t="str">
        <f t="shared" si="4"/>
        <v/>
      </c>
      <c r="AH182" s="40" t="str">
        <f t="shared" si="5"/>
        <v/>
      </c>
      <c r="AI182" s="40" t="str">
        <f t="shared" si="6"/>
        <v/>
      </c>
    </row>
    <row r="183" ht="15.75" customHeight="1">
      <c r="A183" s="126"/>
      <c r="B183" s="42"/>
      <c r="C183" s="125"/>
      <c r="D183" s="41"/>
      <c r="E183" s="64"/>
      <c r="F183" s="64"/>
      <c r="G183" s="41"/>
      <c r="H183" s="41"/>
      <c r="I183" s="123"/>
      <c r="J183" s="123"/>
      <c r="K183" s="123"/>
      <c r="L183" s="123"/>
      <c r="M183" s="41"/>
      <c r="N183" s="123"/>
      <c r="O183" s="65"/>
      <c r="P183" s="123"/>
      <c r="Q183" s="123"/>
      <c r="R183" s="123"/>
      <c r="S183" s="42"/>
      <c r="T183" s="42"/>
      <c r="U183" s="40" t="str">
        <f t="shared" si="9"/>
        <v/>
      </c>
      <c r="V183" s="41"/>
      <c r="W183" s="42"/>
      <c r="X183" s="42"/>
      <c r="Y183" s="43"/>
      <c r="Z183" s="44"/>
      <c r="AA183" s="45" t="str">
        <f t="shared" si="2"/>
        <v/>
      </c>
      <c r="AB183" s="42"/>
      <c r="AC183" s="41"/>
      <c r="AD183" s="41"/>
      <c r="AE183" s="46" t="str">
        <f t="shared" si="3"/>
        <v/>
      </c>
      <c r="AF183" s="46" t="str">
        <f t="shared" si="7"/>
        <v/>
      </c>
      <c r="AG183" s="40" t="str">
        <f t="shared" si="4"/>
        <v/>
      </c>
      <c r="AH183" s="40" t="str">
        <f t="shared" si="5"/>
        <v/>
      </c>
      <c r="AI183" s="40" t="str">
        <f t="shared" si="6"/>
        <v/>
      </c>
    </row>
    <row r="184" ht="15.75" customHeight="1">
      <c r="A184" s="126"/>
      <c r="B184" s="42"/>
      <c r="C184" s="125"/>
      <c r="D184" s="41"/>
      <c r="E184" s="64"/>
      <c r="F184" s="64"/>
      <c r="G184" s="41"/>
      <c r="H184" s="41"/>
      <c r="I184" s="123"/>
      <c r="J184" s="123"/>
      <c r="K184" s="123"/>
      <c r="L184" s="123"/>
      <c r="M184" s="41"/>
      <c r="N184" s="123"/>
      <c r="O184" s="65"/>
      <c r="P184" s="123"/>
      <c r="Q184" s="123"/>
      <c r="R184" s="123"/>
      <c r="S184" s="42"/>
      <c r="T184" s="42"/>
      <c r="U184" s="40" t="str">
        <f t="shared" si="9"/>
        <v/>
      </c>
      <c r="V184" s="41"/>
      <c r="W184" s="42"/>
      <c r="X184" s="42"/>
      <c r="Y184" s="43"/>
      <c r="Z184" s="44"/>
      <c r="AA184" s="45" t="str">
        <f t="shared" si="2"/>
        <v/>
      </c>
      <c r="AB184" s="42"/>
      <c r="AC184" s="41"/>
      <c r="AD184" s="41"/>
      <c r="AE184" s="46" t="str">
        <f t="shared" si="3"/>
        <v/>
      </c>
      <c r="AF184" s="46" t="str">
        <f t="shared" si="7"/>
        <v/>
      </c>
      <c r="AG184" s="40" t="str">
        <f t="shared" si="4"/>
        <v/>
      </c>
      <c r="AH184" s="40" t="str">
        <f t="shared" si="5"/>
        <v/>
      </c>
      <c r="AI184" s="40" t="str">
        <f t="shared" si="6"/>
        <v/>
      </c>
    </row>
    <row r="185" ht="15.75" customHeight="1">
      <c r="A185" s="126"/>
      <c r="B185" s="42"/>
      <c r="C185" s="125"/>
      <c r="D185" s="41"/>
      <c r="E185" s="64"/>
      <c r="F185" s="64"/>
      <c r="G185" s="41"/>
      <c r="H185" s="41"/>
      <c r="I185" s="123"/>
      <c r="J185" s="123"/>
      <c r="K185" s="123"/>
      <c r="L185" s="123"/>
      <c r="M185" s="41"/>
      <c r="N185" s="123"/>
      <c r="O185" s="65"/>
      <c r="P185" s="123"/>
      <c r="Q185" s="123"/>
      <c r="R185" s="123"/>
      <c r="S185" s="42"/>
      <c r="T185" s="42"/>
      <c r="U185" s="40" t="str">
        <f t="shared" si="9"/>
        <v/>
      </c>
      <c r="V185" s="41"/>
      <c r="W185" s="42"/>
      <c r="X185" s="42"/>
      <c r="Y185" s="43"/>
      <c r="Z185" s="44"/>
      <c r="AA185" s="45" t="str">
        <f t="shared" si="2"/>
        <v/>
      </c>
      <c r="AB185" s="42"/>
      <c r="AC185" s="41"/>
      <c r="AD185" s="41"/>
      <c r="AE185" s="46" t="str">
        <f t="shared" si="3"/>
        <v/>
      </c>
      <c r="AF185" s="46" t="str">
        <f t="shared" si="7"/>
        <v/>
      </c>
      <c r="AG185" s="40" t="str">
        <f t="shared" si="4"/>
        <v/>
      </c>
      <c r="AH185" s="40" t="str">
        <f t="shared" si="5"/>
        <v/>
      </c>
      <c r="AI185" s="40" t="str">
        <f t="shared" si="6"/>
        <v/>
      </c>
    </row>
    <row r="186" ht="15.75" customHeight="1">
      <c r="A186" s="126"/>
      <c r="B186" s="42"/>
      <c r="C186" s="125"/>
      <c r="D186" s="41"/>
      <c r="E186" s="64"/>
      <c r="F186" s="64"/>
      <c r="G186" s="41"/>
      <c r="H186" s="41"/>
      <c r="I186" s="123"/>
      <c r="J186" s="123"/>
      <c r="K186" s="123"/>
      <c r="L186" s="123"/>
      <c r="M186" s="41"/>
      <c r="N186" s="123"/>
      <c r="O186" s="65"/>
      <c r="P186" s="123"/>
      <c r="Q186" s="123"/>
      <c r="R186" s="123"/>
      <c r="S186" s="42"/>
      <c r="T186" s="42"/>
      <c r="U186" s="40" t="str">
        <f t="shared" si="9"/>
        <v/>
      </c>
      <c r="V186" s="41"/>
      <c r="W186" s="42"/>
      <c r="X186" s="42"/>
      <c r="Y186" s="43"/>
      <c r="Z186" s="44"/>
      <c r="AA186" s="45" t="str">
        <f t="shared" si="2"/>
        <v/>
      </c>
      <c r="AB186" s="42"/>
      <c r="AC186" s="41"/>
      <c r="AD186" s="41"/>
      <c r="AE186" s="46" t="str">
        <f t="shared" si="3"/>
        <v/>
      </c>
      <c r="AF186" s="46" t="str">
        <f t="shared" si="7"/>
        <v/>
      </c>
      <c r="AG186" s="40" t="str">
        <f t="shared" si="4"/>
        <v/>
      </c>
      <c r="AH186" s="40" t="str">
        <f t="shared" si="5"/>
        <v/>
      </c>
      <c r="AI186" s="40" t="str">
        <f t="shared" si="6"/>
        <v/>
      </c>
    </row>
    <row r="187" ht="15.75" customHeight="1">
      <c r="A187" s="126"/>
      <c r="B187" s="42"/>
      <c r="C187" s="125"/>
      <c r="D187" s="41"/>
      <c r="E187" s="64"/>
      <c r="F187" s="64"/>
      <c r="G187" s="41"/>
      <c r="H187" s="41"/>
      <c r="I187" s="123"/>
      <c r="J187" s="123"/>
      <c r="K187" s="123"/>
      <c r="L187" s="123"/>
      <c r="M187" s="41"/>
      <c r="N187" s="123"/>
      <c r="O187" s="65"/>
      <c r="P187" s="123"/>
      <c r="Q187" s="123"/>
      <c r="R187" s="123"/>
      <c r="S187" s="42"/>
      <c r="T187" s="42"/>
      <c r="U187" s="40" t="str">
        <f t="shared" si="9"/>
        <v/>
      </c>
      <c r="V187" s="41"/>
      <c r="W187" s="42"/>
      <c r="X187" s="42"/>
      <c r="Y187" s="43"/>
      <c r="Z187" s="44"/>
      <c r="AA187" s="45" t="str">
        <f t="shared" si="2"/>
        <v/>
      </c>
      <c r="AB187" s="42"/>
      <c r="AC187" s="41"/>
      <c r="AD187" s="41"/>
      <c r="AE187" s="46" t="str">
        <f t="shared" si="3"/>
        <v/>
      </c>
      <c r="AF187" s="46" t="str">
        <f t="shared" si="7"/>
        <v/>
      </c>
      <c r="AG187" s="40" t="str">
        <f t="shared" si="4"/>
        <v/>
      </c>
      <c r="AH187" s="40" t="str">
        <f t="shared" si="5"/>
        <v/>
      </c>
      <c r="AI187" s="40" t="str">
        <f t="shared" si="6"/>
        <v/>
      </c>
    </row>
    <row r="188" ht="15.75" customHeight="1">
      <c r="A188" s="126"/>
      <c r="B188" s="42"/>
      <c r="C188" s="125"/>
      <c r="D188" s="41"/>
      <c r="E188" s="64"/>
      <c r="F188" s="64"/>
      <c r="G188" s="41"/>
      <c r="H188" s="41"/>
      <c r="I188" s="123"/>
      <c r="J188" s="123"/>
      <c r="K188" s="123"/>
      <c r="L188" s="123"/>
      <c r="M188" s="41"/>
      <c r="N188" s="123"/>
      <c r="O188" s="65"/>
      <c r="P188" s="123"/>
      <c r="Q188" s="123"/>
      <c r="R188" s="123"/>
      <c r="S188" s="42"/>
      <c r="T188" s="42"/>
      <c r="U188" s="40" t="str">
        <f t="shared" si="9"/>
        <v/>
      </c>
      <c r="V188" s="41"/>
      <c r="W188" s="42"/>
      <c r="X188" s="42"/>
      <c r="Y188" s="43"/>
      <c r="Z188" s="44"/>
      <c r="AA188" s="45" t="str">
        <f t="shared" si="2"/>
        <v/>
      </c>
      <c r="AB188" s="42"/>
      <c r="AC188" s="41"/>
      <c r="AD188" s="41"/>
      <c r="AE188" s="46" t="str">
        <f t="shared" si="3"/>
        <v/>
      </c>
      <c r="AF188" s="46" t="str">
        <f t="shared" si="7"/>
        <v/>
      </c>
      <c r="AG188" s="40" t="str">
        <f t="shared" si="4"/>
        <v/>
      </c>
      <c r="AH188" s="40" t="str">
        <f t="shared" si="5"/>
        <v/>
      </c>
      <c r="AI188" s="40" t="str">
        <f t="shared" si="6"/>
        <v/>
      </c>
    </row>
    <row r="189" ht="15.75" customHeight="1">
      <c r="A189" s="126"/>
      <c r="B189" s="42"/>
      <c r="C189" s="125"/>
      <c r="D189" s="41"/>
      <c r="E189" s="64"/>
      <c r="F189" s="64"/>
      <c r="G189" s="41"/>
      <c r="H189" s="41"/>
      <c r="I189" s="123"/>
      <c r="J189" s="123"/>
      <c r="K189" s="123"/>
      <c r="L189" s="123"/>
      <c r="M189" s="41"/>
      <c r="N189" s="123"/>
      <c r="O189" s="65"/>
      <c r="P189" s="123"/>
      <c r="Q189" s="123"/>
      <c r="R189" s="123"/>
      <c r="S189" s="42"/>
      <c r="T189" s="42"/>
      <c r="U189" s="40" t="str">
        <f t="shared" si="9"/>
        <v/>
      </c>
      <c r="V189" s="41"/>
      <c r="W189" s="42"/>
      <c r="X189" s="42"/>
      <c r="Y189" s="43"/>
      <c r="Z189" s="44"/>
      <c r="AA189" s="45" t="str">
        <f t="shared" si="2"/>
        <v/>
      </c>
      <c r="AB189" s="42"/>
      <c r="AC189" s="41"/>
      <c r="AD189" s="41"/>
      <c r="AE189" s="46" t="str">
        <f t="shared" si="3"/>
        <v/>
      </c>
      <c r="AF189" s="46" t="str">
        <f t="shared" si="7"/>
        <v/>
      </c>
      <c r="AG189" s="40" t="str">
        <f t="shared" si="4"/>
        <v/>
      </c>
      <c r="AH189" s="40" t="str">
        <f t="shared" si="5"/>
        <v/>
      </c>
      <c r="AI189" s="40" t="str">
        <f t="shared" si="6"/>
        <v/>
      </c>
    </row>
    <row r="190" ht="15.75" customHeight="1">
      <c r="A190" s="126"/>
      <c r="B190" s="42"/>
      <c r="C190" s="125"/>
      <c r="D190" s="41"/>
      <c r="E190" s="64"/>
      <c r="F190" s="64"/>
      <c r="G190" s="41"/>
      <c r="H190" s="41"/>
      <c r="I190" s="123"/>
      <c r="J190" s="123"/>
      <c r="K190" s="123"/>
      <c r="L190" s="123"/>
      <c r="M190" s="41"/>
      <c r="N190" s="123"/>
      <c r="O190" s="65"/>
      <c r="P190" s="123"/>
      <c r="Q190" s="123"/>
      <c r="R190" s="123"/>
      <c r="S190" s="42"/>
      <c r="T190" s="42"/>
      <c r="U190" s="40" t="str">
        <f t="shared" si="9"/>
        <v/>
      </c>
      <c r="V190" s="41"/>
      <c r="W190" s="42"/>
      <c r="X190" s="42"/>
      <c r="Y190" s="43"/>
      <c r="Z190" s="44"/>
      <c r="AA190" s="45" t="str">
        <f t="shared" si="2"/>
        <v/>
      </c>
      <c r="AB190" s="42"/>
      <c r="AC190" s="41"/>
      <c r="AD190" s="41"/>
      <c r="AE190" s="46" t="str">
        <f t="shared" si="3"/>
        <v/>
      </c>
      <c r="AF190" s="46" t="str">
        <f t="shared" si="7"/>
        <v/>
      </c>
      <c r="AG190" s="40" t="str">
        <f t="shared" si="4"/>
        <v/>
      </c>
      <c r="AH190" s="40" t="str">
        <f t="shared" si="5"/>
        <v/>
      </c>
      <c r="AI190" s="40" t="str">
        <f t="shared" si="6"/>
        <v/>
      </c>
    </row>
    <row r="191" ht="15.75" customHeight="1">
      <c r="A191" s="126"/>
      <c r="B191" s="42"/>
      <c r="C191" s="125"/>
      <c r="D191" s="41"/>
      <c r="E191" s="64"/>
      <c r="F191" s="64"/>
      <c r="G191" s="41"/>
      <c r="H191" s="41"/>
      <c r="I191" s="123"/>
      <c r="J191" s="123"/>
      <c r="K191" s="123"/>
      <c r="L191" s="123"/>
      <c r="M191" s="41"/>
      <c r="N191" s="123"/>
      <c r="O191" s="65"/>
      <c r="P191" s="123"/>
      <c r="Q191" s="123"/>
      <c r="R191" s="123"/>
      <c r="S191" s="42"/>
      <c r="T191" s="42"/>
      <c r="U191" s="40" t="str">
        <f t="shared" si="9"/>
        <v/>
      </c>
      <c r="V191" s="41"/>
      <c r="W191" s="42"/>
      <c r="X191" s="42"/>
      <c r="Y191" s="43"/>
      <c r="Z191" s="44"/>
      <c r="AA191" s="45" t="str">
        <f t="shared" si="2"/>
        <v/>
      </c>
      <c r="AB191" s="42"/>
      <c r="AC191" s="41"/>
      <c r="AD191" s="41"/>
      <c r="AE191" s="46" t="str">
        <f t="shared" si="3"/>
        <v/>
      </c>
      <c r="AF191" s="46" t="str">
        <f t="shared" si="7"/>
        <v/>
      </c>
      <c r="AG191" s="40" t="str">
        <f t="shared" si="4"/>
        <v/>
      </c>
      <c r="AH191" s="40" t="str">
        <f t="shared" si="5"/>
        <v/>
      </c>
      <c r="AI191" s="40" t="str">
        <f t="shared" si="6"/>
        <v/>
      </c>
    </row>
    <row r="192" ht="15.75" customHeight="1">
      <c r="A192" s="126"/>
      <c r="B192" s="42"/>
      <c r="C192" s="125"/>
      <c r="D192" s="41"/>
      <c r="E192" s="64"/>
      <c r="F192" s="64"/>
      <c r="G192" s="41"/>
      <c r="H192" s="41"/>
      <c r="I192" s="123"/>
      <c r="J192" s="123"/>
      <c r="K192" s="123"/>
      <c r="L192" s="123"/>
      <c r="M192" s="41"/>
      <c r="N192" s="123"/>
      <c r="O192" s="65"/>
      <c r="P192" s="123"/>
      <c r="Q192" s="123"/>
      <c r="R192" s="123"/>
      <c r="S192" s="42"/>
      <c r="T192" s="42"/>
      <c r="U192" s="40" t="str">
        <f t="shared" si="9"/>
        <v/>
      </c>
      <c r="V192" s="41"/>
      <c r="W192" s="42"/>
      <c r="X192" s="42"/>
      <c r="Y192" s="43"/>
      <c r="Z192" s="44"/>
      <c r="AA192" s="45" t="str">
        <f t="shared" si="2"/>
        <v/>
      </c>
      <c r="AB192" s="42"/>
      <c r="AC192" s="41"/>
      <c r="AD192" s="41"/>
      <c r="AE192" s="46" t="str">
        <f t="shared" si="3"/>
        <v/>
      </c>
      <c r="AF192" s="46" t="str">
        <f t="shared" si="7"/>
        <v/>
      </c>
      <c r="AG192" s="40" t="str">
        <f t="shared" si="4"/>
        <v/>
      </c>
      <c r="AH192" s="40" t="str">
        <f t="shared" si="5"/>
        <v/>
      </c>
      <c r="AI192" s="40" t="str">
        <f t="shared" si="6"/>
        <v/>
      </c>
    </row>
    <row r="193" ht="15.75" customHeight="1">
      <c r="A193" s="126"/>
      <c r="B193" s="42"/>
      <c r="C193" s="125"/>
      <c r="D193" s="41"/>
      <c r="E193" s="64"/>
      <c r="F193" s="64"/>
      <c r="G193" s="41"/>
      <c r="H193" s="41"/>
      <c r="I193" s="123"/>
      <c r="J193" s="123"/>
      <c r="K193" s="123"/>
      <c r="L193" s="123"/>
      <c r="M193" s="41"/>
      <c r="N193" s="123"/>
      <c r="O193" s="65"/>
      <c r="P193" s="123"/>
      <c r="Q193" s="123"/>
      <c r="R193" s="123"/>
      <c r="S193" s="42"/>
      <c r="T193" s="42"/>
      <c r="U193" s="40" t="str">
        <f t="shared" si="9"/>
        <v/>
      </c>
      <c r="V193" s="41"/>
      <c r="W193" s="42"/>
      <c r="X193" s="42"/>
      <c r="Y193" s="43"/>
      <c r="Z193" s="44"/>
      <c r="AA193" s="45" t="str">
        <f t="shared" si="2"/>
        <v/>
      </c>
      <c r="AB193" s="42"/>
      <c r="AC193" s="41"/>
      <c r="AD193" s="41"/>
      <c r="AE193" s="46" t="str">
        <f t="shared" si="3"/>
        <v/>
      </c>
      <c r="AF193" s="46" t="str">
        <f t="shared" si="7"/>
        <v/>
      </c>
      <c r="AG193" s="40" t="str">
        <f t="shared" si="4"/>
        <v/>
      </c>
      <c r="AH193" s="40" t="str">
        <f t="shared" si="5"/>
        <v/>
      </c>
      <c r="AI193" s="40" t="str">
        <f t="shared" si="6"/>
        <v/>
      </c>
    </row>
    <row r="194" ht="15.75" customHeight="1">
      <c r="A194" s="126"/>
      <c r="B194" s="42"/>
      <c r="C194" s="125"/>
      <c r="D194" s="41"/>
      <c r="E194" s="64"/>
      <c r="F194" s="64"/>
      <c r="G194" s="41"/>
      <c r="H194" s="41"/>
      <c r="I194" s="123"/>
      <c r="J194" s="123"/>
      <c r="K194" s="123"/>
      <c r="L194" s="123"/>
      <c r="M194" s="41"/>
      <c r="N194" s="123"/>
      <c r="O194" s="65"/>
      <c r="P194" s="123"/>
      <c r="Q194" s="123"/>
      <c r="R194" s="123"/>
      <c r="S194" s="42"/>
      <c r="T194" s="42"/>
      <c r="U194" s="40" t="str">
        <f t="shared" si="9"/>
        <v/>
      </c>
      <c r="V194" s="41"/>
      <c r="W194" s="42"/>
      <c r="X194" s="42"/>
      <c r="Y194" s="43"/>
      <c r="Z194" s="44"/>
      <c r="AA194" s="45" t="str">
        <f t="shared" si="2"/>
        <v/>
      </c>
      <c r="AB194" s="42"/>
      <c r="AC194" s="41"/>
      <c r="AD194" s="41"/>
      <c r="AE194" s="46" t="str">
        <f t="shared" si="3"/>
        <v/>
      </c>
      <c r="AF194" s="46" t="str">
        <f t="shared" si="7"/>
        <v/>
      </c>
      <c r="AG194" s="40" t="str">
        <f t="shared" si="4"/>
        <v/>
      </c>
      <c r="AH194" s="40" t="str">
        <f t="shared" si="5"/>
        <v/>
      </c>
      <c r="AI194" s="40" t="str">
        <f t="shared" si="6"/>
        <v/>
      </c>
    </row>
    <row r="195" ht="15.75" customHeight="1">
      <c r="A195" s="126"/>
      <c r="B195" s="42"/>
      <c r="C195" s="125"/>
      <c r="D195" s="41"/>
      <c r="E195" s="64"/>
      <c r="F195" s="64"/>
      <c r="G195" s="41"/>
      <c r="H195" s="41"/>
      <c r="I195" s="123"/>
      <c r="J195" s="123"/>
      <c r="K195" s="123"/>
      <c r="L195" s="123"/>
      <c r="M195" s="41"/>
      <c r="N195" s="123"/>
      <c r="O195" s="65"/>
      <c r="P195" s="123"/>
      <c r="Q195" s="123"/>
      <c r="R195" s="123"/>
      <c r="S195" s="42"/>
      <c r="T195" s="42"/>
      <c r="U195" s="40" t="str">
        <f t="shared" si="9"/>
        <v/>
      </c>
      <c r="V195" s="41"/>
      <c r="W195" s="42"/>
      <c r="X195" s="42"/>
      <c r="Y195" s="43"/>
      <c r="Z195" s="44"/>
      <c r="AA195" s="45" t="str">
        <f t="shared" si="2"/>
        <v/>
      </c>
      <c r="AB195" s="42"/>
      <c r="AC195" s="41"/>
      <c r="AD195" s="41"/>
      <c r="AE195" s="46" t="str">
        <f t="shared" si="3"/>
        <v/>
      </c>
      <c r="AF195" s="46" t="str">
        <f t="shared" si="7"/>
        <v/>
      </c>
      <c r="AG195" s="40" t="str">
        <f t="shared" si="4"/>
        <v/>
      </c>
      <c r="AH195" s="40" t="str">
        <f t="shared" si="5"/>
        <v/>
      </c>
      <c r="AI195" s="40" t="str">
        <f t="shared" si="6"/>
        <v/>
      </c>
    </row>
    <row r="196" ht="15.75" customHeight="1">
      <c r="A196" s="126"/>
      <c r="B196" s="42"/>
      <c r="C196" s="125"/>
      <c r="D196" s="41"/>
      <c r="E196" s="64"/>
      <c r="F196" s="64"/>
      <c r="G196" s="41"/>
      <c r="H196" s="41"/>
      <c r="I196" s="123"/>
      <c r="J196" s="123"/>
      <c r="K196" s="123"/>
      <c r="L196" s="123"/>
      <c r="M196" s="41"/>
      <c r="N196" s="123"/>
      <c r="O196" s="65"/>
      <c r="P196" s="123"/>
      <c r="Q196" s="123"/>
      <c r="R196" s="123"/>
      <c r="S196" s="42"/>
      <c r="T196" s="42"/>
      <c r="U196" s="40" t="str">
        <f t="shared" si="9"/>
        <v/>
      </c>
      <c r="V196" s="41"/>
      <c r="W196" s="42"/>
      <c r="X196" s="42"/>
      <c r="Y196" s="43"/>
      <c r="Z196" s="44"/>
      <c r="AA196" s="45" t="str">
        <f t="shared" si="2"/>
        <v/>
      </c>
      <c r="AB196" s="42"/>
      <c r="AC196" s="41"/>
      <c r="AD196" s="41"/>
      <c r="AE196" s="46" t="str">
        <f t="shared" si="3"/>
        <v/>
      </c>
      <c r="AF196" s="46" t="str">
        <f t="shared" si="7"/>
        <v/>
      </c>
      <c r="AG196" s="40" t="str">
        <f t="shared" si="4"/>
        <v/>
      </c>
      <c r="AH196" s="40" t="str">
        <f t="shared" si="5"/>
        <v/>
      </c>
      <c r="AI196" s="40" t="str">
        <f t="shared" si="6"/>
        <v/>
      </c>
    </row>
    <row r="197" ht="15.75" customHeight="1">
      <c r="A197" s="126"/>
      <c r="B197" s="42"/>
      <c r="C197" s="125"/>
      <c r="D197" s="41"/>
      <c r="E197" s="64"/>
      <c r="F197" s="64"/>
      <c r="G197" s="41"/>
      <c r="H197" s="41"/>
      <c r="I197" s="123"/>
      <c r="J197" s="123"/>
      <c r="K197" s="123"/>
      <c r="L197" s="123"/>
      <c r="M197" s="41"/>
      <c r="N197" s="123"/>
      <c r="O197" s="65"/>
      <c r="P197" s="123"/>
      <c r="Q197" s="123"/>
      <c r="R197" s="123"/>
      <c r="S197" s="42"/>
      <c r="T197" s="42"/>
      <c r="U197" s="40" t="str">
        <f t="shared" si="9"/>
        <v/>
      </c>
      <c r="V197" s="41"/>
      <c r="W197" s="42"/>
      <c r="X197" s="42"/>
      <c r="Y197" s="43"/>
      <c r="Z197" s="44"/>
      <c r="AA197" s="45" t="str">
        <f t="shared" si="2"/>
        <v/>
      </c>
      <c r="AB197" s="42"/>
      <c r="AC197" s="41"/>
      <c r="AD197" s="41"/>
      <c r="AE197" s="46" t="str">
        <f t="shared" si="3"/>
        <v/>
      </c>
      <c r="AF197" s="46" t="str">
        <f t="shared" si="7"/>
        <v/>
      </c>
      <c r="AG197" s="40" t="str">
        <f t="shared" si="4"/>
        <v/>
      </c>
      <c r="AH197" s="40" t="str">
        <f t="shared" si="5"/>
        <v/>
      </c>
      <c r="AI197" s="40" t="str">
        <f t="shared" si="6"/>
        <v/>
      </c>
    </row>
    <row r="198" ht="15.75" customHeight="1">
      <c r="A198" s="126"/>
      <c r="B198" s="42"/>
      <c r="C198" s="125"/>
      <c r="D198" s="41"/>
      <c r="E198" s="64"/>
      <c r="F198" s="64"/>
      <c r="G198" s="41"/>
      <c r="H198" s="41"/>
      <c r="I198" s="123"/>
      <c r="J198" s="123"/>
      <c r="K198" s="123"/>
      <c r="L198" s="123"/>
      <c r="M198" s="41"/>
      <c r="N198" s="123"/>
      <c r="O198" s="65"/>
      <c r="P198" s="123"/>
      <c r="Q198" s="123"/>
      <c r="R198" s="123"/>
      <c r="S198" s="42"/>
      <c r="T198" s="42"/>
      <c r="U198" s="40" t="str">
        <f t="shared" si="9"/>
        <v/>
      </c>
      <c r="V198" s="41"/>
      <c r="W198" s="42"/>
      <c r="X198" s="42"/>
      <c r="Y198" s="43"/>
      <c r="Z198" s="44"/>
      <c r="AA198" s="45" t="str">
        <f t="shared" si="2"/>
        <v/>
      </c>
      <c r="AB198" s="42"/>
      <c r="AC198" s="41"/>
      <c r="AD198" s="41"/>
      <c r="AE198" s="46" t="str">
        <f t="shared" si="3"/>
        <v/>
      </c>
      <c r="AF198" s="46" t="str">
        <f t="shared" si="7"/>
        <v/>
      </c>
      <c r="AG198" s="40" t="str">
        <f t="shared" si="4"/>
        <v/>
      </c>
      <c r="AH198" s="40" t="str">
        <f t="shared" si="5"/>
        <v/>
      </c>
      <c r="AI198" s="40" t="str">
        <f t="shared" si="6"/>
        <v/>
      </c>
    </row>
    <row r="199" ht="15.75" customHeight="1">
      <c r="A199" s="126"/>
      <c r="B199" s="42"/>
      <c r="C199" s="125"/>
      <c r="D199" s="41"/>
      <c r="E199" s="64"/>
      <c r="F199" s="64"/>
      <c r="G199" s="41"/>
      <c r="H199" s="41"/>
      <c r="I199" s="123"/>
      <c r="J199" s="123"/>
      <c r="K199" s="123"/>
      <c r="L199" s="123"/>
      <c r="M199" s="41"/>
      <c r="N199" s="123"/>
      <c r="O199" s="65"/>
      <c r="P199" s="123"/>
      <c r="Q199" s="123"/>
      <c r="R199" s="123"/>
      <c r="S199" s="42"/>
      <c r="T199" s="42"/>
      <c r="U199" s="40" t="str">
        <f t="shared" si="9"/>
        <v/>
      </c>
      <c r="V199" s="41"/>
      <c r="W199" s="42"/>
      <c r="X199" s="42"/>
      <c r="Y199" s="43"/>
      <c r="Z199" s="44"/>
      <c r="AA199" s="45" t="str">
        <f t="shared" si="2"/>
        <v/>
      </c>
      <c r="AB199" s="42"/>
      <c r="AC199" s="41"/>
      <c r="AD199" s="41"/>
      <c r="AE199" s="46" t="str">
        <f t="shared" si="3"/>
        <v/>
      </c>
      <c r="AF199" s="46" t="str">
        <f t="shared" si="7"/>
        <v/>
      </c>
      <c r="AG199" s="40" t="str">
        <f t="shared" si="4"/>
        <v/>
      </c>
      <c r="AH199" s="40" t="str">
        <f t="shared" si="5"/>
        <v/>
      </c>
      <c r="AI199" s="40" t="str">
        <f t="shared" si="6"/>
        <v/>
      </c>
    </row>
    <row r="200" ht="15.75" customHeight="1">
      <c r="A200" s="126"/>
      <c r="B200" s="42"/>
      <c r="C200" s="125"/>
      <c r="D200" s="41"/>
      <c r="E200" s="64"/>
      <c r="F200" s="64"/>
      <c r="G200" s="41"/>
      <c r="H200" s="41"/>
      <c r="I200" s="123"/>
      <c r="J200" s="123"/>
      <c r="K200" s="123"/>
      <c r="L200" s="123"/>
      <c r="M200" s="41"/>
      <c r="N200" s="123"/>
      <c r="O200" s="65"/>
      <c r="P200" s="123"/>
      <c r="Q200" s="123"/>
      <c r="R200" s="123"/>
      <c r="S200" s="42"/>
      <c r="T200" s="42"/>
      <c r="U200" s="40" t="str">
        <f t="shared" si="9"/>
        <v/>
      </c>
      <c r="V200" s="41"/>
      <c r="W200" s="42"/>
      <c r="X200" s="42"/>
      <c r="Y200" s="43"/>
      <c r="Z200" s="44"/>
      <c r="AA200" s="45" t="str">
        <f t="shared" si="2"/>
        <v/>
      </c>
      <c r="AB200" s="42"/>
      <c r="AC200" s="41"/>
      <c r="AD200" s="41"/>
      <c r="AE200" s="46" t="str">
        <f t="shared" si="3"/>
        <v/>
      </c>
      <c r="AF200" s="46" t="str">
        <f t="shared" si="7"/>
        <v/>
      </c>
      <c r="AG200" s="40" t="str">
        <f t="shared" si="4"/>
        <v/>
      </c>
      <c r="AH200" s="40" t="str">
        <f t="shared" si="5"/>
        <v/>
      </c>
      <c r="AI200" s="40" t="str">
        <f t="shared" si="6"/>
        <v/>
      </c>
    </row>
    <row r="201" ht="15.75" customHeight="1">
      <c r="A201" s="126"/>
      <c r="B201" s="42"/>
      <c r="C201" s="125"/>
      <c r="D201" s="41"/>
      <c r="E201" s="64"/>
      <c r="F201" s="64"/>
      <c r="G201" s="41"/>
      <c r="H201" s="41"/>
      <c r="I201" s="123"/>
      <c r="J201" s="123"/>
      <c r="K201" s="123"/>
      <c r="L201" s="123"/>
      <c r="M201" s="41"/>
      <c r="N201" s="123"/>
      <c r="O201" s="65"/>
      <c r="P201" s="123"/>
      <c r="Q201" s="123"/>
      <c r="R201" s="123"/>
      <c r="S201" s="42"/>
      <c r="T201" s="42"/>
      <c r="U201" s="40" t="str">
        <f t="shared" si="9"/>
        <v/>
      </c>
      <c r="V201" s="41"/>
      <c r="W201" s="42"/>
      <c r="X201" s="42"/>
      <c r="Y201" s="43"/>
      <c r="Z201" s="44"/>
      <c r="AA201" s="45" t="str">
        <f t="shared" si="2"/>
        <v/>
      </c>
      <c r="AB201" s="42"/>
      <c r="AC201" s="41"/>
      <c r="AD201" s="41"/>
      <c r="AE201" s="46" t="str">
        <f t="shared" si="3"/>
        <v/>
      </c>
      <c r="AF201" s="46" t="str">
        <f t="shared" si="7"/>
        <v/>
      </c>
      <c r="AG201" s="40" t="str">
        <f t="shared" si="4"/>
        <v/>
      </c>
      <c r="AH201" s="40" t="str">
        <f t="shared" si="5"/>
        <v/>
      </c>
      <c r="AI201" s="40" t="str">
        <f t="shared" si="6"/>
        <v/>
      </c>
    </row>
    <row r="202" ht="15.75" customHeight="1">
      <c r="A202" s="126"/>
      <c r="B202" s="42"/>
      <c r="C202" s="125"/>
      <c r="D202" s="41"/>
      <c r="E202" s="64"/>
      <c r="F202" s="64"/>
      <c r="G202" s="41"/>
      <c r="H202" s="41"/>
      <c r="I202" s="123"/>
      <c r="J202" s="123"/>
      <c r="K202" s="123"/>
      <c r="L202" s="123"/>
      <c r="M202" s="41"/>
      <c r="N202" s="123"/>
      <c r="O202" s="65"/>
      <c r="P202" s="123"/>
      <c r="Q202" s="123"/>
      <c r="R202" s="123"/>
      <c r="S202" s="42"/>
      <c r="T202" s="42"/>
      <c r="U202" s="40" t="str">
        <f t="shared" si="9"/>
        <v/>
      </c>
      <c r="V202" s="41"/>
      <c r="W202" s="42"/>
      <c r="X202" s="42"/>
      <c r="Y202" s="43"/>
      <c r="Z202" s="44"/>
      <c r="AA202" s="45" t="str">
        <f t="shared" si="2"/>
        <v/>
      </c>
      <c r="AB202" s="42"/>
      <c r="AC202" s="41"/>
      <c r="AD202" s="41"/>
      <c r="AE202" s="46" t="str">
        <f t="shared" si="3"/>
        <v/>
      </c>
      <c r="AF202" s="46" t="str">
        <f t="shared" si="7"/>
        <v/>
      </c>
      <c r="AG202" s="40" t="str">
        <f t="shared" si="4"/>
        <v/>
      </c>
      <c r="AH202" s="40" t="str">
        <f t="shared" si="5"/>
        <v/>
      </c>
      <c r="AI202" s="40" t="str">
        <f t="shared" si="6"/>
        <v/>
      </c>
    </row>
    <row r="203" ht="15.75" customHeight="1">
      <c r="A203" s="126"/>
      <c r="B203" s="42"/>
      <c r="C203" s="125"/>
      <c r="D203" s="41"/>
      <c r="E203" s="64"/>
      <c r="F203" s="64"/>
      <c r="G203" s="41"/>
      <c r="H203" s="41"/>
      <c r="I203" s="123"/>
      <c r="J203" s="123"/>
      <c r="K203" s="123"/>
      <c r="L203" s="123"/>
      <c r="M203" s="41"/>
      <c r="N203" s="123"/>
      <c r="O203" s="65"/>
      <c r="P203" s="123"/>
      <c r="Q203" s="123"/>
      <c r="R203" s="123"/>
      <c r="S203" s="42"/>
      <c r="T203" s="42"/>
      <c r="U203" s="40" t="str">
        <f t="shared" si="9"/>
        <v/>
      </c>
      <c r="V203" s="41"/>
      <c r="W203" s="42"/>
      <c r="X203" s="42"/>
      <c r="Y203" s="43"/>
      <c r="Z203" s="44"/>
      <c r="AA203" s="45" t="str">
        <f t="shared" si="2"/>
        <v/>
      </c>
      <c r="AB203" s="42"/>
      <c r="AC203" s="41"/>
      <c r="AD203" s="41"/>
      <c r="AE203" s="46" t="str">
        <f t="shared" si="3"/>
        <v/>
      </c>
      <c r="AF203" s="46" t="str">
        <f t="shared" si="7"/>
        <v/>
      </c>
      <c r="AG203" s="40" t="str">
        <f t="shared" si="4"/>
        <v/>
      </c>
      <c r="AH203" s="40" t="str">
        <f t="shared" si="5"/>
        <v/>
      </c>
      <c r="AI203" s="40" t="str">
        <f t="shared" si="6"/>
        <v/>
      </c>
    </row>
    <row r="204" ht="15.75" customHeight="1">
      <c r="A204" s="126"/>
      <c r="B204" s="42"/>
      <c r="C204" s="125"/>
      <c r="D204" s="41"/>
      <c r="E204" s="64"/>
      <c r="F204" s="64"/>
      <c r="G204" s="41"/>
      <c r="H204" s="41"/>
      <c r="I204" s="123"/>
      <c r="J204" s="123"/>
      <c r="K204" s="123"/>
      <c r="L204" s="123"/>
      <c r="M204" s="41"/>
      <c r="N204" s="123"/>
      <c r="O204" s="65"/>
      <c r="P204" s="123"/>
      <c r="Q204" s="123"/>
      <c r="R204" s="123"/>
      <c r="S204" s="42"/>
      <c r="T204" s="42"/>
      <c r="U204" s="40" t="str">
        <f t="shared" si="9"/>
        <v/>
      </c>
      <c r="V204" s="41"/>
      <c r="W204" s="42"/>
      <c r="X204" s="42"/>
      <c r="Y204" s="43"/>
      <c r="Z204" s="44"/>
      <c r="AA204" s="45" t="str">
        <f t="shared" si="2"/>
        <v/>
      </c>
      <c r="AB204" s="42"/>
      <c r="AC204" s="41"/>
      <c r="AD204" s="41"/>
      <c r="AE204" s="46" t="str">
        <f t="shared" si="3"/>
        <v/>
      </c>
      <c r="AF204" s="46" t="str">
        <f t="shared" si="7"/>
        <v/>
      </c>
      <c r="AG204" s="40" t="str">
        <f t="shared" si="4"/>
        <v/>
      </c>
      <c r="AH204" s="40" t="str">
        <f t="shared" si="5"/>
        <v/>
      </c>
      <c r="AI204" s="40" t="str">
        <f t="shared" si="6"/>
        <v/>
      </c>
    </row>
    <row r="205" ht="15.75" customHeight="1">
      <c r="A205" s="126"/>
      <c r="B205" s="42"/>
      <c r="C205" s="125"/>
      <c r="D205" s="41"/>
      <c r="E205" s="64"/>
      <c r="F205" s="64"/>
      <c r="G205" s="41"/>
      <c r="H205" s="41"/>
      <c r="I205" s="123"/>
      <c r="J205" s="123"/>
      <c r="K205" s="123"/>
      <c r="L205" s="123"/>
      <c r="M205" s="41"/>
      <c r="N205" s="123"/>
      <c r="O205" s="65"/>
      <c r="P205" s="123"/>
      <c r="Q205" s="123"/>
      <c r="R205" s="123"/>
      <c r="S205" s="42"/>
      <c r="T205" s="42"/>
      <c r="U205" s="40" t="str">
        <f t="shared" si="9"/>
        <v/>
      </c>
      <c r="V205" s="41"/>
      <c r="W205" s="42"/>
      <c r="X205" s="42"/>
      <c r="Y205" s="43"/>
      <c r="Z205" s="44"/>
      <c r="AA205" s="45" t="str">
        <f t="shared" si="2"/>
        <v/>
      </c>
      <c r="AB205" s="42"/>
      <c r="AC205" s="41"/>
      <c r="AD205" s="41"/>
      <c r="AE205" s="46" t="str">
        <f t="shared" si="3"/>
        <v/>
      </c>
      <c r="AF205" s="46" t="str">
        <f t="shared" si="7"/>
        <v/>
      </c>
      <c r="AG205" s="40" t="str">
        <f t="shared" si="4"/>
        <v/>
      </c>
      <c r="AH205" s="40" t="str">
        <f t="shared" si="5"/>
        <v/>
      </c>
      <c r="AI205" s="40" t="str">
        <f t="shared" si="6"/>
        <v/>
      </c>
    </row>
    <row r="206" ht="15.75" customHeight="1">
      <c r="A206" s="126"/>
      <c r="B206" s="42"/>
      <c r="C206" s="125"/>
      <c r="D206" s="41"/>
      <c r="E206" s="64"/>
      <c r="F206" s="64"/>
      <c r="G206" s="41"/>
      <c r="H206" s="41"/>
      <c r="I206" s="123"/>
      <c r="J206" s="123"/>
      <c r="K206" s="123"/>
      <c r="L206" s="123"/>
      <c r="M206" s="41"/>
      <c r="N206" s="123"/>
      <c r="O206" s="65"/>
      <c r="P206" s="123"/>
      <c r="Q206" s="123"/>
      <c r="R206" s="123"/>
      <c r="S206" s="42"/>
      <c r="T206" s="42"/>
      <c r="U206" s="40" t="str">
        <f t="shared" si="9"/>
        <v/>
      </c>
      <c r="V206" s="41"/>
      <c r="W206" s="42"/>
      <c r="X206" s="42"/>
      <c r="Y206" s="43"/>
      <c r="Z206" s="44"/>
      <c r="AA206" s="45" t="str">
        <f t="shared" si="2"/>
        <v/>
      </c>
      <c r="AB206" s="42"/>
      <c r="AC206" s="41"/>
      <c r="AD206" s="41"/>
      <c r="AE206" s="46" t="str">
        <f t="shared" si="3"/>
        <v/>
      </c>
      <c r="AF206" s="46" t="str">
        <f t="shared" si="7"/>
        <v/>
      </c>
      <c r="AG206" s="40" t="str">
        <f t="shared" si="4"/>
        <v/>
      </c>
      <c r="AH206" s="40" t="str">
        <f t="shared" si="5"/>
        <v/>
      </c>
      <c r="AI206" s="40" t="str">
        <f t="shared" si="6"/>
        <v/>
      </c>
    </row>
    <row r="207" ht="15.75" customHeight="1">
      <c r="A207" s="126"/>
      <c r="B207" s="42"/>
      <c r="C207" s="125"/>
      <c r="D207" s="41"/>
      <c r="E207" s="64"/>
      <c r="F207" s="64"/>
      <c r="G207" s="41"/>
      <c r="H207" s="41"/>
      <c r="I207" s="123"/>
      <c r="J207" s="123"/>
      <c r="K207" s="123"/>
      <c r="L207" s="123"/>
      <c r="M207" s="41"/>
      <c r="N207" s="123"/>
      <c r="O207" s="65"/>
      <c r="P207" s="123"/>
      <c r="Q207" s="123"/>
      <c r="R207" s="123"/>
      <c r="S207" s="42"/>
      <c r="T207" s="42"/>
      <c r="U207" s="40" t="str">
        <f t="shared" si="9"/>
        <v/>
      </c>
      <c r="V207" s="41"/>
      <c r="W207" s="42"/>
      <c r="X207" s="42"/>
      <c r="Y207" s="43"/>
      <c r="Z207" s="44"/>
      <c r="AA207" s="45" t="str">
        <f t="shared" si="2"/>
        <v/>
      </c>
      <c r="AB207" s="42"/>
      <c r="AC207" s="41"/>
      <c r="AD207" s="41"/>
      <c r="AE207" s="46" t="str">
        <f t="shared" si="3"/>
        <v/>
      </c>
      <c r="AF207" s="46" t="str">
        <f t="shared" si="7"/>
        <v/>
      </c>
      <c r="AG207" s="40" t="str">
        <f t="shared" si="4"/>
        <v/>
      </c>
      <c r="AH207" s="40" t="str">
        <f t="shared" si="5"/>
        <v/>
      </c>
      <c r="AI207" s="40" t="str">
        <f t="shared" si="6"/>
        <v/>
      </c>
    </row>
    <row r="208" ht="15.75" customHeight="1">
      <c r="A208" s="126"/>
      <c r="B208" s="42"/>
      <c r="C208" s="125"/>
      <c r="D208" s="41"/>
      <c r="E208" s="64"/>
      <c r="F208" s="64"/>
      <c r="G208" s="41"/>
      <c r="H208" s="41"/>
      <c r="I208" s="123"/>
      <c r="J208" s="123"/>
      <c r="K208" s="123"/>
      <c r="L208" s="123"/>
      <c r="M208" s="41"/>
      <c r="N208" s="123"/>
      <c r="O208" s="65"/>
      <c r="P208" s="123"/>
      <c r="Q208" s="123"/>
      <c r="R208" s="123"/>
      <c r="S208" s="42"/>
      <c r="T208" s="42"/>
      <c r="U208" s="40" t="str">
        <f t="shared" si="9"/>
        <v/>
      </c>
      <c r="V208" s="41"/>
      <c r="W208" s="42"/>
      <c r="X208" s="42"/>
      <c r="Y208" s="43"/>
      <c r="Z208" s="44"/>
      <c r="AA208" s="45" t="str">
        <f t="shared" si="2"/>
        <v/>
      </c>
      <c r="AB208" s="42"/>
      <c r="AC208" s="41"/>
      <c r="AD208" s="41"/>
      <c r="AE208" s="46" t="str">
        <f t="shared" si="3"/>
        <v/>
      </c>
      <c r="AF208" s="46" t="str">
        <f t="shared" si="7"/>
        <v/>
      </c>
      <c r="AG208" s="40" t="str">
        <f t="shared" si="4"/>
        <v/>
      </c>
      <c r="AH208" s="40" t="str">
        <f t="shared" si="5"/>
        <v/>
      </c>
      <c r="AI208" s="40" t="str">
        <f t="shared" si="6"/>
        <v/>
      </c>
    </row>
    <row r="209" ht="15.75" customHeight="1">
      <c r="A209" s="126"/>
      <c r="B209" s="42"/>
      <c r="C209" s="125"/>
      <c r="D209" s="41"/>
      <c r="E209" s="64"/>
      <c r="F209" s="64"/>
      <c r="G209" s="41"/>
      <c r="H209" s="41"/>
      <c r="I209" s="123"/>
      <c r="J209" s="123"/>
      <c r="K209" s="123"/>
      <c r="L209" s="123"/>
      <c r="M209" s="41"/>
      <c r="N209" s="123"/>
      <c r="O209" s="65"/>
      <c r="P209" s="123"/>
      <c r="Q209" s="123"/>
      <c r="R209" s="123"/>
      <c r="S209" s="42"/>
      <c r="T209" s="42"/>
      <c r="U209" s="40" t="str">
        <f t="shared" si="9"/>
        <v/>
      </c>
      <c r="V209" s="41"/>
      <c r="W209" s="42"/>
      <c r="X209" s="42"/>
      <c r="Y209" s="43"/>
      <c r="Z209" s="44"/>
      <c r="AA209" s="45" t="str">
        <f t="shared" si="2"/>
        <v/>
      </c>
      <c r="AB209" s="42"/>
      <c r="AC209" s="41"/>
      <c r="AD209" s="41"/>
      <c r="AE209" s="46" t="str">
        <f t="shared" si="3"/>
        <v/>
      </c>
      <c r="AF209" s="46" t="str">
        <f t="shared" si="7"/>
        <v/>
      </c>
      <c r="AG209" s="40" t="str">
        <f t="shared" si="4"/>
        <v/>
      </c>
      <c r="AH209" s="40" t="str">
        <f t="shared" si="5"/>
        <v/>
      </c>
      <c r="AI209" s="40" t="str">
        <f t="shared" si="6"/>
        <v/>
      </c>
    </row>
    <row r="210" ht="15.75" customHeight="1">
      <c r="A210" s="126"/>
      <c r="B210" s="42"/>
      <c r="C210" s="125"/>
      <c r="D210" s="41"/>
      <c r="E210" s="64"/>
      <c r="F210" s="64"/>
      <c r="G210" s="41"/>
      <c r="H210" s="41"/>
      <c r="I210" s="123"/>
      <c r="J210" s="123"/>
      <c r="K210" s="123"/>
      <c r="L210" s="123"/>
      <c r="M210" s="41"/>
      <c r="N210" s="123"/>
      <c r="O210" s="65"/>
      <c r="P210" s="123"/>
      <c r="Q210" s="123"/>
      <c r="R210" s="123"/>
      <c r="S210" s="42"/>
      <c r="T210" s="42"/>
      <c r="U210" s="40" t="str">
        <f t="shared" si="9"/>
        <v/>
      </c>
      <c r="V210" s="41"/>
      <c r="W210" s="42"/>
      <c r="X210" s="42"/>
      <c r="Y210" s="43"/>
      <c r="Z210" s="44"/>
      <c r="AA210" s="45" t="str">
        <f t="shared" si="2"/>
        <v/>
      </c>
      <c r="AB210" s="42"/>
      <c r="AC210" s="41"/>
      <c r="AD210" s="41"/>
      <c r="AE210" s="46" t="str">
        <f t="shared" si="3"/>
        <v/>
      </c>
      <c r="AF210" s="46" t="str">
        <f t="shared" si="7"/>
        <v/>
      </c>
      <c r="AG210" s="40" t="str">
        <f t="shared" si="4"/>
        <v/>
      </c>
      <c r="AH210" s="40" t="str">
        <f t="shared" si="5"/>
        <v/>
      </c>
      <c r="AI210" s="40" t="str">
        <f t="shared" si="6"/>
        <v/>
      </c>
    </row>
    <row r="211" ht="15.75" customHeight="1">
      <c r="A211" s="126"/>
      <c r="B211" s="42"/>
      <c r="C211" s="125"/>
      <c r="D211" s="41"/>
      <c r="E211" s="64"/>
      <c r="F211" s="64"/>
      <c r="G211" s="41"/>
      <c r="H211" s="41"/>
      <c r="I211" s="123"/>
      <c r="J211" s="123"/>
      <c r="K211" s="123"/>
      <c r="L211" s="123"/>
      <c r="M211" s="41"/>
      <c r="N211" s="123"/>
      <c r="O211" s="65"/>
      <c r="P211" s="123"/>
      <c r="Q211" s="123"/>
      <c r="R211" s="123"/>
      <c r="S211" s="42"/>
      <c r="T211" s="42"/>
      <c r="U211" s="40" t="str">
        <f t="shared" si="9"/>
        <v/>
      </c>
      <c r="V211" s="41"/>
      <c r="W211" s="42"/>
      <c r="X211" s="42"/>
      <c r="Y211" s="43"/>
      <c r="Z211" s="44"/>
      <c r="AA211" s="45" t="str">
        <f t="shared" si="2"/>
        <v/>
      </c>
      <c r="AB211" s="42"/>
      <c r="AC211" s="41"/>
      <c r="AD211" s="41"/>
      <c r="AE211" s="46" t="str">
        <f t="shared" si="3"/>
        <v/>
      </c>
      <c r="AF211" s="46" t="str">
        <f t="shared" si="7"/>
        <v/>
      </c>
      <c r="AG211" s="40" t="str">
        <f t="shared" si="4"/>
        <v/>
      </c>
      <c r="AH211" s="40" t="str">
        <f t="shared" si="5"/>
        <v/>
      </c>
      <c r="AI211" s="40" t="str">
        <f t="shared" si="6"/>
        <v/>
      </c>
    </row>
    <row r="212" ht="15.75" customHeight="1">
      <c r="A212" s="126"/>
      <c r="B212" s="42"/>
      <c r="C212" s="125"/>
      <c r="D212" s="41"/>
      <c r="E212" s="64"/>
      <c r="F212" s="64"/>
      <c r="G212" s="41"/>
      <c r="H212" s="41"/>
      <c r="I212" s="123"/>
      <c r="J212" s="123"/>
      <c r="K212" s="123"/>
      <c r="L212" s="123"/>
      <c r="M212" s="41"/>
      <c r="N212" s="123"/>
      <c r="O212" s="65"/>
      <c r="P212" s="123"/>
      <c r="Q212" s="123"/>
      <c r="R212" s="123"/>
      <c r="S212" s="42"/>
      <c r="T212" s="42"/>
      <c r="U212" s="40" t="str">
        <f t="shared" si="9"/>
        <v/>
      </c>
      <c r="V212" s="41"/>
      <c r="W212" s="42"/>
      <c r="X212" s="42"/>
      <c r="Y212" s="43"/>
      <c r="Z212" s="44"/>
      <c r="AA212" s="45" t="str">
        <f t="shared" si="2"/>
        <v/>
      </c>
      <c r="AB212" s="42"/>
      <c r="AC212" s="41"/>
      <c r="AD212" s="41"/>
      <c r="AE212" s="46" t="str">
        <f t="shared" si="3"/>
        <v/>
      </c>
      <c r="AF212" s="46" t="str">
        <f t="shared" si="7"/>
        <v/>
      </c>
      <c r="AG212" s="40" t="str">
        <f t="shared" si="4"/>
        <v/>
      </c>
      <c r="AH212" s="40" t="str">
        <f t="shared" si="5"/>
        <v/>
      </c>
      <c r="AI212" s="40" t="str">
        <f t="shared" si="6"/>
        <v/>
      </c>
    </row>
    <row r="213" ht="15.75" customHeight="1">
      <c r="A213" s="126"/>
      <c r="B213" s="42"/>
      <c r="C213" s="125"/>
      <c r="D213" s="41"/>
      <c r="E213" s="64"/>
      <c r="F213" s="64"/>
      <c r="G213" s="41"/>
      <c r="H213" s="41"/>
      <c r="I213" s="123"/>
      <c r="J213" s="123"/>
      <c r="K213" s="123"/>
      <c r="L213" s="123"/>
      <c r="M213" s="41"/>
      <c r="N213" s="123"/>
      <c r="O213" s="65"/>
      <c r="P213" s="123"/>
      <c r="Q213" s="123"/>
      <c r="R213" s="123"/>
      <c r="S213" s="42"/>
      <c r="T213" s="42"/>
      <c r="U213" s="40" t="str">
        <f t="shared" si="9"/>
        <v/>
      </c>
      <c r="V213" s="41"/>
      <c r="W213" s="42"/>
      <c r="X213" s="42"/>
      <c r="Y213" s="43"/>
      <c r="Z213" s="44"/>
      <c r="AA213" s="45" t="str">
        <f t="shared" si="2"/>
        <v/>
      </c>
      <c r="AB213" s="42"/>
      <c r="AC213" s="41"/>
      <c r="AD213" s="41"/>
      <c r="AE213" s="46" t="str">
        <f t="shared" si="3"/>
        <v/>
      </c>
      <c r="AF213" s="46" t="str">
        <f t="shared" si="7"/>
        <v/>
      </c>
      <c r="AG213" s="40" t="str">
        <f t="shared" si="4"/>
        <v/>
      </c>
      <c r="AH213" s="40" t="str">
        <f t="shared" si="5"/>
        <v/>
      </c>
      <c r="AI213" s="40" t="str">
        <f t="shared" si="6"/>
        <v/>
      </c>
    </row>
    <row r="214" ht="15.75" customHeight="1">
      <c r="A214" s="126"/>
      <c r="B214" s="42"/>
      <c r="C214" s="125"/>
      <c r="D214" s="41"/>
      <c r="E214" s="64"/>
      <c r="F214" s="64"/>
      <c r="G214" s="41"/>
      <c r="H214" s="41"/>
      <c r="I214" s="123"/>
      <c r="J214" s="123"/>
      <c r="K214" s="123"/>
      <c r="L214" s="123"/>
      <c r="M214" s="41"/>
      <c r="N214" s="123"/>
      <c r="O214" s="65"/>
      <c r="P214" s="123"/>
      <c r="Q214" s="123"/>
      <c r="R214" s="123"/>
      <c r="S214" s="42"/>
      <c r="T214" s="42"/>
      <c r="U214" s="40" t="str">
        <f t="shared" si="9"/>
        <v/>
      </c>
      <c r="V214" s="41"/>
      <c r="W214" s="42"/>
      <c r="X214" s="42"/>
      <c r="Y214" s="43"/>
      <c r="Z214" s="44"/>
      <c r="AA214" s="45" t="str">
        <f t="shared" si="2"/>
        <v/>
      </c>
      <c r="AB214" s="42"/>
      <c r="AC214" s="41"/>
      <c r="AD214" s="41"/>
      <c r="AE214" s="46" t="str">
        <f t="shared" si="3"/>
        <v/>
      </c>
      <c r="AF214" s="46" t="str">
        <f t="shared" si="7"/>
        <v/>
      </c>
      <c r="AG214" s="40" t="str">
        <f t="shared" si="4"/>
        <v/>
      </c>
      <c r="AH214" s="40" t="str">
        <f t="shared" si="5"/>
        <v/>
      </c>
      <c r="AI214" s="40" t="str">
        <f t="shared" si="6"/>
        <v/>
      </c>
    </row>
    <row r="215" ht="15.75" customHeight="1">
      <c r="A215" s="126"/>
      <c r="B215" s="42"/>
      <c r="C215" s="125"/>
      <c r="D215" s="41"/>
      <c r="E215" s="64"/>
      <c r="F215" s="64"/>
      <c r="G215" s="41"/>
      <c r="H215" s="41"/>
      <c r="I215" s="123"/>
      <c r="J215" s="123"/>
      <c r="K215" s="123"/>
      <c r="L215" s="123"/>
      <c r="M215" s="41"/>
      <c r="N215" s="123"/>
      <c r="O215" s="65"/>
      <c r="P215" s="123"/>
      <c r="Q215" s="123"/>
      <c r="R215" s="123"/>
      <c r="S215" s="42"/>
      <c r="T215" s="42"/>
      <c r="U215" s="40" t="str">
        <f t="shared" si="9"/>
        <v/>
      </c>
      <c r="V215" s="41"/>
      <c r="W215" s="42"/>
      <c r="X215" s="42"/>
      <c r="Y215" s="43"/>
      <c r="Z215" s="44"/>
      <c r="AA215" s="45" t="str">
        <f t="shared" si="2"/>
        <v/>
      </c>
      <c r="AB215" s="42"/>
      <c r="AC215" s="41"/>
      <c r="AD215" s="41"/>
      <c r="AE215" s="46" t="str">
        <f t="shared" si="3"/>
        <v/>
      </c>
      <c r="AF215" s="46" t="str">
        <f t="shared" si="7"/>
        <v/>
      </c>
      <c r="AG215" s="40" t="str">
        <f t="shared" si="4"/>
        <v/>
      </c>
      <c r="AH215" s="40" t="str">
        <f t="shared" si="5"/>
        <v/>
      </c>
      <c r="AI215" s="40" t="str">
        <f t="shared" si="6"/>
        <v/>
      </c>
    </row>
    <row r="216" ht="15.75" customHeight="1">
      <c r="A216" s="126"/>
      <c r="B216" s="42"/>
      <c r="C216" s="125"/>
      <c r="D216" s="41"/>
      <c r="E216" s="64"/>
      <c r="F216" s="64"/>
      <c r="G216" s="41"/>
      <c r="H216" s="41"/>
      <c r="I216" s="123"/>
      <c r="J216" s="123"/>
      <c r="K216" s="123"/>
      <c r="L216" s="123"/>
      <c r="M216" s="41"/>
      <c r="N216" s="123"/>
      <c r="O216" s="65"/>
      <c r="P216" s="123"/>
      <c r="Q216" s="123"/>
      <c r="R216" s="123"/>
      <c r="S216" s="42"/>
      <c r="T216" s="42"/>
      <c r="U216" s="40" t="str">
        <f t="shared" si="9"/>
        <v/>
      </c>
      <c r="V216" s="41"/>
      <c r="W216" s="42"/>
      <c r="X216" s="42"/>
      <c r="Y216" s="43"/>
      <c r="Z216" s="44"/>
      <c r="AA216" s="45" t="str">
        <f t="shared" si="2"/>
        <v/>
      </c>
      <c r="AB216" s="42"/>
      <c r="AC216" s="41"/>
      <c r="AD216" s="41"/>
      <c r="AE216" s="46" t="str">
        <f t="shared" si="3"/>
        <v/>
      </c>
      <c r="AF216" s="46" t="str">
        <f t="shared" si="7"/>
        <v/>
      </c>
      <c r="AG216" s="40" t="str">
        <f t="shared" si="4"/>
        <v/>
      </c>
      <c r="AH216" s="40" t="str">
        <f t="shared" si="5"/>
        <v/>
      </c>
      <c r="AI216" s="40" t="str">
        <f t="shared" si="6"/>
        <v/>
      </c>
    </row>
    <row r="217" ht="15.75" customHeight="1">
      <c r="A217" s="126"/>
      <c r="B217" s="42"/>
      <c r="C217" s="125"/>
      <c r="D217" s="41"/>
      <c r="E217" s="64"/>
      <c r="F217" s="64"/>
      <c r="G217" s="41"/>
      <c r="H217" s="41"/>
      <c r="I217" s="123"/>
      <c r="J217" s="123"/>
      <c r="K217" s="123"/>
      <c r="L217" s="123"/>
      <c r="M217" s="41"/>
      <c r="N217" s="123"/>
      <c r="O217" s="65"/>
      <c r="P217" s="123"/>
      <c r="Q217" s="123"/>
      <c r="R217" s="123"/>
      <c r="S217" s="42"/>
      <c r="T217" s="42"/>
      <c r="U217" s="40" t="str">
        <f t="shared" si="9"/>
        <v/>
      </c>
      <c r="V217" s="41"/>
      <c r="W217" s="42"/>
      <c r="X217" s="42"/>
      <c r="Y217" s="43"/>
      <c r="Z217" s="44"/>
      <c r="AA217" s="45" t="str">
        <f t="shared" si="2"/>
        <v/>
      </c>
      <c r="AB217" s="42"/>
      <c r="AC217" s="41"/>
      <c r="AD217" s="41"/>
      <c r="AE217" s="46" t="str">
        <f t="shared" si="3"/>
        <v/>
      </c>
      <c r="AF217" s="46" t="str">
        <f t="shared" si="7"/>
        <v/>
      </c>
      <c r="AG217" s="40" t="str">
        <f t="shared" si="4"/>
        <v/>
      </c>
      <c r="AH217" s="40" t="str">
        <f t="shared" si="5"/>
        <v/>
      </c>
      <c r="AI217" s="40" t="str">
        <f t="shared" si="6"/>
        <v/>
      </c>
    </row>
    <row r="218" ht="15.75" customHeight="1">
      <c r="A218" s="126"/>
      <c r="B218" s="42"/>
      <c r="C218" s="125"/>
      <c r="D218" s="41"/>
      <c r="E218" s="64"/>
      <c r="F218" s="64"/>
      <c r="G218" s="41"/>
      <c r="H218" s="41"/>
      <c r="I218" s="123"/>
      <c r="J218" s="123"/>
      <c r="K218" s="123"/>
      <c r="L218" s="123"/>
      <c r="M218" s="41"/>
      <c r="N218" s="123"/>
      <c r="O218" s="65"/>
      <c r="P218" s="123"/>
      <c r="Q218" s="123"/>
      <c r="R218" s="123"/>
      <c r="S218" s="42"/>
      <c r="T218" s="42"/>
      <c r="U218" s="40" t="str">
        <f t="shared" si="9"/>
        <v/>
      </c>
      <c r="V218" s="41"/>
      <c r="W218" s="42"/>
      <c r="X218" s="42"/>
      <c r="Y218" s="43"/>
      <c r="Z218" s="44"/>
      <c r="AA218" s="45" t="str">
        <f t="shared" si="2"/>
        <v/>
      </c>
      <c r="AB218" s="42"/>
      <c r="AC218" s="41"/>
      <c r="AD218" s="41"/>
      <c r="AE218" s="46" t="str">
        <f t="shared" si="3"/>
        <v/>
      </c>
      <c r="AF218" s="46" t="str">
        <f t="shared" si="7"/>
        <v/>
      </c>
      <c r="AG218" s="40" t="str">
        <f t="shared" si="4"/>
        <v/>
      </c>
      <c r="AH218" s="40" t="str">
        <f t="shared" si="5"/>
        <v/>
      </c>
      <c r="AI218" s="40" t="str">
        <f t="shared" si="6"/>
        <v/>
      </c>
    </row>
    <row r="219" ht="15.75" customHeight="1">
      <c r="A219" s="126"/>
      <c r="B219" s="42"/>
      <c r="C219" s="125"/>
      <c r="D219" s="41"/>
      <c r="E219" s="64"/>
      <c r="F219" s="64"/>
      <c r="G219" s="41"/>
      <c r="H219" s="41"/>
      <c r="I219" s="123"/>
      <c r="J219" s="123"/>
      <c r="K219" s="123"/>
      <c r="L219" s="123"/>
      <c r="M219" s="41"/>
      <c r="N219" s="123"/>
      <c r="O219" s="65"/>
      <c r="P219" s="123"/>
      <c r="Q219" s="123"/>
      <c r="R219" s="123"/>
      <c r="S219" s="42"/>
      <c r="T219" s="42"/>
      <c r="U219" s="40" t="str">
        <f t="shared" si="9"/>
        <v/>
      </c>
      <c r="V219" s="41"/>
      <c r="W219" s="42"/>
      <c r="X219" s="42"/>
      <c r="Y219" s="43"/>
      <c r="Z219" s="44"/>
      <c r="AA219" s="45" t="str">
        <f t="shared" si="2"/>
        <v/>
      </c>
      <c r="AB219" s="42"/>
      <c r="AC219" s="41"/>
      <c r="AD219" s="41"/>
      <c r="AE219" s="46" t="str">
        <f t="shared" si="3"/>
        <v/>
      </c>
      <c r="AF219" s="46" t="str">
        <f t="shared" si="7"/>
        <v/>
      </c>
      <c r="AG219" s="40" t="str">
        <f t="shared" si="4"/>
        <v/>
      </c>
      <c r="AH219" s="40" t="str">
        <f t="shared" si="5"/>
        <v/>
      </c>
      <c r="AI219" s="40" t="str">
        <f t="shared" si="6"/>
        <v/>
      </c>
    </row>
    <row r="220" ht="15.75" customHeight="1">
      <c r="A220" s="126"/>
      <c r="B220" s="42"/>
      <c r="C220" s="125"/>
      <c r="D220" s="41"/>
      <c r="E220" s="64"/>
      <c r="F220" s="64"/>
      <c r="G220" s="41"/>
      <c r="H220" s="41"/>
      <c r="I220" s="123"/>
      <c r="J220" s="123"/>
      <c r="K220" s="123"/>
      <c r="L220" s="123"/>
      <c r="M220" s="41"/>
      <c r="N220" s="123"/>
      <c r="O220" s="65"/>
      <c r="P220" s="123"/>
      <c r="Q220" s="123"/>
      <c r="R220" s="123"/>
      <c r="S220" s="42"/>
      <c r="T220" s="42"/>
      <c r="U220" s="40" t="str">
        <f t="shared" si="9"/>
        <v/>
      </c>
      <c r="V220" s="41"/>
      <c r="W220" s="42"/>
      <c r="X220" s="42"/>
      <c r="Y220" s="43"/>
      <c r="Z220" s="44"/>
      <c r="AA220" s="45" t="str">
        <f t="shared" si="2"/>
        <v/>
      </c>
      <c r="AB220" s="42"/>
      <c r="AC220" s="41"/>
      <c r="AD220" s="41"/>
      <c r="AE220" s="46" t="str">
        <f t="shared" si="3"/>
        <v/>
      </c>
      <c r="AF220" s="46" t="str">
        <f t="shared" si="7"/>
        <v/>
      </c>
      <c r="AG220" s="40" t="str">
        <f t="shared" si="4"/>
        <v/>
      </c>
      <c r="AH220" s="40" t="str">
        <f t="shared" si="5"/>
        <v/>
      </c>
      <c r="AI220" s="40" t="str">
        <f t="shared" si="6"/>
        <v/>
      </c>
    </row>
    <row r="221" ht="15.75" customHeight="1">
      <c r="A221" s="126"/>
      <c r="B221" s="42"/>
      <c r="C221" s="125"/>
      <c r="D221" s="41"/>
      <c r="E221" s="64"/>
      <c r="F221" s="64"/>
      <c r="G221" s="41"/>
      <c r="H221" s="41"/>
      <c r="I221" s="123"/>
      <c r="J221" s="123"/>
      <c r="K221" s="123"/>
      <c r="L221" s="123"/>
      <c r="M221" s="41"/>
      <c r="N221" s="123"/>
      <c r="O221" s="65"/>
      <c r="P221" s="123"/>
      <c r="Q221" s="123"/>
      <c r="R221" s="123"/>
      <c r="S221" s="42"/>
      <c r="T221" s="42"/>
      <c r="U221" s="40" t="str">
        <f t="shared" si="9"/>
        <v/>
      </c>
      <c r="V221" s="41"/>
      <c r="W221" s="42"/>
      <c r="X221" s="42"/>
      <c r="Y221" s="43"/>
      <c r="Z221" s="44"/>
      <c r="AA221" s="45" t="str">
        <f t="shared" si="2"/>
        <v/>
      </c>
      <c r="AB221" s="42"/>
      <c r="AC221" s="41"/>
      <c r="AD221" s="41"/>
      <c r="AE221" s="46" t="str">
        <f t="shared" si="3"/>
        <v/>
      </c>
      <c r="AF221" s="46" t="str">
        <f t="shared" si="7"/>
        <v/>
      </c>
      <c r="AG221" s="40" t="str">
        <f t="shared" si="4"/>
        <v/>
      </c>
      <c r="AH221" s="40" t="str">
        <f t="shared" si="5"/>
        <v/>
      </c>
      <c r="AI221" s="40" t="str">
        <f t="shared" si="6"/>
        <v/>
      </c>
    </row>
    <row r="222" ht="15.75" customHeight="1">
      <c r="A222" s="126"/>
      <c r="B222" s="42"/>
      <c r="C222" s="125"/>
      <c r="D222" s="41"/>
      <c r="E222" s="64"/>
      <c r="F222" s="64"/>
      <c r="G222" s="41"/>
      <c r="H222" s="41"/>
      <c r="I222" s="123"/>
      <c r="J222" s="123"/>
      <c r="K222" s="123"/>
      <c r="L222" s="123"/>
      <c r="M222" s="41"/>
      <c r="N222" s="123"/>
      <c r="O222" s="65"/>
      <c r="P222" s="123"/>
      <c r="Q222" s="123"/>
      <c r="R222" s="123"/>
      <c r="S222" s="42"/>
      <c r="T222" s="42"/>
      <c r="U222" s="40" t="str">
        <f t="shared" si="9"/>
        <v/>
      </c>
      <c r="V222" s="41"/>
      <c r="W222" s="42"/>
      <c r="X222" s="42"/>
      <c r="Y222" s="43"/>
      <c r="Z222" s="44"/>
      <c r="AA222" s="45" t="str">
        <f t="shared" si="2"/>
        <v/>
      </c>
      <c r="AB222" s="42"/>
      <c r="AC222" s="41"/>
      <c r="AD222" s="41"/>
      <c r="AE222" s="46" t="str">
        <f t="shared" si="3"/>
        <v/>
      </c>
      <c r="AF222" s="46" t="str">
        <f t="shared" si="7"/>
        <v/>
      </c>
      <c r="AG222" s="40" t="str">
        <f t="shared" si="4"/>
        <v/>
      </c>
      <c r="AH222" s="40" t="str">
        <f t="shared" si="5"/>
        <v/>
      </c>
      <c r="AI222" s="40" t="str">
        <f t="shared" si="6"/>
        <v/>
      </c>
    </row>
    <row r="223" ht="15.75" customHeight="1">
      <c r="A223" s="126"/>
      <c r="B223" s="42"/>
      <c r="C223" s="125"/>
      <c r="D223" s="41"/>
      <c r="E223" s="64"/>
      <c r="F223" s="64"/>
      <c r="G223" s="41"/>
      <c r="H223" s="41"/>
      <c r="I223" s="123"/>
      <c r="J223" s="123"/>
      <c r="K223" s="123"/>
      <c r="L223" s="123"/>
      <c r="M223" s="41"/>
      <c r="N223" s="123"/>
      <c r="O223" s="65"/>
      <c r="P223" s="123"/>
      <c r="Q223" s="123"/>
      <c r="R223" s="123"/>
      <c r="S223" s="42"/>
      <c r="T223" s="42"/>
      <c r="U223" s="40" t="str">
        <f t="shared" si="9"/>
        <v/>
      </c>
      <c r="V223" s="41"/>
      <c r="W223" s="42"/>
      <c r="X223" s="42"/>
      <c r="Y223" s="43"/>
      <c r="Z223" s="44"/>
      <c r="AA223" s="45" t="str">
        <f t="shared" si="2"/>
        <v/>
      </c>
      <c r="AB223" s="42"/>
      <c r="AC223" s="41"/>
      <c r="AD223" s="41"/>
      <c r="AE223" s="46" t="str">
        <f t="shared" si="3"/>
        <v/>
      </c>
      <c r="AF223" s="46" t="str">
        <f t="shared" si="7"/>
        <v/>
      </c>
      <c r="AG223" s="40" t="str">
        <f t="shared" si="4"/>
        <v/>
      </c>
      <c r="AH223" s="40" t="str">
        <f t="shared" si="5"/>
        <v/>
      </c>
      <c r="AI223" s="40" t="str">
        <f t="shared" si="6"/>
        <v/>
      </c>
    </row>
    <row r="224" ht="15.75" customHeight="1">
      <c r="A224" s="126"/>
      <c r="B224" s="42"/>
      <c r="C224" s="125"/>
      <c r="D224" s="41"/>
      <c r="E224" s="64"/>
      <c r="F224" s="64"/>
      <c r="G224" s="41"/>
      <c r="H224" s="41"/>
      <c r="I224" s="123"/>
      <c r="J224" s="123"/>
      <c r="K224" s="123"/>
      <c r="L224" s="123"/>
      <c r="M224" s="41"/>
      <c r="N224" s="123"/>
      <c r="O224" s="65"/>
      <c r="P224" s="123"/>
      <c r="Q224" s="123"/>
      <c r="R224" s="123"/>
      <c r="S224" s="42"/>
      <c r="T224" s="42"/>
      <c r="U224" s="40" t="str">
        <f t="shared" si="9"/>
        <v/>
      </c>
      <c r="V224" s="41"/>
      <c r="W224" s="42"/>
      <c r="X224" s="42"/>
      <c r="Y224" s="43"/>
      <c r="Z224" s="44"/>
      <c r="AA224" s="45" t="str">
        <f t="shared" si="2"/>
        <v/>
      </c>
      <c r="AB224" s="42"/>
      <c r="AC224" s="41"/>
      <c r="AD224" s="41"/>
      <c r="AE224" s="46" t="str">
        <f t="shared" si="3"/>
        <v/>
      </c>
      <c r="AF224" s="46" t="str">
        <f t="shared" si="7"/>
        <v/>
      </c>
      <c r="AG224" s="40" t="str">
        <f t="shared" si="4"/>
        <v/>
      </c>
      <c r="AH224" s="40" t="str">
        <f t="shared" si="5"/>
        <v/>
      </c>
      <c r="AI224" s="40" t="str">
        <f t="shared" si="6"/>
        <v/>
      </c>
    </row>
    <row r="225" ht="15.75" customHeight="1">
      <c r="A225" s="126"/>
      <c r="B225" s="42"/>
      <c r="C225" s="125"/>
      <c r="D225" s="41"/>
      <c r="E225" s="64"/>
      <c r="F225" s="64"/>
      <c r="G225" s="41"/>
      <c r="H225" s="41"/>
      <c r="I225" s="123"/>
      <c r="J225" s="123"/>
      <c r="K225" s="123"/>
      <c r="L225" s="123"/>
      <c r="M225" s="41"/>
      <c r="N225" s="123"/>
      <c r="O225" s="65"/>
      <c r="P225" s="123"/>
      <c r="Q225" s="123"/>
      <c r="R225" s="123"/>
      <c r="S225" s="42"/>
      <c r="T225" s="42"/>
      <c r="U225" s="40" t="str">
        <f t="shared" si="9"/>
        <v/>
      </c>
      <c r="V225" s="41"/>
      <c r="W225" s="42"/>
      <c r="X225" s="42"/>
      <c r="Y225" s="43"/>
      <c r="Z225" s="44"/>
      <c r="AA225" s="45" t="str">
        <f t="shared" si="2"/>
        <v/>
      </c>
      <c r="AB225" s="42"/>
      <c r="AC225" s="41"/>
      <c r="AD225" s="41"/>
      <c r="AE225" s="46" t="str">
        <f t="shared" si="3"/>
        <v/>
      </c>
      <c r="AF225" s="46" t="str">
        <f t="shared" si="7"/>
        <v/>
      </c>
      <c r="AG225" s="40" t="str">
        <f t="shared" si="4"/>
        <v/>
      </c>
      <c r="AH225" s="40" t="str">
        <f t="shared" si="5"/>
        <v/>
      </c>
      <c r="AI225" s="40" t="str">
        <f t="shared" si="6"/>
        <v/>
      </c>
    </row>
    <row r="226" ht="15.75" customHeight="1">
      <c r="A226" s="126"/>
      <c r="B226" s="42"/>
      <c r="C226" s="125"/>
      <c r="D226" s="41"/>
      <c r="E226" s="64"/>
      <c r="F226" s="64"/>
      <c r="G226" s="41"/>
      <c r="H226" s="41"/>
      <c r="I226" s="123"/>
      <c r="J226" s="123"/>
      <c r="K226" s="123"/>
      <c r="L226" s="123"/>
      <c r="M226" s="41"/>
      <c r="N226" s="123"/>
      <c r="O226" s="65"/>
      <c r="P226" s="123"/>
      <c r="Q226" s="123"/>
      <c r="R226" s="123"/>
      <c r="S226" s="42"/>
      <c r="T226" s="42"/>
      <c r="U226" s="40" t="str">
        <f t="shared" si="9"/>
        <v/>
      </c>
      <c r="V226" s="41"/>
      <c r="W226" s="42"/>
      <c r="X226" s="42"/>
      <c r="Y226" s="43"/>
      <c r="Z226" s="44"/>
      <c r="AA226" s="45" t="str">
        <f t="shared" si="2"/>
        <v/>
      </c>
      <c r="AB226" s="42"/>
      <c r="AC226" s="41"/>
      <c r="AD226" s="41"/>
      <c r="AE226" s="46" t="str">
        <f t="shared" si="3"/>
        <v/>
      </c>
      <c r="AF226" s="46" t="str">
        <f t="shared" si="7"/>
        <v/>
      </c>
      <c r="AG226" s="40" t="str">
        <f t="shared" si="4"/>
        <v/>
      </c>
      <c r="AH226" s="40" t="str">
        <f t="shared" si="5"/>
        <v/>
      </c>
      <c r="AI226" s="40" t="str">
        <f t="shared" si="6"/>
        <v/>
      </c>
    </row>
    <row r="227" ht="15.75" customHeight="1">
      <c r="A227" s="126"/>
      <c r="B227" s="42"/>
      <c r="C227" s="125"/>
      <c r="D227" s="41"/>
      <c r="E227" s="64"/>
      <c r="F227" s="64"/>
      <c r="G227" s="41"/>
      <c r="H227" s="41"/>
      <c r="I227" s="123"/>
      <c r="J227" s="123"/>
      <c r="K227" s="123"/>
      <c r="L227" s="123"/>
      <c r="M227" s="41"/>
      <c r="N227" s="123"/>
      <c r="O227" s="65"/>
      <c r="P227" s="123"/>
      <c r="Q227" s="123"/>
      <c r="R227" s="123"/>
      <c r="S227" s="42"/>
      <c r="T227" s="42"/>
      <c r="U227" s="40" t="str">
        <f t="shared" si="9"/>
        <v/>
      </c>
      <c r="V227" s="41"/>
      <c r="W227" s="42"/>
      <c r="X227" s="42"/>
      <c r="Y227" s="43"/>
      <c r="Z227" s="44"/>
      <c r="AA227" s="45" t="str">
        <f t="shared" si="2"/>
        <v/>
      </c>
      <c r="AB227" s="42"/>
      <c r="AC227" s="41"/>
      <c r="AD227" s="41"/>
      <c r="AE227" s="46" t="str">
        <f t="shared" si="3"/>
        <v/>
      </c>
      <c r="AF227" s="46" t="str">
        <f t="shared" si="7"/>
        <v/>
      </c>
      <c r="AG227" s="40" t="str">
        <f t="shared" si="4"/>
        <v/>
      </c>
      <c r="AH227" s="40" t="str">
        <f t="shared" si="5"/>
        <v/>
      </c>
      <c r="AI227" s="40" t="str">
        <f t="shared" si="6"/>
        <v/>
      </c>
    </row>
    <row r="228" ht="15.75" customHeight="1">
      <c r="A228" s="126"/>
      <c r="B228" s="42"/>
      <c r="C228" s="125"/>
      <c r="D228" s="41"/>
      <c r="E228" s="64"/>
      <c r="F228" s="64"/>
      <c r="G228" s="41"/>
      <c r="H228" s="41"/>
      <c r="I228" s="123"/>
      <c r="J228" s="123"/>
      <c r="K228" s="123"/>
      <c r="L228" s="123"/>
      <c r="M228" s="41"/>
      <c r="N228" s="123"/>
      <c r="O228" s="65"/>
      <c r="P228" s="123"/>
      <c r="Q228" s="123"/>
      <c r="R228" s="123"/>
      <c r="S228" s="42"/>
      <c r="T228" s="42"/>
      <c r="U228" s="40" t="str">
        <f t="shared" si="9"/>
        <v/>
      </c>
      <c r="V228" s="41"/>
      <c r="W228" s="42"/>
      <c r="X228" s="42"/>
      <c r="Y228" s="43"/>
      <c r="Z228" s="44"/>
      <c r="AA228" s="45" t="str">
        <f t="shared" si="2"/>
        <v/>
      </c>
      <c r="AB228" s="42"/>
      <c r="AC228" s="41"/>
      <c r="AD228" s="41"/>
      <c r="AE228" s="46" t="str">
        <f t="shared" si="3"/>
        <v/>
      </c>
      <c r="AF228" s="46" t="str">
        <f t="shared" si="7"/>
        <v/>
      </c>
      <c r="AG228" s="40" t="str">
        <f t="shared" si="4"/>
        <v/>
      </c>
      <c r="AH228" s="40" t="str">
        <f t="shared" si="5"/>
        <v/>
      </c>
      <c r="AI228" s="40" t="str">
        <f t="shared" si="6"/>
        <v/>
      </c>
    </row>
    <row r="229" ht="15.75" customHeight="1">
      <c r="A229" s="126"/>
      <c r="B229" s="42"/>
      <c r="C229" s="125"/>
      <c r="D229" s="41"/>
      <c r="E229" s="64"/>
      <c r="F229" s="64"/>
      <c r="G229" s="41"/>
      <c r="H229" s="41"/>
      <c r="I229" s="123"/>
      <c r="J229" s="123"/>
      <c r="K229" s="123"/>
      <c r="L229" s="123"/>
      <c r="M229" s="41"/>
      <c r="N229" s="123"/>
      <c r="O229" s="65"/>
      <c r="P229" s="123"/>
      <c r="Q229" s="123"/>
      <c r="R229" s="123"/>
      <c r="S229" s="42"/>
      <c r="T229" s="42"/>
      <c r="U229" s="40" t="str">
        <f t="shared" si="9"/>
        <v/>
      </c>
      <c r="V229" s="41"/>
      <c r="W229" s="42"/>
      <c r="X229" s="42"/>
      <c r="Y229" s="43"/>
      <c r="Z229" s="44"/>
      <c r="AA229" s="45" t="str">
        <f t="shared" si="2"/>
        <v/>
      </c>
      <c r="AB229" s="42"/>
      <c r="AC229" s="41"/>
      <c r="AD229" s="41"/>
      <c r="AE229" s="46" t="str">
        <f t="shared" si="3"/>
        <v/>
      </c>
      <c r="AF229" s="46" t="str">
        <f t="shared" si="7"/>
        <v/>
      </c>
      <c r="AG229" s="40" t="str">
        <f t="shared" si="4"/>
        <v/>
      </c>
      <c r="AH229" s="40" t="str">
        <f t="shared" si="5"/>
        <v/>
      </c>
      <c r="AI229" s="40" t="str">
        <f t="shared" si="6"/>
        <v/>
      </c>
    </row>
    <row r="230" ht="15.75" customHeight="1">
      <c r="A230" s="126"/>
      <c r="B230" s="42"/>
      <c r="C230" s="125"/>
      <c r="D230" s="41"/>
      <c r="E230" s="64"/>
      <c r="F230" s="64"/>
      <c r="G230" s="41"/>
      <c r="H230" s="41"/>
      <c r="I230" s="123"/>
      <c r="J230" s="123"/>
      <c r="K230" s="123"/>
      <c r="L230" s="123"/>
      <c r="M230" s="41"/>
      <c r="N230" s="123"/>
      <c r="O230" s="65"/>
      <c r="P230" s="123"/>
      <c r="Q230" s="123"/>
      <c r="R230" s="123"/>
      <c r="S230" s="42"/>
      <c r="T230" s="42"/>
      <c r="U230" s="40" t="str">
        <f t="shared" si="9"/>
        <v/>
      </c>
      <c r="V230" s="41"/>
      <c r="W230" s="42"/>
      <c r="X230" s="42"/>
      <c r="Y230" s="43"/>
      <c r="Z230" s="44"/>
      <c r="AA230" s="45" t="str">
        <f t="shared" si="2"/>
        <v/>
      </c>
      <c r="AB230" s="42"/>
      <c r="AC230" s="41"/>
      <c r="AD230" s="41"/>
      <c r="AE230" s="46" t="str">
        <f t="shared" si="3"/>
        <v/>
      </c>
      <c r="AF230" s="46" t="str">
        <f t="shared" si="7"/>
        <v/>
      </c>
      <c r="AG230" s="40" t="str">
        <f t="shared" si="4"/>
        <v/>
      </c>
      <c r="AH230" s="40" t="str">
        <f t="shared" si="5"/>
        <v/>
      </c>
      <c r="AI230" s="40" t="str">
        <f t="shared" si="6"/>
        <v/>
      </c>
    </row>
    <row r="231" ht="15.75" customHeight="1">
      <c r="A231" s="126"/>
      <c r="B231" s="42"/>
      <c r="C231" s="125"/>
      <c r="D231" s="41"/>
      <c r="E231" s="64"/>
      <c r="F231" s="64"/>
      <c r="G231" s="41"/>
      <c r="H231" s="41"/>
      <c r="I231" s="123"/>
      <c r="J231" s="123"/>
      <c r="K231" s="123"/>
      <c r="L231" s="123"/>
      <c r="M231" s="41"/>
      <c r="N231" s="123"/>
      <c r="O231" s="65"/>
      <c r="P231" s="123"/>
      <c r="Q231" s="123"/>
      <c r="R231" s="123"/>
      <c r="S231" s="42"/>
      <c r="T231" s="42"/>
      <c r="U231" s="40" t="str">
        <f t="shared" si="9"/>
        <v/>
      </c>
      <c r="V231" s="41"/>
      <c r="W231" s="42"/>
      <c r="X231" s="42"/>
      <c r="Y231" s="43"/>
      <c r="Z231" s="44"/>
      <c r="AA231" s="45" t="str">
        <f t="shared" si="2"/>
        <v/>
      </c>
      <c r="AB231" s="42"/>
      <c r="AC231" s="41"/>
      <c r="AD231" s="41"/>
      <c r="AE231" s="46" t="str">
        <f t="shared" si="3"/>
        <v/>
      </c>
      <c r="AF231" s="46" t="str">
        <f t="shared" si="7"/>
        <v/>
      </c>
      <c r="AG231" s="40" t="str">
        <f t="shared" si="4"/>
        <v/>
      </c>
      <c r="AH231" s="40" t="str">
        <f t="shared" si="5"/>
        <v/>
      </c>
      <c r="AI231" s="40" t="str">
        <f t="shared" si="6"/>
        <v/>
      </c>
    </row>
    <row r="232" ht="15.75" customHeight="1">
      <c r="A232" s="126"/>
      <c r="B232" s="42"/>
      <c r="C232" s="125"/>
      <c r="D232" s="41"/>
      <c r="E232" s="64"/>
      <c r="F232" s="64"/>
      <c r="G232" s="41"/>
      <c r="H232" s="41"/>
      <c r="I232" s="123"/>
      <c r="J232" s="123"/>
      <c r="K232" s="123"/>
      <c r="L232" s="123"/>
      <c r="M232" s="41"/>
      <c r="N232" s="123"/>
      <c r="O232" s="65"/>
      <c r="P232" s="123"/>
      <c r="Q232" s="123"/>
      <c r="R232" s="123"/>
      <c r="S232" s="42"/>
      <c r="T232" s="42"/>
      <c r="U232" s="40" t="str">
        <f t="shared" si="9"/>
        <v/>
      </c>
      <c r="V232" s="41"/>
      <c r="W232" s="42"/>
      <c r="X232" s="42"/>
      <c r="Y232" s="43"/>
      <c r="Z232" s="44"/>
      <c r="AA232" s="45" t="str">
        <f t="shared" si="2"/>
        <v/>
      </c>
      <c r="AB232" s="42"/>
      <c r="AC232" s="41"/>
      <c r="AD232" s="41"/>
      <c r="AE232" s="46" t="str">
        <f t="shared" si="3"/>
        <v/>
      </c>
      <c r="AF232" s="46" t="str">
        <f t="shared" si="7"/>
        <v/>
      </c>
      <c r="AG232" s="40" t="str">
        <f t="shared" si="4"/>
        <v/>
      </c>
      <c r="AH232" s="40" t="str">
        <f t="shared" si="5"/>
        <v/>
      </c>
      <c r="AI232" s="40" t="str">
        <f t="shared" si="6"/>
        <v/>
      </c>
    </row>
    <row r="233" ht="15.75" customHeight="1">
      <c r="A233" s="126"/>
      <c r="B233" s="42"/>
      <c r="C233" s="125"/>
      <c r="D233" s="41"/>
      <c r="E233" s="64"/>
      <c r="F233" s="64"/>
      <c r="G233" s="41"/>
      <c r="H233" s="41"/>
      <c r="I233" s="123"/>
      <c r="J233" s="123"/>
      <c r="K233" s="123"/>
      <c r="L233" s="123"/>
      <c r="M233" s="41"/>
      <c r="N233" s="123"/>
      <c r="O233" s="65"/>
      <c r="P233" s="123"/>
      <c r="Q233" s="123"/>
      <c r="R233" s="123"/>
      <c r="S233" s="42"/>
      <c r="T233" s="42"/>
      <c r="U233" s="40" t="str">
        <f t="shared" si="9"/>
        <v/>
      </c>
      <c r="V233" s="41"/>
      <c r="W233" s="42"/>
      <c r="X233" s="42"/>
      <c r="Y233" s="43"/>
      <c r="Z233" s="44"/>
      <c r="AA233" s="45" t="str">
        <f t="shared" si="2"/>
        <v/>
      </c>
      <c r="AB233" s="42"/>
      <c r="AC233" s="41"/>
      <c r="AD233" s="41"/>
      <c r="AE233" s="46" t="str">
        <f t="shared" si="3"/>
        <v/>
      </c>
      <c r="AF233" s="46" t="str">
        <f t="shared" si="7"/>
        <v/>
      </c>
      <c r="AG233" s="40" t="str">
        <f t="shared" si="4"/>
        <v/>
      </c>
      <c r="AH233" s="40" t="str">
        <f t="shared" si="5"/>
        <v/>
      </c>
      <c r="AI233" s="40" t="str">
        <f t="shared" si="6"/>
        <v/>
      </c>
    </row>
    <row r="234" ht="15.75" customHeight="1">
      <c r="A234" s="126"/>
      <c r="B234" s="42"/>
      <c r="C234" s="125"/>
      <c r="D234" s="41"/>
      <c r="E234" s="64"/>
      <c r="F234" s="64"/>
      <c r="G234" s="41"/>
      <c r="H234" s="41"/>
      <c r="I234" s="123"/>
      <c r="J234" s="123"/>
      <c r="K234" s="123"/>
      <c r="L234" s="123"/>
      <c r="M234" s="41"/>
      <c r="N234" s="123"/>
      <c r="O234" s="65"/>
      <c r="P234" s="123"/>
      <c r="Q234" s="123"/>
      <c r="R234" s="123"/>
      <c r="S234" s="42"/>
      <c r="T234" s="42"/>
      <c r="U234" s="40" t="str">
        <f t="shared" si="9"/>
        <v/>
      </c>
      <c r="V234" s="41"/>
      <c r="W234" s="42"/>
      <c r="X234" s="42"/>
      <c r="Y234" s="43"/>
      <c r="Z234" s="44"/>
      <c r="AA234" s="45" t="str">
        <f t="shared" si="2"/>
        <v/>
      </c>
      <c r="AB234" s="42"/>
      <c r="AC234" s="41"/>
      <c r="AD234" s="41"/>
      <c r="AE234" s="46" t="str">
        <f t="shared" si="3"/>
        <v/>
      </c>
      <c r="AF234" s="46" t="str">
        <f t="shared" si="7"/>
        <v/>
      </c>
      <c r="AG234" s="40" t="str">
        <f t="shared" si="4"/>
        <v/>
      </c>
      <c r="AH234" s="40" t="str">
        <f t="shared" si="5"/>
        <v/>
      </c>
      <c r="AI234" s="40" t="str">
        <f t="shared" si="6"/>
        <v/>
      </c>
    </row>
    <row r="235" ht="15.75" customHeight="1">
      <c r="A235" s="126"/>
      <c r="B235" s="42"/>
      <c r="C235" s="125"/>
      <c r="D235" s="41"/>
      <c r="E235" s="64"/>
      <c r="F235" s="64"/>
      <c r="G235" s="41"/>
      <c r="H235" s="41"/>
      <c r="I235" s="123"/>
      <c r="J235" s="123"/>
      <c r="K235" s="123"/>
      <c r="L235" s="123"/>
      <c r="M235" s="41"/>
      <c r="N235" s="123"/>
      <c r="O235" s="65"/>
      <c r="P235" s="123"/>
      <c r="Q235" s="123"/>
      <c r="R235" s="123"/>
      <c r="S235" s="42"/>
      <c r="T235" s="42"/>
      <c r="U235" s="40" t="str">
        <f t="shared" si="9"/>
        <v/>
      </c>
      <c r="V235" s="41"/>
      <c r="W235" s="42"/>
      <c r="X235" s="42"/>
      <c r="Y235" s="43"/>
      <c r="Z235" s="44"/>
      <c r="AA235" s="45" t="str">
        <f t="shared" si="2"/>
        <v/>
      </c>
      <c r="AB235" s="42"/>
      <c r="AC235" s="41"/>
      <c r="AD235" s="41"/>
      <c r="AE235" s="46" t="str">
        <f t="shared" si="3"/>
        <v/>
      </c>
      <c r="AF235" s="46" t="str">
        <f t="shared" si="7"/>
        <v/>
      </c>
      <c r="AG235" s="40" t="str">
        <f t="shared" si="4"/>
        <v/>
      </c>
      <c r="AH235" s="40" t="str">
        <f t="shared" si="5"/>
        <v/>
      </c>
      <c r="AI235" s="40" t="str">
        <f t="shared" si="6"/>
        <v/>
      </c>
    </row>
    <row r="236" ht="15.75" customHeight="1">
      <c r="A236" s="126"/>
      <c r="B236" s="42"/>
      <c r="C236" s="125"/>
      <c r="D236" s="41"/>
      <c r="E236" s="64"/>
      <c r="F236" s="64"/>
      <c r="G236" s="41"/>
      <c r="H236" s="41"/>
      <c r="I236" s="123"/>
      <c r="J236" s="123"/>
      <c r="K236" s="123"/>
      <c r="L236" s="123"/>
      <c r="M236" s="41"/>
      <c r="N236" s="123"/>
      <c r="O236" s="65"/>
      <c r="P236" s="123"/>
      <c r="Q236" s="123"/>
      <c r="R236" s="123"/>
      <c r="S236" s="42"/>
      <c r="T236" s="42"/>
      <c r="U236" s="40" t="str">
        <f t="shared" si="9"/>
        <v/>
      </c>
      <c r="V236" s="41"/>
      <c r="W236" s="42"/>
      <c r="X236" s="42"/>
      <c r="Y236" s="43"/>
      <c r="Z236" s="44"/>
      <c r="AA236" s="45" t="str">
        <f t="shared" si="2"/>
        <v/>
      </c>
      <c r="AB236" s="42"/>
      <c r="AC236" s="41"/>
      <c r="AD236" s="41"/>
      <c r="AE236" s="46" t="str">
        <f t="shared" si="3"/>
        <v/>
      </c>
      <c r="AF236" s="46" t="str">
        <f t="shared" si="7"/>
        <v/>
      </c>
      <c r="AG236" s="40" t="str">
        <f t="shared" si="4"/>
        <v/>
      </c>
      <c r="AH236" s="40" t="str">
        <f t="shared" si="5"/>
        <v/>
      </c>
      <c r="AI236" s="40" t="str">
        <f t="shared" si="6"/>
        <v/>
      </c>
    </row>
    <row r="237" ht="15.75" customHeight="1">
      <c r="A237" s="126"/>
      <c r="B237" s="42"/>
      <c r="C237" s="125"/>
      <c r="D237" s="41"/>
      <c r="E237" s="64"/>
      <c r="F237" s="64"/>
      <c r="G237" s="41"/>
      <c r="H237" s="41"/>
      <c r="I237" s="123"/>
      <c r="J237" s="123"/>
      <c r="K237" s="123"/>
      <c r="L237" s="123"/>
      <c r="M237" s="41"/>
      <c r="N237" s="123"/>
      <c r="O237" s="65"/>
      <c r="P237" s="123"/>
      <c r="Q237" s="123"/>
      <c r="R237" s="123"/>
      <c r="S237" s="42"/>
      <c r="T237" s="42"/>
      <c r="U237" s="40" t="str">
        <f t="shared" si="9"/>
        <v/>
      </c>
      <c r="V237" s="41"/>
      <c r="W237" s="42"/>
      <c r="X237" s="42"/>
      <c r="Y237" s="43"/>
      <c r="Z237" s="44"/>
      <c r="AA237" s="45" t="str">
        <f t="shared" si="2"/>
        <v/>
      </c>
      <c r="AB237" s="42"/>
      <c r="AC237" s="41"/>
      <c r="AD237" s="41"/>
      <c r="AE237" s="46" t="str">
        <f t="shared" si="3"/>
        <v/>
      </c>
      <c r="AF237" s="46" t="str">
        <f t="shared" si="7"/>
        <v/>
      </c>
      <c r="AG237" s="40" t="str">
        <f t="shared" si="4"/>
        <v/>
      </c>
      <c r="AH237" s="40" t="str">
        <f t="shared" si="5"/>
        <v/>
      </c>
      <c r="AI237" s="40" t="str">
        <f t="shared" si="6"/>
        <v/>
      </c>
    </row>
    <row r="238" ht="15.75" customHeight="1">
      <c r="A238" s="126"/>
      <c r="B238" s="42"/>
      <c r="C238" s="125"/>
      <c r="D238" s="41"/>
      <c r="E238" s="64"/>
      <c r="F238" s="64"/>
      <c r="G238" s="41"/>
      <c r="H238" s="41"/>
      <c r="I238" s="123"/>
      <c r="J238" s="123"/>
      <c r="K238" s="123"/>
      <c r="L238" s="123"/>
      <c r="M238" s="41"/>
      <c r="N238" s="123"/>
      <c r="O238" s="65"/>
      <c r="P238" s="123"/>
      <c r="Q238" s="123"/>
      <c r="R238" s="123"/>
      <c r="S238" s="42"/>
      <c r="T238" s="42"/>
      <c r="U238" s="40" t="str">
        <f t="shared" si="9"/>
        <v/>
      </c>
      <c r="V238" s="41"/>
      <c r="W238" s="42"/>
      <c r="X238" s="42"/>
      <c r="Y238" s="43"/>
      <c r="Z238" s="44"/>
      <c r="AA238" s="45" t="str">
        <f t="shared" si="2"/>
        <v/>
      </c>
      <c r="AB238" s="42"/>
      <c r="AC238" s="41"/>
      <c r="AD238" s="41"/>
      <c r="AE238" s="46" t="str">
        <f t="shared" si="3"/>
        <v/>
      </c>
      <c r="AF238" s="46" t="str">
        <f t="shared" si="7"/>
        <v/>
      </c>
      <c r="AG238" s="40" t="str">
        <f t="shared" si="4"/>
        <v/>
      </c>
      <c r="AH238" s="40" t="str">
        <f t="shared" si="5"/>
        <v/>
      </c>
      <c r="AI238" s="40" t="str">
        <f t="shared" si="6"/>
        <v/>
      </c>
    </row>
    <row r="239" ht="15.75" customHeight="1">
      <c r="A239" s="126"/>
      <c r="B239" s="42"/>
      <c r="C239" s="125"/>
      <c r="D239" s="41"/>
      <c r="E239" s="64"/>
      <c r="F239" s="64"/>
      <c r="G239" s="41"/>
      <c r="H239" s="41"/>
      <c r="I239" s="123"/>
      <c r="J239" s="123"/>
      <c r="K239" s="123"/>
      <c r="L239" s="123"/>
      <c r="M239" s="41"/>
      <c r="N239" s="123"/>
      <c r="O239" s="65"/>
      <c r="P239" s="123"/>
      <c r="Q239" s="123"/>
      <c r="R239" s="123"/>
      <c r="S239" s="42"/>
      <c r="T239" s="42"/>
      <c r="U239" s="40" t="str">
        <f t="shared" si="9"/>
        <v/>
      </c>
      <c r="V239" s="41"/>
      <c r="W239" s="42"/>
      <c r="X239" s="42"/>
      <c r="Y239" s="43"/>
      <c r="Z239" s="44"/>
      <c r="AA239" s="45" t="str">
        <f t="shared" si="2"/>
        <v/>
      </c>
      <c r="AB239" s="42"/>
      <c r="AC239" s="41"/>
      <c r="AD239" s="41"/>
      <c r="AE239" s="46" t="str">
        <f t="shared" si="3"/>
        <v/>
      </c>
      <c r="AF239" s="46" t="str">
        <f t="shared" si="7"/>
        <v/>
      </c>
      <c r="AG239" s="40" t="str">
        <f t="shared" si="4"/>
        <v/>
      </c>
      <c r="AH239" s="40" t="str">
        <f t="shared" si="5"/>
        <v/>
      </c>
      <c r="AI239" s="40" t="str">
        <f t="shared" si="6"/>
        <v/>
      </c>
    </row>
    <row r="240" ht="15.75" customHeight="1">
      <c r="A240" s="126"/>
      <c r="B240" s="42"/>
      <c r="C240" s="125"/>
      <c r="D240" s="41"/>
      <c r="E240" s="64"/>
      <c r="F240" s="64"/>
      <c r="G240" s="41"/>
      <c r="H240" s="41"/>
      <c r="I240" s="123"/>
      <c r="J240" s="123"/>
      <c r="K240" s="123"/>
      <c r="L240" s="123"/>
      <c r="M240" s="41"/>
      <c r="N240" s="123"/>
      <c r="O240" s="65"/>
      <c r="P240" s="123"/>
      <c r="Q240" s="123"/>
      <c r="R240" s="123"/>
      <c r="S240" s="42"/>
      <c r="T240" s="42"/>
      <c r="U240" s="40" t="str">
        <f t="shared" si="9"/>
        <v/>
      </c>
      <c r="V240" s="41"/>
      <c r="W240" s="42"/>
      <c r="X240" s="42"/>
      <c r="Y240" s="43"/>
      <c r="Z240" s="44"/>
      <c r="AA240" s="45" t="str">
        <f t="shared" si="2"/>
        <v/>
      </c>
      <c r="AB240" s="42"/>
      <c r="AC240" s="41"/>
      <c r="AD240" s="41"/>
      <c r="AE240" s="46" t="str">
        <f t="shared" si="3"/>
        <v/>
      </c>
      <c r="AF240" s="46" t="str">
        <f t="shared" si="7"/>
        <v/>
      </c>
      <c r="AG240" s="40" t="str">
        <f t="shared" si="4"/>
        <v/>
      </c>
      <c r="AH240" s="40" t="str">
        <f t="shared" si="5"/>
        <v/>
      </c>
      <c r="AI240" s="40" t="str">
        <f t="shared" si="6"/>
        <v/>
      </c>
    </row>
    <row r="241" ht="15.75" customHeight="1">
      <c r="A241" s="126"/>
      <c r="B241" s="42"/>
      <c r="C241" s="125"/>
      <c r="D241" s="41"/>
      <c r="E241" s="64"/>
      <c r="F241" s="64"/>
      <c r="G241" s="41"/>
      <c r="H241" s="41"/>
      <c r="I241" s="123"/>
      <c r="J241" s="123"/>
      <c r="K241" s="123"/>
      <c r="L241" s="123"/>
      <c r="M241" s="41"/>
      <c r="N241" s="123"/>
      <c r="O241" s="65"/>
      <c r="P241" s="123"/>
      <c r="Q241" s="123"/>
      <c r="R241" s="123"/>
      <c r="S241" s="42"/>
      <c r="T241" s="42"/>
      <c r="U241" s="40" t="str">
        <f t="shared" si="9"/>
        <v/>
      </c>
      <c r="V241" s="41"/>
      <c r="W241" s="42"/>
      <c r="X241" s="42"/>
      <c r="Y241" s="43"/>
      <c r="Z241" s="44"/>
      <c r="AA241" s="45" t="str">
        <f t="shared" si="2"/>
        <v/>
      </c>
      <c r="AB241" s="42"/>
      <c r="AC241" s="41"/>
      <c r="AD241" s="41"/>
      <c r="AE241" s="46" t="str">
        <f t="shared" si="3"/>
        <v/>
      </c>
      <c r="AF241" s="46" t="str">
        <f t="shared" si="7"/>
        <v/>
      </c>
      <c r="AG241" s="40" t="str">
        <f t="shared" si="4"/>
        <v/>
      </c>
      <c r="AH241" s="40" t="str">
        <f t="shared" si="5"/>
        <v/>
      </c>
      <c r="AI241" s="40" t="str">
        <f t="shared" si="6"/>
        <v/>
      </c>
    </row>
    <row r="242" ht="15.75" customHeight="1">
      <c r="A242" s="126"/>
      <c r="B242" s="42"/>
      <c r="C242" s="125"/>
      <c r="D242" s="41"/>
      <c r="E242" s="64"/>
      <c r="F242" s="64"/>
      <c r="G242" s="41"/>
      <c r="H242" s="41"/>
      <c r="I242" s="123"/>
      <c r="J242" s="123"/>
      <c r="K242" s="123"/>
      <c r="L242" s="123"/>
      <c r="M242" s="41"/>
      <c r="N242" s="123"/>
      <c r="O242" s="65"/>
      <c r="P242" s="123"/>
      <c r="Q242" s="123"/>
      <c r="R242" s="123"/>
      <c r="S242" s="42"/>
      <c r="T242" s="42"/>
      <c r="U242" s="40" t="str">
        <f t="shared" si="9"/>
        <v/>
      </c>
      <c r="V242" s="41"/>
      <c r="W242" s="42"/>
      <c r="X242" s="42"/>
      <c r="Y242" s="43"/>
      <c r="Z242" s="44"/>
      <c r="AA242" s="45" t="str">
        <f t="shared" si="2"/>
        <v/>
      </c>
      <c r="AB242" s="42"/>
      <c r="AC242" s="41"/>
      <c r="AD242" s="41"/>
      <c r="AE242" s="46" t="str">
        <f t="shared" si="3"/>
        <v/>
      </c>
      <c r="AF242" s="46" t="str">
        <f t="shared" si="7"/>
        <v/>
      </c>
      <c r="AG242" s="40" t="str">
        <f t="shared" si="4"/>
        <v/>
      </c>
      <c r="AH242" s="40" t="str">
        <f t="shared" si="5"/>
        <v/>
      </c>
      <c r="AI242" s="40" t="str">
        <f t="shared" si="6"/>
        <v/>
      </c>
    </row>
    <row r="243" ht="15.75" customHeight="1">
      <c r="A243" s="126"/>
      <c r="B243" s="42"/>
      <c r="C243" s="125"/>
      <c r="D243" s="41"/>
      <c r="E243" s="64"/>
      <c r="F243" s="64"/>
      <c r="G243" s="41"/>
      <c r="H243" s="41"/>
      <c r="I243" s="123"/>
      <c r="J243" s="123"/>
      <c r="K243" s="123"/>
      <c r="L243" s="123"/>
      <c r="M243" s="41"/>
      <c r="N243" s="123"/>
      <c r="O243" s="65"/>
      <c r="P243" s="123"/>
      <c r="Q243" s="123"/>
      <c r="R243" s="123"/>
      <c r="S243" s="42"/>
      <c r="T243" s="42"/>
      <c r="U243" s="40" t="str">
        <f t="shared" si="9"/>
        <v/>
      </c>
      <c r="V243" s="41"/>
      <c r="W243" s="42"/>
      <c r="X243" s="42"/>
      <c r="Y243" s="43"/>
      <c r="Z243" s="44"/>
      <c r="AA243" s="45" t="str">
        <f t="shared" si="2"/>
        <v/>
      </c>
      <c r="AB243" s="42"/>
      <c r="AC243" s="41"/>
      <c r="AD243" s="41"/>
      <c r="AE243" s="46" t="str">
        <f t="shared" si="3"/>
        <v/>
      </c>
      <c r="AF243" s="46" t="str">
        <f t="shared" si="7"/>
        <v/>
      </c>
      <c r="AG243" s="40" t="str">
        <f t="shared" si="4"/>
        <v/>
      </c>
      <c r="AH243" s="40" t="str">
        <f t="shared" si="5"/>
        <v/>
      </c>
      <c r="AI243" s="40" t="str">
        <f t="shared" si="6"/>
        <v/>
      </c>
    </row>
    <row r="244" ht="15.75" customHeight="1">
      <c r="A244" s="126"/>
      <c r="B244" s="42"/>
      <c r="C244" s="125"/>
      <c r="D244" s="41"/>
      <c r="E244" s="64"/>
      <c r="F244" s="64"/>
      <c r="G244" s="41"/>
      <c r="H244" s="41"/>
      <c r="I244" s="123"/>
      <c r="J244" s="123"/>
      <c r="K244" s="123"/>
      <c r="L244" s="123"/>
      <c r="M244" s="41"/>
      <c r="N244" s="123"/>
      <c r="O244" s="65"/>
      <c r="P244" s="123"/>
      <c r="Q244" s="123"/>
      <c r="R244" s="123"/>
      <c r="S244" s="42"/>
      <c r="T244" s="42"/>
      <c r="U244" s="40" t="str">
        <f t="shared" si="9"/>
        <v/>
      </c>
      <c r="V244" s="41"/>
      <c r="W244" s="42"/>
      <c r="X244" s="42"/>
      <c r="Y244" s="43"/>
      <c r="Z244" s="44"/>
      <c r="AA244" s="45" t="str">
        <f t="shared" si="2"/>
        <v/>
      </c>
      <c r="AB244" s="42"/>
      <c r="AC244" s="41"/>
      <c r="AD244" s="41"/>
      <c r="AE244" s="46" t="str">
        <f t="shared" si="3"/>
        <v/>
      </c>
      <c r="AF244" s="46" t="str">
        <f t="shared" si="7"/>
        <v/>
      </c>
      <c r="AG244" s="40" t="str">
        <f t="shared" si="4"/>
        <v/>
      </c>
      <c r="AH244" s="40" t="str">
        <f t="shared" si="5"/>
        <v/>
      </c>
      <c r="AI244" s="40" t="str">
        <f t="shared" si="6"/>
        <v/>
      </c>
    </row>
    <row r="245" ht="15.75" customHeight="1">
      <c r="A245" s="126"/>
      <c r="B245" s="42"/>
      <c r="C245" s="125"/>
      <c r="D245" s="41"/>
      <c r="E245" s="64"/>
      <c r="F245" s="64"/>
      <c r="G245" s="41"/>
      <c r="H245" s="41"/>
      <c r="I245" s="123"/>
      <c r="J245" s="123"/>
      <c r="K245" s="123"/>
      <c r="L245" s="123"/>
      <c r="M245" s="41"/>
      <c r="N245" s="123"/>
      <c r="O245" s="65"/>
      <c r="P245" s="123"/>
      <c r="Q245" s="123"/>
      <c r="R245" s="123"/>
      <c r="S245" s="42"/>
      <c r="T245" s="42"/>
      <c r="U245" s="40" t="str">
        <f t="shared" si="9"/>
        <v/>
      </c>
      <c r="V245" s="41"/>
      <c r="W245" s="42"/>
      <c r="X245" s="42"/>
      <c r="Y245" s="43"/>
      <c r="Z245" s="44"/>
      <c r="AA245" s="45" t="str">
        <f t="shared" si="2"/>
        <v/>
      </c>
      <c r="AB245" s="42"/>
      <c r="AC245" s="41"/>
      <c r="AD245" s="41"/>
      <c r="AE245" s="46" t="str">
        <f t="shared" si="3"/>
        <v/>
      </c>
      <c r="AF245" s="46" t="str">
        <f t="shared" si="7"/>
        <v/>
      </c>
      <c r="AG245" s="40" t="str">
        <f t="shared" si="4"/>
        <v/>
      </c>
      <c r="AH245" s="40" t="str">
        <f t="shared" si="5"/>
        <v/>
      </c>
      <c r="AI245" s="40" t="str">
        <f t="shared" si="6"/>
        <v/>
      </c>
    </row>
    <row r="246" ht="15.75" customHeight="1">
      <c r="A246" s="126"/>
      <c r="B246" s="42"/>
      <c r="C246" s="125"/>
      <c r="D246" s="41"/>
      <c r="E246" s="64"/>
      <c r="F246" s="64"/>
      <c r="G246" s="41"/>
      <c r="H246" s="41"/>
      <c r="I246" s="123"/>
      <c r="J246" s="123"/>
      <c r="K246" s="123"/>
      <c r="L246" s="123"/>
      <c r="M246" s="41"/>
      <c r="N246" s="123"/>
      <c r="O246" s="65"/>
      <c r="P246" s="123"/>
      <c r="Q246" s="123"/>
      <c r="R246" s="123"/>
      <c r="S246" s="42"/>
      <c r="T246" s="42"/>
      <c r="U246" s="40" t="str">
        <f t="shared" si="9"/>
        <v/>
      </c>
      <c r="V246" s="41"/>
      <c r="W246" s="42"/>
      <c r="X246" s="42"/>
      <c r="Y246" s="43"/>
      <c r="Z246" s="44"/>
      <c r="AA246" s="45" t="str">
        <f t="shared" si="2"/>
        <v/>
      </c>
      <c r="AB246" s="42"/>
      <c r="AC246" s="41"/>
      <c r="AD246" s="41"/>
      <c r="AE246" s="46" t="str">
        <f t="shared" si="3"/>
        <v/>
      </c>
      <c r="AF246" s="46" t="str">
        <f t="shared" si="7"/>
        <v/>
      </c>
      <c r="AG246" s="40" t="str">
        <f t="shared" si="4"/>
        <v/>
      </c>
      <c r="AH246" s="40" t="str">
        <f t="shared" si="5"/>
        <v/>
      </c>
      <c r="AI246" s="40" t="str">
        <f t="shared" si="6"/>
        <v/>
      </c>
    </row>
    <row r="247" ht="15.75" customHeight="1">
      <c r="A247" s="126"/>
      <c r="B247" s="42"/>
      <c r="C247" s="125"/>
      <c r="D247" s="41"/>
      <c r="E247" s="64"/>
      <c r="F247" s="64"/>
      <c r="G247" s="41"/>
      <c r="H247" s="41"/>
      <c r="I247" s="123"/>
      <c r="J247" s="123"/>
      <c r="K247" s="123"/>
      <c r="L247" s="123"/>
      <c r="M247" s="41"/>
      <c r="N247" s="123"/>
      <c r="O247" s="65"/>
      <c r="P247" s="123"/>
      <c r="Q247" s="123"/>
      <c r="R247" s="123"/>
      <c r="S247" s="42"/>
      <c r="T247" s="42"/>
      <c r="U247" s="40" t="str">
        <f t="shared" si="9"/>
        <v/>
      </c>
      <c r="V247" s="41"/>
      <c r="W247" s="42"/>
      <c r="X247" s="42"/>
      <c r="Y247" s="43"/>
      <c r="Z247" s="44"/>
      <c r="AA247" s="45" t="str">
        <f t="shared" si="2"/>
        <v/>
      </c>
      <c r="AB247" s="42"/>
      <c r="AC247" s="41"/>
      <c r="AD247" s="41"/>
      <c r="AE247" s="46" t="str">
        <f t="shared" si="3"/>
        <v/>
      </c>
      <c r="AF247" s="46" t="str">
        <f t="shared" si="7"/>
        <v/>
      </c>
      <c r="AG247" s="40" t="str">
        <f t="shared" si="4"/>
        <v/>
      </c>
      <c r="AH247" s="40" t="str">
        <f t="shared" si="5"/>
        <v/>
      </c>
      <c r="AI247" s="40" t="str">
        <f t="shared" si="6"/>
        <v/>
      </c>
    </row>
    <row r="248" ht="15.75" customHeight="1">
      <c r="A248" s="126"/>
      <c r="B248" s="42"/>
      <c r="C248" s="125"/>
      <c r="D248" s="41"/>
      <c r="E248" s="64"/>
      <c r="F248" s="64"/>
      <c r="G248" s="41"/>
      <c r="H248" s="41"/>
      <c r="I248" s="123"/>
      <c r="J248" s="123"/>
      <c r="K248" s="123"/>
      <c r="L248" s="123"/>
      <c r="M248" s="41"/>
      <c r="N248" s="123"/>
      <c r="O248" s="65"/>
      <c r="P248" s="123"/>
      <c r="Q248" s="123"/>
      <c r="R248" s="123"/>
      <c r="S248" s="42"/>
      <c r="T248" s="42"/>
      <c r="U248" s="40" t="str">
        <f t="shared" si="9"/>
        <v/>
      </c>
      <c r="V248" s="41"/>
      <c r="W248" s="42"/>
      <c r="X248" s="42"/>
      <c r="Y248" s="43"/>
      <c r="Z248" s="44"/>
      <c r="AA248" s="45" t="str">
        <f t="shared" si="2"/>
        <v/>
      </c>
      <c r="AB248" s="42"/>
      <c r="AC248" s="41"/>
      <c r="AD248" s="41"/>
      <c r="AE248" s="46" t="str">
        <f t="shared" si="3"/>
        <v/>
      </c>
      <c r="AF248" s="46" t="str">
        <f t="shared" si="7"/>
        <v/>
      </c>
      <c r="AG248" s="40" t="str">
        <f t="shared" si="4"/>
        <v/>
      </c>
      <c r="AH248" s="40" t="str">
        <f t="shared" si="5"/>
        <v/>
      </c>
      <c r="AI248" s="40" t="str">
        <f t="shared" si="6"/>
        <v/>
      </c>
    </row>
    <row r="249" ht="15.75" customHeight="1">
      <c r="A249" s="126"/>
      <c r="B249" s="42"/>
      <c r="C249" s="125"/>
      <c r="D249" s="41"/>
      <c r="E249" s="64"/>
      <c r="F249" s="64"/>
      <c r="G249" s="41"/>
      <c r="H249" s="41"/>
      <c r="I249" s="123"/>
      <c r="J249" s="123"/>
      <c r="K249" s="123"/>
      <c r="L249" s="123"/>
      <c r="M249" s="41"/>
      <c r="N249" s="123"/>
      <c r="O249" s="65"/>
      <c r="P249" s="123"/>
      <c r="Q249" s="123"/>
      <c r="R249" s="123"/>
      <c r="S249" s="42"/>
      <c r="T249" s="42"/>
      <c r="U249" s="40" t="str">
        <f t="shared" si="9"/>
        <v/>
      </c>
      <c r="V249" s="41"/>
      <c r="W249" s="42"/>
      <c r="X249" s="42"/>
      <c r="Y249" s="43"/>
      <c r="Z249" s="44"/>
      <c r="AA249" s="45" t="str">
        <f t="shared" si="2"/>
        <v/>
      </c>
      <c r="AB249" s="42"/>
      <c r="AC249" s="41"/>
      <c r="AD249" s="41"/>
      <c r="AE249" s="46" t="str">
        <f t="shared" si="3"/>
        <v/>
      </c>
      <c r="AF249" s="46" t="str">
        <f t="shared" si="7"/>
        <v/>
      </c>
      <c r="AG249" s="40" t="str">
        <f t="shared" si="4"/>
        <v/>
      </c>
      <c r="AH249" s="40" t="str">
        <f t="shared" si="5"/>
        <v/>
      </c>
      <c r="AI249" s="40" t="str">
        <f t="shared" si="6"/>
        <v/>
      </c>
    </row>
    <row r="250" ht="15.75" customHeight="1">
      <c r="A250" s="126"/>
      <c r="B250" s="42"/>
      <c r="C250" s="125"/>
      <c r="D250" s="41"/>
      <c r="E250" s="64"/>
      <c r="F250" s="64"/>
      <c r="G250" s="41"/>
      <c r="H250" s="41"/>
      <c r="I250" s="123"/>
      <c r="J250" s="123"/>
      <c r="K250" s="123"/>
      <c r="L250" s="123"/>
      <c r="M250" s="41"/>
      <c r="N250" s="123"/>
      <c r="O250" s="65"/>
      <c r="P250" s="123"/>
      <c r="Q250" s="123"/>
      <c r="R250" s="123"/>
      <c r="S250" s="42"/>
      <c r="T250" s="42"/>
      <c r="U250" s="40" t="str">
        <f t="shared" si="9"/>
        <v/>
      </c>
      <c r="V250" s="41"/>
      <c r="W250" s="42"/>
      <c r="X250" s="42"/>
      <c r="Y250" s="43"/>
      <c r="Z250" s="44"/>
      <c r="AA250" s="45" t="str">
        <f t="shared" si="2"/>
        <v/>
      </c>
      <c r="AB250" s="42"/>
      <c r="AC250" s="41"/>
      <c r="AD250" s="41"/>
      <c r="AE250" s="46" t="str">
        <f t="shared" si="3"/>
        <v/>
      </c>
      <c r="AF250" s="46" t="str">
        <f t="shared" si="7"/>
        <v/>
      </c>
      <c r="AG250" s="40" t="str">
        <f t="shared" si="4"/>
        <v/>
      </c>
      <c r="AH250" s="40" t="str">
        <f t="shared" si="5"/>
        <v/>
      </c>
      <c r="AI250" s="40" t="str">
        <f t="shared" si="6"/>
        <v/>
      </c>
    </row>
    <row r="251" ht="15.75" customHeight="1">
      <c r="A251" s="126"/>
      <c r="B251" s="42"/>
      <c r="C251" s="125"/>
      <c r="D251" s="41"/>
      <c r="E251" s="64"/>
      <c r="F251" s="64"/>
      <c r="G251" s="41"/>
      <c r="H251" s="41"/>
      <c r="I251" s="123"/>
      <c r="J251" s="123"/>
      <c r="K251" s="123"/>
      <c r="L251" s="123"/>
      <c r="M251" s="41"/>
      <c r="N251" s="123"/>
      <c r="O251" s="65"/>
      <c r="P251" s="123"/>
      <c r="Q251" s="123"/>
      <c r="R251" s="123"/>
      <c r="S251" s="42"/>
      <c r="T251" s="42"/>
      <c r="U251" s="40" t="str">
        <f t="shared" si="9"/>
        <v/>
      </c>
      <c r="V251" s="41"/>
      <c r="W251" s="42"/>
      <c r="X251" s="42"/>
      <c r="Y251" s="43"/>
      <c r="Z251" s="44"/>
      <c r="AA251" s="45" t="str">
        <f t="shared" si="2"/>
        <v/>
      </c>
      <c r="AB251" s="42"/>
      <c r="AC251" s="41"/>
      <c r="AD251" s="41"/>
      <c r="AE251" s="46" t="str">
        <f t="shared" si="3"/>
        <v/>
      </c>
      <c r="AF251" s="46" t="str">
        <f t="shared" si="7"/>
        <v/>
      </c>
      <c r="AG251" s="40" t="str">
        <f t="shared" si="4"/>
        <v/>
      </c>
      <c r="AH251" s="40" t="str">
        <f t="shared" si="5"/>
        <v/>
      </c>
      <c r="AI251" s="40" t="str">
        <f t="shared" si="6"/>
        <v/>
      </c>
    </row>
    <row r="252" ht="15.75" customHeight="1">
      <c r="A252" s="126"/>
      <c r="B252" s="42"/>
      <c r="C252" s="125"/>
      <c r="D252" s="41"/>
      <c r="E252" s="64"/>
      <c r="F252" s="64"/>
      <c r="G252" s="41"/>
      <c r="H252" s="41"/>
      <c r="I252" s="123"/>
      <c r="J252" s="123"/>
      <c r="K252" s="123"/>
      <c r="L252" s="123"/>
      <c r="M252" s="41"/>
      <c r="N252" s="123"/>
      <c r="O252" s="65"/>
      <c r="P252" s="123"/>
      <c r="Q252" s="123"/>
      <c r="R252" s="123"/>
      <c r="S252" s="42"/>
      <c r="T252" s="42"/>
      <c r="U252" s="40" t="str">
        <f t="shared" si="9"/>
        <v/>
      </c>
      <c r="V252" s="41"/>
      <c r="W252" s="42"/>
      <c r="X252" s="42"/>
      <c r="Y252" s="43"/>
      <c r="Z252" s="44"/>
      <c r="AA252" s="45" t="str">
        <f t="shared" si="2"/>
        <v/>
      </c>
      <c r="AB252" s="42"/>
      <c r="AC252" s="41"/>
      <c r="AD252" s="41"/>
      <c r="AE252" s="46" t="str">
        <f t="shared" si="3"/>
        <v/>
      </c>
      <c r="AF252" s="46" t="str">
        <f t="shared" si="7"/>
        <v/>
      </c>
      <c r="AG252" s="40" t="str">
        <f t="shared" si="4"/>
        <v/>
      </c>
      <c r="AH252" s="40" t="str">
        <f t="shared" si="5"/>
        <v/>
      </c>
      <c r="AI252" s="40" t="str">
        <f t="shared" si="6"/>
        <v/>
      </c>
    </row>
    <row r="253" ht="15.75" customHeight="1">
      <c r="A253" s="126"/>
      <c r="B253" s="42"/>
      <c r="C253" s="125"/>
      <c r="D253" s="41"/>
      <c r="E253" s="64"/>
      <c r="F253" s="64"/>
      <c r="G253" s="41"/>
      <c r="H253" s="41"/>
      <c r="I253" s="123"/>
      <c r="J253" s="123"/>
      <c r="K253" s="123"/>
      <c r="L253" s="123"/>
      <c r="M253" s="41"/>
      <c r="N253" s="123"/>
      <c r="O253" s="65"/>
      <c r="P253" s="123"/>
      <c r="Q253" s="123"/>
      <c r="R253" s="123"/>
      <c r="S253" s="42"/>
      <c r="T253" s="42"/>
      <c r="U253" s="40" t="str">
        <f t="shared" si="9"/>
        <v/>
      </c>
      <c r="V253" s="41"/>
      <c r="W253" s="42"/>
      <c r="X253" s="42"/>
      <c r="Y253" s="43"/>
      <c r="Z253" s="44"/>
      <c r="AA253" s="45" t="str">
        <f t="shared" si="2"/>
        <v/>
      </c>
      <c r="AB253" s="42"/>
      <c r="AC253" s="41"/>
      <c r="AD253" s="41"/>
      <c r="AE253" s="46" t="str">
        <f t="shared" si="3"/>
        <v/>
      </c>
      <c r="AF253" s="46" t="str">
        <f t="shared" si="7"/>
        <v/>
      </c>
      <c r="AG253" s="40" t="str">
        <f t="shared" si="4"/>
        <v/>
      </c>
      <c r="AH253" s="40" t="str">
        <f t="shared" si="5"/>
        <v/>
      </c>
      <c r="AI253" s="40" t="str">
        <f t="shared" si="6"/>
        <v/>
      </c>
    </row>
    <row r="254" ht="15.75" customHeight="1">
      <c r="A254" s="126"/>
      <c r="B254" s="42"/>
      <c r="C254" s="125"/>
      <c r="D254" s="41"/>
      <c r="E254" s="64"/>
      <c r="F254" s="64"/>
      <c r="G254" s="41"/>
      <c r="H254" s="41"/>
      <c r="I254" s="123"/>
      <c r="J254" s="123"/>
      <c r="K254" s="123"/>
      <c r="L254" s="123"/>
      <c r="M254" s="41"/>
      <c r="N254" s="123"/>
      <c r="O254" s="65"/>
      <c r="P254" s="123"/>
      <c r="Q254" s="123"/>
      <c r="R254" s="123"/>
      <c r="S254" s="42"/>
      <c r="T254" s="42"/>
      <c r="U254" s="40" t="str">
        <f t="shared" si="9"/>
        <v/>
      </c>
      <c r="V254" s="41"/>
      <c r="W254" s="42"/>
      <c r="X254" s="42"/>
      <c r="Y254" s="43"/>
      <c r="Z254" s="44"/>
      <c r="AA254" s="45" t="str">
        <f t="shared" si="2"/>
        <v/>
      </c>
      <c r="AB254" s="42"/>
      <c r="AC254" s="41"/>
      <c r="AD254" s="41"/>
      <c r="AE254" s="46" t="str">
        <f t="shared" si="3"/>
        <v/>
      </c>
      <c r="AF254" s="46" t="str">
        <f t="shared" si="7"/>
        <v/>
      </c>
      <c r="AG254" s="40" t="str">
        <f t="shared" si="4"/>
        <v/>
      </c>
      <c r="AH254" s="40" t="str">
        <f t="shared" si="5"/>
        <v/>
      </c>
      <c r="AI254" s="40" t="str">
        <f t="shared" si="6"/>
        <v/>
      </c>
    </row>
    <row r="255" ht="15.75" customHeight="1">
      <c r="A255" s="126"/>
      <c r="B255" s="42"/>
      <c r="C255" s="125"/>
      <c r="D255" s="41"/>
      <c r="E255" s="64"/>
      <c r="F255" s="64"/>
      <c r="G255" s="41"/>
      <c r="H255" s="41"/>
      <c r="I255" s="123"/>
      <c r="J255" s="123"/>
      <c r="K255" s="123"/>
      <c r="L255" s="123"/>
      <c r="M255" s="41"/>
      <c r="N255" s="123"/>
      <c r="O255" s="65"/>
      <c r="P255" s="123"/>
      <c r="Q255" s="123"/>
      <c r="R255" s="123"/>
      <c r="S255" s="42"/>
      <c r="T255" s="42"/>
      <c r="U255" s="40" t="str">
        <f t="shared" si="9"/>
        <v/>
      </c>
      <c r="V255" s="41"/>
      <c r="W255" s="42"/>
      <c r="X255" s="42"/>
      <c r="Y255" s="43"/>
      <c r="Z255" s="44"/>
      <c r="AA255" s="45" t="str">
        <f t="shared" si="2"/>
        <v/>
      </c>
      <c r="AB255" s="42"/>
      <c r="AC255" s="41"/>
      <c r="AD255" s="41"/>
      <c r="AE255" s="46" t="str">
        <f t="shared" si="3"/>
        <v/>
      </c>
      <c r="AF255" s="46" t="str">
        <f t="shared" si="7"/>
        <v/>
      </c>
      <c r="AG255" s="40" t="str">
        <f t="shared" si="4"/>
        <v/>
      </c>
      <c r="AH255" s="40" t="str">
        <f t="shared" si="5"/>
        <v/>
      </c>
      <c r="AI255" s="40" t="str">
        <f t="shared" si="6"/>
        <v/>
      </c>
    </row>
    <row r="256" ht="15.75" customHeight="1">
      <c r="A256" s="126"/>
      <c r="B256" s="42"/>
      <c r="C256" s="125"/>
      <c r="D256" s="41"/>
      <c r="E256" s="64"/>
      <c r="F256" s="64"/>
      <c r="G256" s="41"/>
      <c r="H256" s="41"/>
      <c r="I256" s="123"/>
      <c r="J256" s="123"/>
      <c r="K256" s="123"/>
      <c r="L256" s="123"/>
      <c r="M256" s="41"/>
      <c r="N256" s="123"/>
      <c r="O256" s="65"/>
      <c r="P256" s="123"/>
      <c r="Q256" s="123"/>
      <c r="R256" s="123"/>
      <c r="S256" s="42"/>
      <c r="T256" s="42"/>
      <c r="U256" s="40" t="str">
        <f t="shared" si="9"/>
        <v/>
      </c>
      <c r="V256" s="41"/>
      <c r="W256" s="42"/>
      <c r="X256" s="42"/>
      <c r="Y256" s="43"/>
      <c r="Z256" s="44"/>
      <c r="AA256" s="45" t="str">
        <f t="shared" si="2"/>
        <v/>
      </c>
      <c r="AB256" s="42"/>
      <c r="AC256" s="41"/>
      <c r="AD256" s="41"/>
      <c r="AE256" s="46" t="str">
        <f t="shared" si="3"/>
        <v/>
      </c>
      <c r="AF256" s="46" t="str">
        <f t="shared" si="7"/>
        <v/>
      </c>
      <c r="AG256" s="40" t="str">
        <f t="shared" si="4"/>
        <v/>
      </c>
      <c r="AH256" s="40" t="str">
        <f t="shared" si="5"/>
        <v/>
      </c>
      <c r="AI256" s="40" t="str">
        <f t="shared" si="6"/>
        <v/>
      </c>
    </row>
    <row r="257" ht="15.75" customHeight="1">
      <c r="A257" s="126"/>
      <c r="B257" s="42"/>
      <c r="C257" s="125"/>
      <c r="D257" s="41"/>
      <c r="E257" s="64"/>
      <c r="F257" s="64"/>
      <c r="G257" s="41"/>
      <c r="H257" s="41"/>
      <c r="I257" s="123"/>
      <c r="J257" s="123"/>
      <c r="K257" s="123"/>
      <c r="L257" s="123"/>
      <c r="M257" s="41"/>
      <c r="N257" s="123"/>
      <c r="O257" s="65"/>
      <c r="P257" s="123"/>
      <c r="Q257" s="123"/>
      <c r="R257" s="123"/>
      <c r="S257" s="42"/>
      <c r="T257" s="42"/>
      <c r="U257" s="40" t="str">
        <f t="shared" si="9"/>
        <v/>
      </c>
      <c r="V257" s="41"/>
      <c r="W257" s="42"/>
      <c r="X257" s="42"/>
      <c r="Y257" s="43"/>
      <c r="Z257" s="44"/>
      <c r="AA257" s="45" t="str">
        <f t="shared" si="2"/>
        <v/>
      </c>
      <c r="AB257" s="42"/>
      <c r="AC257" s="41"/>
      <c r="AD257" s="41"/>
      <c r="AE257" s="46" t="str">
        <f t="shared" si="3"/>
        <v/>
      </c>
      <c r="AF257" s="46" t="str">
        <f t="shared" si="7"/>
        <v/>
      </c>
      <c r="AG257" s="40" t="str">
        <f t="shared" si="4"/>
        <v/>
      </c>
      <c r="AH257" s="40" t="str">
        <f t="shared" si="5"/>
        <v/>
      </c>
      <c r="AI257" s="40" t="str">
        <f t="shared" si="6"/>
        <v/>
      </c>
    </row>
    <row r="258" ht="15.75" customHeight="1">
      <c r="A258" s="126"/>
      <c r="B258" s="42"/>
      <c r="C258" s="125"/>
      <c r="D258" s="41"/>
      <c r="E258" s="64"/>
      <c r="F258" s="64"/>
      <c r="G258" s="41"/>
      <c r="H258" s="41"/>
      <c r="I258" s="123"/>
      <c r="J258" s="123"/>
      <c r="K258" s="123"/>
      <c r="L258" s="123"/>
      <c r="M258" s="41"/>
      <c r="N258" s="123"/>
      <c r="O258" s="65"/>
      <c r="P258" s="123"/>
      <c r="Q258" s="123"/>
      <c r="R258" s="123"/>
      <c r="S258" s="42"/>
      <c r="T258" s="42"/>
      <c r="U258" s="40" t="str">
        <f t="shared" si="9"/>
        <v/>
      </c>
      <c r="V258" s="41"/>
      <c r="W258" s="42"/>
      <c r="X258" s="42"/>
      <c r="Y258" s="43"/>
      <c r="Z258" s="44"/>
      <c r="AA258" s="45" t="str">
        <f t="shared" si="2"/>
        <v/>
      </c>
      <c r="AB258" s="42"/>
      <c r="AC258" s="41"/>
      <c r="AD258" s="41"/>
      <c r="AE258" s="46" t="str">
        <f t="shared" si="3"/>
        <v/>
      </c>
      <c r="AF258" s="46" t="str">
        <f t="shared" si="7"/>
        <v/>
      </c>
      <c r="AG258" s="40" t="str">
        <f t="shared" si="4"/>
        <v/>
      </c>
      <c r="AH258" s="40" t="str">
        <f t="shared" si="5"/>
        <v/>
      </c>
      <c r="AI258" s="40" t="str">
        <f t="shared" si="6"/>
        <v/>
      </c>
    </row>
    <row r="259" ht="15.75" customHeight="1">
      <c r="A259" s="126"/>
      <c r="B259" s="42"/>
      <c r="C259" s="125"/>
      <c r="D259" s="41"/>
      <c r="E259" s="64"/>
      <c r="F259" s="64"/>
      <c r="G259" s="41"/>
      <c r="H259" s="41"/>
      <c r="I259" s="123"/>
      <c r="J259" s="123"/>
      <c r="K259" s="123"/>
      <c r="L259" s="123"/>
      <c r="M259" s="41"/>
      <c r="N259" s="123"/>
      <c r="O259" s="65"/>
      <c r="P259" s="123"/>
      <c r="Q259" s="123"/>
      <c r="R259" s="123"/>
      <c r="S259" s="42"/>
      <c r="T259" s="42"/>
      <c r="U259" s="40" t="str">
        <f t="shared" si="9"/>
        <v/>
      </c>
      <c r="V259" s="41"/>
      <c r="W259" s="42"/>
      <c r="X259" s="42"/>
      <c r="Y259" s="43"/>
      <c r="Z259" s="44"/>
      <c r="AA259" s="45" t="str">
        <f t="shared" si="2"/>
        <v/>
      </c>
      <c r="AB259" s="42"/>
      <c r="AC259" s="41"/>
      <c r="AD259" s="41"/>
      <c r="AE259" s="46" t="str">
        <f t="shared" si="3"/>
        <v/>
      </c>
      <c r="AF259" s="46" t="str">
        <f t="shared" si="7"/>
        <v/>
      </c>
      <c r="AG259" s="40" t="str">
        <f t="shared" si="4"/>
        <v/>
      </c>
      <c r="AH259" s="40" t="str">
        <f t="shared" si="5"/>
        <v/>
      </c>
      <c r="AI259" s="40" t="str">
        <f t="shared" si="6"/>
        <v/>
      </c>
    </row>
    <row r="260" ht="15.75" customHeight="1">
      <c r="A260" s="126"/>
      <c r="B260" s="42"/>
      <c r="C260" s="125"/>
      <c r="D260" s="41"/>
      <c r="E260" s="64"/>
      <c r="F260" s="64"/>
      <c r="G260" s="41"/>
      <c r="H260" s="41"/>
      <c r="I260" s="123"/>
      <c r="J260" s="123"/>
      <c r="K260" s="123"/>
      <c r="L260" s="123"/>
      <c r="M260" s="41"/>
      <c r="N260" s="123"/>
      <c r="O260" s="65"/>
      <c r="P260" s="123"/>
      <c r="Q260" s="123"/>
      <c r="R260" s="123"/>
      <c r="S260" s="42"/>
      <c r="T260" s="42"/>
      <c r="U260" s="40" t="str">
        <f t="shared" si="9"/>
        <v/>
      </c>
      <c r="V260" s="41"/>
      <c r="W260" s="42"/>
      <c r="X260" s="42"/>
      <c r="Y260" s="43"/>
      <c r="Z260" s="44"/>
      <c r="AA260" s="45" t="str">
        <f t="shared" si="2"/>
        <v/>
      </c>
      <c r="AB260" s="42"/>
      <c r="AC260" s="41"/>
      <c r="AD260" s="41"/>
      <c r="AE260" s="46" t="str">
        <f t="shared" si="3"/>
        <v/>
      </c>
      <c r="AF260" s="46" t="str">
        <f t="shared" si="7"/>
        <v/>
      </c>
      <c r="AG260" s="40" t="str">
        <f t="shared" si="4"/>
        <v/>
      </c>
      <c r="AH260" s="40" t="str">
        <f t="shared" si="5"/>
        <v/>
      </c>
      <c r="AI260" s="40" t="str">
        <f t="shared" si="6"/>
        <v/>
      </c>
    </row>
    <row r="261" ht="15.75" customHeight="1">
      <c r="A261" s="126"/>
      <c r="B261" s="42"/>
      <c r="C261" s="125"/>
      <c r="D261" s="41"/>
      <c r="E261" s="64"/>
      <c r="F261" s="64"/>
      <c r="G261" s="41"/>
      <c r="H261" s="41"/>
      <c r="I261" s="123"/>
      <c r="J261" s="123"/>
      <c r="K261" s="123"/>
      <c r="L261" s="123"/>
      <c r="M261" s="41"/>
      <c r="N261" s="123"/>
      <c r="O261" s="65"/>
      <c r="P261" s="123"/>
      <c r="Q261" s="123"/>
      <c r="R261" s="123"/>
      <c r="S261" s="42"/>
      <c r="T261" s="42"/>
      <c r="U261" s="40" t="str">
        <f t="shared" si="9"/>
        <v/>
      </c>
      <c r="V261" s="41"/>
      <c r="W261" s="42"/>
      <c r="X261" s="42"/>
      <c r="Y261" s="43"/>
      <c r="Z261" s="44"/>
      <c r="AA261" s="45" t="str">
        <f t="shared" si="2"/>
        <v/>
      </c>
      <c r="AB261" s="42"/>
      <c r="AC261" s="41"/>
      <c r="AD261" s="41"/>
      <c r="AE261" s="46" t="str">
        <f t="shared" si="3"/>
        <v/>
      </c>
      <c r="AF261" s="46" t="str">
        <f t="shared" si="7"/>
        <v/>
      </c>
      <c r="AG261" s="40" t="str">
        <f t="shared" si="4"/>
        <v/>
      </c>
      <c r="AH261" s="40" t="str">
        <f t="shared" si="5"/>
        <v/>
      </c>
      <c r="AI261" s="40" t="str">
        <f t="shared" si="6"/>
        <v/>
      </c>
    </row>
    <row r="262" ht="15.75" customHeight="1">
      <c r="A262" s="126"/>
      <c r="B262" s="42"/>
      <c r="C262" s="125"/>
      <c r="D262" s="41"/>
      <c r="E262" s="64"/>
      <c r="F262" s="64"/>
      <c r="G262" s="41"/>
      <c r="H262" s="41"/>
      <c r="I262" s="123"/>
      <c r="J262" s="123"/>
      <c r="K262" s="123"/>
      <c r="L262" s="123"/>
      <c r="M262" s="41"/>
      <c r="N262" s="123"/>
      <c r="O262" s="65"/>
      <c r="P262" s="123"/>
      <c r="Q262" s="123"/>
      <c r="R262" s="123"/>
      <c r="S262" s="42"/>
      <c r="T262" s="42"/>
      <c r="U262" s="40" t="str">
        <f t="shared" si="9"/>
        <v/>
      </c>
      <c r="V262" s="41"/>
      <c r="W262" s="42"/>
      <c r="X262" s="42"/>
      <c r="Y262" s="43"/>
      <c r="Z262" s="44"/>
      <c r="AA262" s="45" t="str">
        <f t="shared" si="2"/>
        <v/>
      </c>
      <c r="AB262" s="42"/>
      <c r="AC262" s="41"/>
      <c r="AD262" s="41"/>
      <c r="AE262" s="46" t="str">
        <f t="shared" si="3"/>
        <v/>
      </c>
      <c r="AF262" s="46" t="str">
        <f t="shared" si="7"/>
        <v/>
      </c>
      <c r="AG262" s="40" t="str">
        <f t="shared" si="4"/>
        <v/>
      </c>
      <c r="AH262" s="40" t="str">
        <f t="shared" si="5"/>
        <v/>
      </c>
      <c r="AI262" s="40" t="str">
        <f t="shared" si="6"/>
        <v/>
      </c>
    </row>
    <row r="263" ht="15.75" customHeight="1">
      <c r="A263" s="126"/>
      <c r="B263" s="42"/>
      <c r="C263" s="125"/>
      <c r="D263" s="41"/>
      <c r="E263" s="64"/>
      <c r="F263" s="64"/>
      <c r="G263" s="41"/>
      <c r="H263" s="41"/>
      <c r="I263" s="123"/>
      <c r="J263" s="123"/>
      <c r="K263" s="123"/>
      <c r="L263" s="123"/>
      <c r="M263" s="41"/>
      <c r="N263" s="123"/>
      <c r="O263" s="65"/>
      <c r="P263" s="123"/>
      <c r="Q263" s="123"/>
      <c r="R263" s="123"/>
      <c r="S263" s="42"/>
      <c r="T263" s="42"/>
      <c r="U263" s="40" t="str">
        <f t="shared" si="9"/>
        <v/>
      </c>
      <c r="V263" s="41"/>
      <c r="W263" s="42"/>
      <c r="X263" s="42"/>
      <c r="Y263" s="43"/>
      <c r="Z263" s="44"/>
      <c r="AA263" s="45" t="str">
        <f t="shared" si="2"/>
        <v/>
      </c>
      <c r="AB263" s="42"/>
      <c r="AC263" s="41"/>
      <c r="AD263" s="41"/>
      <c r="AE263" s="46" t="str">
        <f t="shared" si="3"/>
        <v/>
      </c>
      <c r="AF263" s="46" t="str">
        <f t="shared" si="7"/>
        <v/>
      </c>
      <c r="AG263" s="40" t="str">
        <f t="shared" si="4"/>
        <v/>
      </c>
      <c r="AH263" s="40" t="str">
        <f t="shared" si="5"/>
        <v/>
      </c>
      <c r="AI263" s="40" t="str">
        <f t="shared" si="6"/>
        <v/>
      </c>
    </row>
    <row r="264" ht="15.75" customHeight="1">
      <c r="A264" s="126"/>
      <c r="B264" s="42"/>
      <c r="C264" s="125"/>
      <c r="D264" s="41"/>
      <c r="E264" s="64"/>
      <c r="F264" s="64"/>
      <c r="G264" s="41"/>
      <c r="H264" s="41"/>
      <c r="I264" s="123"/>
      <c r="J264" s="123"/>
      <c r="K264" s="123"/>
      <c r="L264" s="123"/>
      <c r="M264" s="41"/>
      <c r="N264" s="123"/>
      <c r="O264" s="65"/>
      <c r="P264" s="123"/>
      <c r="Q264" s="123"/>
      <c r="R264" s="123"/>
      <c r="S264" s="42"/>
      <c r="T264" s="42"/>
      <c r="U264" s="40" t="str">
        <f t="shared" si="9"/>
        <v/>
      </c>
      <c r="V264" s="41"/>
      <c r="W264" s="42"/>
      <c r="X264" s="42"/>
      <c r="Y264" s="43"/>
      <c r="Z264" s="44"/>
      <c r="AA264" s="45" t="str">
        <f t="shared" si="2"/>
        <v/>
      </c>
      <c r="AB264" s="42"/>
      <c r="AC264" s="41"/>
      <c r="AD264" s="41"/>
      <c r="AE264" s="46" t="str">
        <f t="shared" si="3"/>
        <v/>
      </c>
      <c r="AF264" s="46" t="str">
        <f t="shared" si="7"/>
        <v/>
      </c>
      <c r="AG264" s="40" t="str">
        <f t="shared" si="4"/>
        <v/>
      </c>
      <c r="AH264" s="40" t="str">
        <f t="shared" si="5"/>
        <v/>
      </c>
      <c r="AI264" s="40" t="str">
        <f t="shared" si="6"/>
        <v/>
      </c>
    </row>
    <row r="265" ht="15.75" customHeight="1">
      <c r="A265" s="126"/>
      <c r="B265" s="42"/>
      <c r="C265" s="125"/>
      <c r="D265" s="41"/>
      <c r="E265" s="64"/>
      <c r="F265" s="64"/>
      <c r="G265" s="41"/>
      <c r="H265" s="41"/>
      <c r="I265" s="123"/>
      <c r="J265" s="123"/>
      <c r="K265" s="123"/>
      <c r="L265" s="123"/>
      <c r="M265" s="41"/>
      <c r="N265" s="123"/>
      <c r="O265" s="65"/>
      <c r="P265" s="123"/>
      <c r="Q265" s="123"/>
      <c r="R265" s="123"/>
      <c r="S265" s="42"/>
      <c r="T265" s="42"/>
      <c r="U265" s="40" t="str">
        <f t="shared" si="9"/>
        <v/>
      </c>
      <c r="V265" s="41"/>
      <c r="W265" s="42"/>
      <c r="X265" s="42"/>
      <c r="Y265" s="43"/>
      <c r="Z265" s="44"/>
      <c r="AA265" s="45" t="str">
        <f t="shared" si="2"/>
        <v/>
      </c>
      <c r="AB265" s="42"/>
      <c r="AC265" s="41"/>
      <c r="AD265" s="41"/>
      <c r="AE265" s="46" t="str">
        <f t="shared" si="3"/>
        <v/>
      </c>
      <c r="AF265" s="46" t="str">
        <f t="shared" si="7"/>
        <v/>
      </c>
      <c r="AG265" s="40" t="str">
        <f t="shared" si="4"/>
        <v/>
      </c>
      <c r="AH265" s="40" t="str">
        <f t="shared" si="5"/>
        <v/>
      </c>
      <c r="AI265" s="40" t="str">
        <f t="shared" si="6"/>
        <v/>
      </c>
    </row>
    <row r="266" ht="15.75" customHeight="1">
      <c r="A266" s="126"/>
      <c r="B266" s="42"/>
      <c r="C266" s="125"/>
      <c r="D266" s="41"/>
      <c r="E266" s="64"/>
      <c r="F266" s="64"/>
      <c r="G266" s="41"/>
      <c r="H266" s="41"/>
      <c r="I266" s="123"/>
      <c r="J266" s="123"/>
      <c r="K266" s="123"/>
      <c r="L266" s="123"/>
      <c r="M266" s="41"/>
      <c r="N266" s="123"/>
      <c r="O266" s="65"/>
      <c r="P266" s="123"/>
      <c r="Q266" s="123"/>
      <c r="R266" s="123"/>
      <c r="S266" s="42"/>
      <c r="T266" s="42"/>
      <c r="U266" s="40" t="str">
        <f t="shared" si="9"/>
        <v/>
      </c>
      <c r="V266" s="41"/>
      <c r="W266" s="42"/>
      <c r="X266" s="42"/>
      <c r="Y266" s="43"/>
      <c r="Z266" s="44"/>
      <c r="AA266" s="45" t="str">
        <f t="shared" si="2"/>
        <v/>
      </c>
      <c r="AB266" s="42"/>
      <c r="AC266" s="41"/>
      <c r="AD266" s="41"/>
      <c r="AE266" s="46" t="str">
        <f t="shared" si="3"/>
        <v/>
      </c>
      <c r="AF266" s="46" t="str">
        <f t="shared" si="7"/>
        <v/>
      </c>
      <c r="AG266" s="40" t="str">
        <f t="shared" si="4"/>
        <v/>
      </c>
      <c r="AH266" s="40" t="str">
        <f t="shared" si="5"/>
        <v/>
      </c>
      <c r="AI266" s="40" t="str">
        <f t="shared" si="6"/>
        <v/>
      </c>
    </row>
    <row r="267" ht="15.75" customHeight="1">
      <c r="A267" s="126"/>
      <c r="B267" s="42"/>
      <c r="C267" s="125"/>
      <c r="D267" s="41"/>
      <c r="E267" s="64"/>
      <c r="F267" s="64"/>
      <c r="G267" s="41"/>
      <c r="H267" s="41"/>
      <c r="I267" s="123"/>
      <c r="J267" s="123"/>
      <c r="K267" s="123"/>
      <c r="L267" s="123"/>
      <c r="M267" s="41"/>
      <c r="N267" s="123"/>
      <c r="O267" s="65"/>
      <c r="P267" s="123"/>
      <c r="Q267" s="123"/>
      <c r="R267" s="123"/>
      <c r="S267" s="42"/>
      <c r="T267" s="42"/>
      <c r="U267" s="40" t="str">
        <f t="shared" si="9"/>
        <v/>
      </c>
      <c r="V267" s="41"/>
      <c r="W267" s="42"/>
      <c r="X267" s="42"/>
      <c r="Y267" s="43"/>
      <c r="Z267" s="44"/>
      <c r="AA267" s="45" t="str">
        <f t="shared" si="2"/>
        <v/>
      </c>
      <c r="AB267" s="42"/>
      <c r="AC267" s="41"/>
      <c r="AD267" s="41"/>
      <c r="AE267" s="46" t="str">
        <f t="shared" si="3"/>
        <v/>
      </c>
      <c r="AF267" s="46" t="str">
        <f t="shared" si="7"/>
        <v/>
      </c>
      <c r="AG267" s="40" t="str">
        <f t="shared" si="4"/>
        <v/>
      </c>
      <c r="AH267" s="40" t="str">
        <f t="shared" si="5"/>
        <v/>
      </c>
      <c r="AI267" s="40" t="str">
        <f t="shared" si="6"/>
        <v/>
      </c>
    </row>
    <row r="268" ht="15.75" customHeight="1">
      <c r="A268" s="126"/>
      <c r="B268" s="42"/>
      <c r="C268" s="125"/>
      <c r="D268" s="41"/>
      <c r="E268" s="64"/>
      <c r="F268" s="64"/>
      <c r="G268" s="41"/>
      <c r="H268" s="41"/>
      <c r="I268" s="123"/>
      <c r="J268" s="123"/>
      <c r="K268" s="123"/>
      <c r="L268" s="123"/>
      <c r="M268" s="41"/>
      <c r="N268" s="123"/>
      <c r="O268" s="65"/>
      <c r="P268" s="123"/>
      <c r="Q268" s="123"/>
      <c r="R268" s="123"/>
      <c r="S268" s="42"/>
      <c r="T268" s="42"/>
      <c r="U268" s="40" t="str">
        <f t="shared" si="9"/>
        <v/>
      </c>
      <c r="V268" s="41"/>
      <c r="W268" s="42"/>
      <c r="X268" s="42"/>
      <c r="Y268" s="43"/>
      <c r="Z268" s="44"/>
      <c r="AA268" s="45" t="str">
        <f t="shared" si="2"/>
        <v/>
      </c>
      <c r="AB268" s="42"/>
      <c r="AC268" s="41"/>
      <c r="AD268" s="41"/>
      <c r="AE268" s="46" t="str">
        <f t="shared" si="3"/>
        <v/>
      </c>
      <c r="AF268" s="46" t="str">
        <f t="shared" si="7"/>
        <v/>
      </c>
      <c r="AG268" s="40" t="str">
        <f t="shared" si="4"/>
        <v/>
      </c>
      <c r="AH268" s="40" t="str">
        <f t="shared" si="5"/>
        <v/>
      </c>
      <c r="AI268" s="40" t="str">
        <f t="shared" si="6"/>
        <v/>
      </c>
    </row>
    <row r="269" ht="15.75" customHeight="1">
      <c r="A269" s="126"/>
      <c r="B269" s="42"/>
      <c r="C269" s="125"/>
      <c r="D269" s="41"/>
      <c r="E269" s="64"/>
      <c r="F269" s="64"/>
      <c r="G269" s="41"/>
      <c r="H269" s="41"/>
      <c r="I269" s="123"/>
      <c r="J269" s="123"/>
      <c r="K269" s="123"/>
      <c r="L269" s="123"/>
      <c r="M269" s="41"/>
      <c r="N269" s="123"/>
      <c r="O269" s="65"/>
      <c r="P269" s="123"/>
      <c r="Q269" s="123"/>
      <c r="R269" s="123"/>
      <c r="S269" s="42"/>
      <c r="T269" s="42"/>
      <c r="U269" s="40" t="str">
        <f t="shared" si="9"/>
        <v/>
      </c>
      <c r="V269" s="41"/>
      <c r="W269" s="42"/>
      <c r="X269" s="42"/>
      <c r="Y269" s="43"/>
      <c r="Z269" s="44"/>
      <c r="AA269" s="45" t="str">
        <f t="shared" si="2"/>
        <v/>
      </c>
      <c r="AB269" s="42"/>
      <c r="AC269" s="41"/>
      <c r="AD269" s="41"/>
      <c r="AE269" s="46" t="str">
        <f t="shared" si="3"/>
        <v/>
      </c>
      <c r="AF269" s="46" t="str">
        <f t="shared" si="7"/>
        <v/>
      </c>
      <c r="AG269" s="40" t="str">
        <f t="shared" si="4"/>
        <v/>
      </c>
      <c r="AH269" s="40" t="str">
        <f t="shared" si="5"/>
        <v/>
      </c>
      <c r="AI269" s="40" t="str">
        <f t="shared" si="6"/>
        <v/>
      </c>
    </row>
    <row r="270" ht="15.75" customHeight="1">
      <c r="A270" s="126"/>
      <c r="B270" s="42"/>
      <c r="C270" s="125"/>
      <c r="D270" s="41"/>
      <c r="E270" s="64"/>
      <c r="F270" s="64"/>
      <c r="G270" s="41"/>
      <c r="H270" s="41"/>
      <c r="I270" s="123"/>
      <c r="J270" s="123"/>
      <c r="K270" s="123"/>
      <c r="L270" s="123"/>
      <c r="M270" s="41"/>
      <c r="N270" s="123"/>
      <c r="O270" s="65"/>
      <c r="P270" s="123"/>
      <c r="Q270" s="123"/>
      <c r="R270" s="123"/>
      <c r="S270" s="42"/>
      <c r="T270" s="42"/>
      <c r="U270" s="40" t="str">
        <f t="shared" si="9"/>
        <v/>
      </c>
      <c r="V270" s="41"/>
      <c r="W270" s="42"/>
      <c r="X270" s="42"/>
      <c r="Y270" s="43"/>
      <c r="Z270" s="44"/>
      <c r="AA270" s="45" t="str">
        <f t="shared" si="2"/>
        <v/>
      </c>
      <c r="AB270" s="42"/>
      <c r="AC270" s="41"/>
      <c r="AD270" s="41"/>
      <c r="AE270" s="46" t="str">
        <f t="shared" si="3"/>
        <v/>
      </c>
      <c r="AF270" s="46" t="str">
        <f t="shared" si="7"/>
        <v/>
      </c>
      <c r="AG270" s="40" t="str">
        <f t="shared" si="4"/>
        <v/>
      </c>
      <c r="AH270" s="40" t="str">
        <f t="shared" si="5"/>
        <v/>
      </c>
      <c r="AI270" s="40" t="str">
        <f t="shared" si="6"/>
        <v/>
      </c>
    </row>
    <row r="271" ht="15.75" customHeight="1">
      <c r="A271" s="126"/>
      <c r="B271" s="42"/>
      <c r="C271" s="125"/>
      <c r="D271" s="41"/>
      <c r="E271" s="64"/>
      <c r="F271" s="64"/>
      <c r="G271" s="41"/>
      <c r="H271" s="41"/>
      <c r="I271" s="123"/>
      <c r="J271" s="123"/>
      <c r="K271" s="123"/>
      <c r="L271" s="123"/>
      <c r="M271" s="41"/>
      <c r="N271" s="123"/>
      <c r="O271" s="65"/>
      <c r="P271" s="123"/>
      <c r="Q271" s="123"/>
      <c r="R271" s="123"/>
      <c r="S271" s="42"/>
      <c r="T271" s="42"/>
      <c r="U271" s="40" t="str">
        <f t="shared" si="9"/>
        <v/>
      </c>
      <c r="V271" s="41"/>
      <c r="W271" s="42"/>
      <c r="X271" s="42"/>
      <c r="Y271" s="43"/>
      <c r="Z271" s="44"/>
      <c r="AA271" s="45" t="str">
        <f t="shared" si="2"/>
        <v/>
      </c>
      <c r="AB271" s="42"/>
      <c r="AC271" s="41"/>
      <c r="AD271" s="41"/>
      <c r="AE271" s="46" t="str">
        <f t="shared" si="3"/>
        <v/>
      </c>
      <c r="AF271" s="46" t="str">
        <f t="shared" si="7"/>
        <v/>
      </c>
      <c r="AG271" s="40" t="str">
        <f t="shared" si="4"/>
        <v/>
      </c>
      <c r="AH271" s="40" t="str">
        <f t="shared" si="5"/>
        <v/>
      </c>
      <c r="AI271" s="40" t="str">
        <f t="shared" si="6"/>
        <v/>
      </c>
    </row>
    <row r="272" ht="15.75" customHeight="1">
      <c r="A272" s="126"/>
      <c r="B272" s="42"/>
      <c r="C272" s="125"/>
      <c r="D272" s="41"/>
      <c r="E272" s="64"/>
      <c r="F272" s="64"/>
      <c r="G272" s="41"/>
      <c r="H272" s="41"/>
      <c r="I272" s="123"/>
      <c r="J272" s="123"/>
      <c r="K272" s="123"/>
      <c r="L272" s="123"/>
      <c r="M272" s="41"/>
      <c r="N272" s="123"/>
      <c r="O272" s="65"/>
      <c r="P272" s="123"/>
      <c r="Q272" s="123"/>
      <c r="R272" s="123"/>
      <c r="S272" s="42"/>
      <c r="T272" s="42"/>
      <c r="U272" s="40" t="str">
        <f t="shared" si="9"/>
        <v/>
      </c>
      <c r="V272" s="41"/>
      <c r="W272" s="42"/>
      <c r="X272" s="42"/>
      <c r="Y272" s="43"/>
      <c r="Z272" s="44"/>
      <c r="AA272" s="45" t="str">
        <f t="shared" si="2"/>
        <v/>
      </c>
      <c r="AB272" s="42"/>
      <c r="AC272" s="41"/>
      <c r="AD272" s="41"/>
      <c r="AE272" s="46" t="str">
        <f t="shared" si="3"/>
        <v/>
      </c>
      <c r="AF272" s="46" t="str">
        <f t="shared" si="7"/>
        <v/>
      </c>
      <c r="AG272" s="40" t="str">
        <f t="shared" si="4"/>
        <v/>
      </c>
      <c r="AH272" s="40" t="str">
        <f t="shared" si="5"/>
        <v/>
      </c>
      <c r="AI272" s="40" t="str">
        <f t="shared" si="6"/>
        <v/>
      </c>
    </row>
    <row r="273" ht="15.75" customHeight="1">
      <c r="A273" s="126"/>
      <c r="B273" s="42"/>
      <c r="C273" s="125"/>
      <c r="D273" s="41"/>
      <c r="E273" s="64"/>
      <c r="F273" s="64"/>
      <c r="G273" s="41"/>
      <c r="H273" s="41"/>
      <c r="I273" s="123"/>
      <c r="J273" s="123"/>
      <c r="K273" s="123"/>
      <c r="L273" s="123"/>
      <c r="M273" s="41"/>
      <c r="N273" s="123"/>
      <c r="O273" s="65"/>
      <c r="P273" s="123"/>
      <c r="Q273" s="123"/>
      <c r="R273" s="123"/>
      <c r="S273" s="42"/>
      <c r="T273" s="42"/>
      <c r="U273" s="40" t="str">
        <f t="shared" si="9"/>
        <v/>
      </c>
      <c r="V273" s="41"/>
      <c r="W273" s="42"/>
      <c r="X273" s="42"/>
      <c r="Y273" s="43"/>
      <c r="Z273" s="44"/>
      <c r="AA273" s="45" t="str">
        <f t="shared" si="2"/>
        <v/>
      </c>
      <c r="AB273" s="42"/>
      <c r="AC273" s="41"/>
      <c r="AD273" s="41"/>
      <c r="AE273" s="46" t="str">
        <f t="shared" si="3"/>
        <v/>
      </c>
      <c r="AF273" s="46" t="str">
        <f t="shared" si="7"/>
        <v/>
      </c>
      <c r="AG273" s="40" t="str">
        <f t="shared" si="4"/>
        <v/>
      </c>
      <c r="AH273" s="40" t="str">
        <f t="shared" si="5"/>
        <v/>
      </c>
      <c r="AI273" s="40" t="str">
        <f t="shared" si="6"/>
        <v/>
      </c>
    </row>
    <row r="274" ht="15.75" customHeight="1">
      <c r="A274" s="126"/>
      <c r="B274" s="42"/>
      <c r="C274" s="125"/>
      <c r="D274" s="41"/>
      <c r="E274" s="64"/>
      <c r="F274" s="64"/>
      <c r="G274" s="41"/>
      <c r="H274" s="41"/>
      <c r="I274" s="123"/>
      <c r="J274" s="123"/>
      <c r="K274" s="123"/>
      <c r="L274" s="123"/>
      <c r="M274" s="41"/>
      <c r="N274" s="123"/>
      <c r="O274" s="65"/>
      <c r="P274" s="123"/>
      <c r="Q274" s="123"/>
      <c r="R274" s="123"/>
      <c r="S274" s="42"/>
      <c r="T274" s="42"/>
      <c r="U274" s="40" t="str">
        <f t="shared" si="9"/>
        <v/>
      </c>
      <c r="V274" s="41"/>
      <c r="W274" s="42"/>
      <c r="X274" s="42"/>
      <c r="Y274" s="43"/>
      <c r="Z274" s="44"/>
      <c r="AA274" s="45" t="str">
        <f t="shared" si="2"/>
        <v/>
      </c>
      <c r="AB274" s="42"/>
      <c r="AC274" s="41"/>
      <c r="AD274" s="41"/>
      <c r="AE274" s="46" t="str">
        <f t="shared" si="3"/>
        <v/>
      </c>
      <c r="AF274" s="46" t="str">
        <f t="shared" si="7"/>
        <v/>
      </c>
      <c r="AG274" s="40" t="str">
        <f t="shared" si="4"/>
        <v/>
      </c>
      <c r="AH274" s="40" t="str">
        <f t="shared" si="5"/>
        <v/>
      </c>
      <c r="AI274" s="40" t="str">
        <f t="shared" si="6"/>
        <v/>
      </c>
    </row>
    <row r="275" ht="15.75" customHeight="1">
      <c r="A275" s="126"/>
      <c r="B275" s="42"/>
      <c r="C275" s="125"/>
      <c r="D275" s="41"/>
      <c r="E275" s="64"/>
      <c r="F275" s="64"/>
      <c r="G275" s="41"/>
      <c r="H275" s="41"/>
      <c r="I275" s="123"/>
      <c r="J275" s="123"/>
      <c r="K275" s="123"/>
      <c r="L275" s="123"/>
      <c r="M275" s="41"/>
      <c r="N275" s="123"/>
      <c r="O275" s="65"/>
      <c r="P275" s="123"/>
      <c r="Q275" s="123"/>
      <c r="R275" s="123"/>
      <c r="S275" s="42"/>
      <c r="T275" s="42"/>
      <c r="U275" s="40" t="str">
        <f t="shared" si="9"/>
        <v/>
      </c>
      <c r="V275" s="41"/>
      <c r="W275" s="42"/>
      <c r="X275" s="42"/>
      <c r="Y275" s="43"/>
      <c r="Z275" s="44"/>
      <c r="AA275" s="45" t="str">
        <f t="shared" si="2"/>
        <v/>
      </c>
      <c r="AB275" s="42"/>
      <c r="AC275" s="41"/>
      <c r="AD275" s="41"/>
      <c r="AE275" s="46" t="str">
        <f t="shared" si="3"/>
        <v/>
      </c>
      <c r="AF275" s="46" t="str">
        <f t="shared" si="7"/>
        <v/>
      </c>
      <c r="AG275" s="40" t="str">
        <f t="shared" si="4"/>
        <v/>
      </c>
      <c r="AH275" s="40" t="str">
        <f t="shared" si="5"/>
        <v/>
      </c>
      <c r="AI275" s="40" t="str">
        <f t="shared" si="6"/>
        <v/>
      </c>
    </row>
    <row r="276" ht="15.75" customHeight="1">
      <c r="A276" s="126"/>
      <c r="B276" s="42"/>
      <c r="C276" s="125"/>
      <c r="D276" s="41"/>
      <c r="E276" s="64"/>
      <c r="F276" s="64"/>
      <c r="G276" s="41"/>
      <c r="H276" s="41"/>
      <c r="I276" s="123"/>
      <c r="J276" s="123"/>
      <c r="K276" s="123"/>
      <c r="L276" s="123"/>
      <c r="M276" s="41"/>
      <c r="N276" s="123"/>
      <c r="O276" s="65"/>
      <c r="P276" s="123"/>
      <c r="Q276" s="123"/>
      <c r="R276" s="123"/>
      <c r="S276" s="42"/>
      <c r="T276" s="42"/>
      <c r="U276" s="40" t="str">
        <f t="shared" si="9"/>
        <v/>
      </c>
      <c r="V276" s="41"/>
      <c r="W276" s="42"/>
      <c r="X276" s="42"/>
      <c r="Y276" s="43"/>
      <c r="Z276" s="44"/>
      <c r="AA276" s="45" t="str">
        <f t="shared" si="2"/>
        <v/>
      </c>
      <c r="AB276" s="42"/>
      <c r="AC276" s="41"/>
      <c r="AD276" s="41"/>
      <c r="AE276" s="46" t="str">
        <f t="shared" si="3"/>
        <v/>
      </c>
      <c r="AF276" s="46" t="str">
        <f t="shared" si="7"/>
        <v/>
      </c>
      <c r="AG276" s="40" t="str">
        <f t="shared" si="4"/>
        <v/>
      </c>
      <c r="AH276" s="40" t="str">
        <f t="shared" si="5"/>
        <v/>
      </c>
      <c r="AI276" s="40" t="str">
        <f t="shared" si="6"/>
        <v/>
      </c>
    </row>
    <row r="277" ht="15.75" customHeight="1">
      <c r="A277" s="126"/>
      <c r="B277" s="42"/>
      <c r="C277" s="125"/>
      <c r="D277" s="41"/>
      <c r="E277" s="64"/>
      <c r="F277" s="64"/>
      <c r="G277" s="41"/>
      <c r="H277" s="41"/>
      <c r="I277" s="123"/>
      <c r="J277" s="123"/>
      <c r="K277" s="123"/>
      <c r="L277" s="123"/>
      <c r="M277" s="41"/>
      <c r="N277" s="123"/>
      <c r="O277" s="65"/>
      <c r="P277" s="123"/>
      <c r="Q277" s="123"/>
      <c r="R277" s="123"/>
      <c r="S277" s="42"/>
      <c r="T277" s="42"/>
      <c r="U277" s="40" t="str">
        <f t="shared" si="9"/>
        <v/>
      </c>
      <c r="V277" s="41"/>
      <c r="W277" s="42"/>
      <c r="X277" s="42"/>
      <c r="Y277" s="43"/>
      <c r="Z277" s="44"/>
      <c r="AA277" s="45" t="str">
        <f t="shared" si="2"/>
        <v/>
      </c>
      <c r="AB277" s="42"/>
      <c r="AC277" s="41"/>
      <c r="AD277" s="41"/>
      <c r="AE277" s="46" t="str">
        <f t="shared" si="3"/>
        <v/>
      </c>
      <c r="AF277" s="46" t="str">
        <f t="shared" si="7"/>
        <v/>
      </c>
      <c r="AG277" s="40" t="str">
        <f t="shared" si="4"/>
        <v/>
      </c>
      <c r="AH277" s="40" t="str">
        <f t="shared" si="5"/>
        <v/>
      </c>
      <c r="AI277" s="40" t="str">
        <f t="shared" si="6"/>
        <v/>
      </c>
    </row>
    <row r="278" ht="15.75" customHeight="1">
      <c r="A278" s="126"/>
      <c r="B278" s="42"/>
      <c r="C278" s="125"/>
      <c r="D278" s="41"/>
      <c r="E278" s="64"/>
      <c r="F278" s="64"/>
      <c r="G278" s="41"/>
      <c r="H278" s="41"/>
      <c r="I278" s="123"/>
      <c r="J278" s="123"/>
      <c r="K278" s="123"/>
      <c r="L278" s="123"/>
      <c r="M278" s="41"/>
      <c r="N278" s="123"/>
      <c r="O278" s="65"/>
      <c r="P278" s="123"/>
      <c r="Q278" s="123"/>
      <c r="R278" s="123"/>
      <c r="S278" s="42"/>
      <c r="T278" s="42"/>
      <c r="U278" s="40" t="str">
        <f t="shared" si="9"/>
        <v/>
      </c>
      <c r="V278" s="41"/>
      <c r="W278" s="42"/>
      <c r="X278" s="42"/>
      <c r="Y278" s="43"/>
      <c r="Z278" s="44"/>
      <c r="AA278" s="45" t="str">
        <f t="shared" si="2"/>
        <v/>
      </c>
      <c r="AB278" s="42"/>
      <c r="AC278" s="41"/>
      <c r="AD278" s="41"/>
      <c r="AE278" s="46" t="str">
        <f t="shared" si="3"/>
        <v/>
      </c>
      <c r="AF278" s="46" t="str">
        <f t="shared" si="7"/>
        <v/>
      </c>
      <c r="AG278" s="40" t="str">
        <f t="shared" si="4"/>
        <v/>
      </c>
      <c r="AH278" s="40" t="str">
        <f t="shared" si="5"/>
        <v/>
      </c>
      <c r="AI278" s="40" t="str">
        <f t="shared" si="6"/>
        <v/>
      </c>
    </row>
    <row r="279" ht="15.75" customHeight="1">
      <c r="A279" s="126"/>
      <c r="B279" s="42"/>
      <c r="C279" s="125"/>
      <c r="D279" s="41"/>
      <c r="E279" s="64"/>
      <c r="F279" s="64"/>
      <c r="G279" s="41"/>
      <c r="H279" s="41"/>
      <c r="I279" s="123"/>
      <c r="J279" s="123"/>
      <c r="K279" s="123"/>
      <c r="L279" s="123"/>
      <c r="M279" s="41"/>
      <c r="N279" s="123"/>
      <c r="O279" s="65"/>
      <c r="P279" s="123"/>
      <c r="Q279" s="123"/>
      <c r="R279" s="123"/>
      <c r="S279" s="42"/>
      <c r="T279" s="42"/>
      <c r="U279" s="40" t="str">
        <f t="shared" si="9"/>
        <v/>
      </c>
      <c r="V279" s="41"/>
      <c r="W279" s="42"/>
      <c r="X279" s="42"/>
      <c r="Y279" s="43"/>
      <c r="Z279" s="44"/>
      <c r="AA279" s="45" t="str">
        <f t="shared" si="2"/>
        <v/>
      </c>
      <c r="AB279" s="42"/>
      <c r="AC279" s="41"/>
      <c r="AD279" s="41"/>
      <c r="AE279" s="46" t="str">
        <f t="shared" si="3"/>
        <v/>
      </c>
      <c r="AF279" s="46" t="str">
        <f t="shared" si="7"/>
        <v/>
      </c>
      <c r="AG279" s="40" t="str">
        <f t="shared" si="4"/>
        <v/>
      </c>
      <c r="AH279" s="40" t="str">
        <f t="shared" si="5"/>
        <v/>
      </c>
      <c r="AI279" s="40" t="str">
        <f t="shared" si="6"/>
        <v/>
      </c>
    </row>
    <row r="280" ht="15.75" customHeight="1">
      <c r="A280" s="126"/>
      <c r="B280" s="42"/>
      <c r="C280" s="41"/>
      <c r="D280" s="41"/>
      <c r="E280" s="64"/>
      <c r="F280" s="64"/>
      <c r="G280" s="41"/>
      <c r="H280" s="41"/>
      <c r="I280" s="123"/>
      <c r="J280" s="123"/>
      <c r="K280" s="123"/>
      <c r="L280" s="123"/>
      <c r="M280" s="41"/>
      <c r="N280" s="123"/>
      <c r="O280" s="65"/>
      <c r="P280" s="123"/>
      <c r="Q280" s="123"/>
      <c r="R280" s="123"/>
      <c r="S280" s="42"/>
      <c r="T280" s="42"/>
      <c r="U280" s="40" t="str">
        <f t="shared" si="9"/>
        <v/>
      </c>
      <c r="V280" s="41"/>
      <c r="W280" s="42"/>
      <c r="X280" s="42"/>
      <c r="Y280" s="43"/>
      <c r="Z280" s="44"/>
      <c r="AA280" s="45" t="str">
        <f t="shared" si="2"/>
        <v/>
      </c>
      <c r="AB280" s="42"/>
      <c r="AC280" s="41"/>
      <c r="AD280" s="41"/>
      <c r="AE280" s="46" t="str">
        <f t="shared" si="3"/>
        <v/>
      </c>
      <c r="AF280" s="46" t="str">
        <f t="shared" si="7"/>
        <v/>
      </c>
      <c r="AG280" s="40" t="str">
        <f t="shared" si="4"/>
        <v/>
      </c>
      <c r="AH280" s="40" t="str">
        <f t="shared" si="5"/>
        <v/>
      </c>
      <c r="AI280" s="40" t="str">
        <f t="shared" si="6"/>
        <v/>
      </c>
    </row>
    <row r="281" ht="15.75" customHeight="1">
      <c r="A281" s="126"/>
      <c r="B281" s="42"/>
      <c r="C281" s="41"/>
      <c r="D281" s="41"/>
      <c r="E281" s="64"/>
      <c r="F281" s="64"/>
      <c r="G281" s="41"/>
      <c r="H281" s="41"/>
      <c r="I281" s="123"/>
      <c r="J281" s="123"/>
      <c r="K281" s="123"/>
      <c r="L281" s="123"/>
      <c r="M281" s="41"/>
      <c r="N281" s="123"/>
      <c r="O281" s="65"/>
      <c r="P281" s="123"/>
      <c r="Q281" s="123"/>
      <c r="R281" s="123"/>
      <c r="S281" s="42"/>
      <c r="T281" s="42"/>
      <c r="U281" s="40" t="str">
        <f t="shared" si="9"/>
        <v/>
      </c>
      <c r="V281" s="41"/>
      <c r="W281" s="42"/>
      <c r="X281" s="42"/>
      <c r="Y281" s="43"/>
      <c r="Z281" s="44"/>
      <c r="AA281" s="45" t="str">
        <f t="shared" si="2"/>
        <v/>
      </c>
      <c r="AB281" s="42"/>
      <c r="AC281" s="41"/>
      <c r="AD281" s="41"/>
      <c r="AE281" s="46" t="str">
        <f t="shared" si="3"/>
        <v/>
      </c>
      <c r="AF281" s="46" t="str">
        <f t="shared" si="7"/>
        <v/>
      </c>
      <c r="AG281" s="40" t="str">
        <f t="shared" si="4"/>
        <v/>
      </c>
      <c r="AH281" s="40" t="str">
        <f t="shared" si="5"/>
        <v/>
      </c>
      <c r="AI281" s="40" t="str">
        <f t="shared" si="6"/>
        <v/>
      </c>
    </row>
    <row r="282" ht="15.75" customHeight="1">
      <c r="A282" s="126"/>
      <c r="B282" s="42"/>
      <c r="C282" s="41"/>
      <c r="D282" s="41"/>
      <c r="E282" s="64"/>
      <c r="F282" s="64"/>
      <c r="G282" s="41"/>
      <c r="H282" s="41"/>
      <c r="I282" s="123"/>
      <c r="J282" s="123"/>
      <c r="K282" s="123"/>
      <c r="L282" s="123"/>
      <c r="M282" s="41"/>
      <c r="N282" s="123"/>
      <c r="O282" s="65"/>
      <c r="P282" s="123"/>
      <c r="Q282" s="123"/>
      <c r="R282" s="123"/>
      <c r="S282" s="42"/>
      <c r="T282" s="42"/>
      <c r="U282" s="40" t="str">
        <f t="shared" si="9"/>
        <v/>
      </c>
      <c r="V282" s="41"/>
      <c r="W282" s="42"/>
      <c r="X282" s="42"/>
      <c r="Y282" s="43"/>
      <c r="Z282" s="44"/>
      <c r="AA282" s="45" t="str">
        <f t="shared" si="2"/>
        <v/>
      </c>
      <c r="AB282" s="42"/>
      <c r="AC282" s="41"/>
      <c r="AD282" s="41"/>
      <c r="AE282" s="46" t="str">
        <f t="shared" si="3"/>
        <v/>
      </c>
      <c r="AF282" s="46" t="str">
        <f t="shared" si="7"/>
        <v/>
      </c>
      <c r="AG282" s="40" t="str">
        <f t="shared" si="4"/>
        <v/>
      </c>
      <c r="AH282" s="40" t="str">
        <f t="shared" si="5"/>
        <v/>
      </c>
      <c r="AI282" s="40" t="str">
        <f t="shared" si="6"/>
        <v/>
      </c>
    </row>
    <row r="283" ht="15.75" customHeight="1">
      <c r="A283" s="126"/>
      <c r="B283" s="42"/>
      <c r="C283" s="41"/>
      <c r="D283" s="41"/>
      <c r="E283" s="64"/>
      <c r="F283" s="64"/>
      <c r="G283" s="41"/>
      <c r="H283" s="41"/>
      <c r="I283" s="123"/>
      <c r="J283" s="123"/>
      <c r="K283" s="123"/>
      <c r="L283" s="123"/>
      <c r="M283" s="41"/>
      <c r="N283" s="123"/>
      <c r="O283" s="65"/>
      <c r="P283" s="123"/>
      <c r="Q283" s="123"/>
      <c r="R283" s="123"/>
      <c r="S283" s="42"/>
      <c r="T283" s="42"/>
      <c r="U283" s="40" t="str">
        <f t="shared" si="9"/>
        <v/>
      </c>
      <c r="V283" s="41"/>
      <c r="W283" s="42"/>
      <c r="X283" s="42"/>
      <c r="Y283" s="43"/>
      <c r="Z283" s="44"/>
      <c r="AA283" s="45" t="str">
        <f t="shared" si="2"/>
        <v/>
      </c>
      <c r="AB283" s="42"/>
      <c r="AC283" s="41"/>
      <c r="AD283" s="41"/>
      <c r="AE283" s="46" t="str">
        <f t="shared" si="3"/>
        <v/>
      </c>
      <c r="AF283" s="46" t="str">
        <f t="shared" si="7"/>
        <v/>
      </c>
      <c r="AG283" s="40" t="str">
        <f t="shared" si="4"/>
        <v/>
      </c>
      <c r="AH283" s="40" t="str">
        <f t="shared" si="5"/>
        <v/>
      </c>
      <c r="AI283" s="40" t="str">
        <f t="shared" si="6"/>
        <v/>
      </c>
    </row>
    <row r="284" ht="15.75" customHeight="1">
      <c r="A284" s="126"/>
      <c r="B284" s="42"/>
      <c r="C284" s="41"/>
      <c r="D284" s="41"/>
      <c r="E284" s="64"/>
      <c r="F284" s="64"/>
      <c r="G284" s="41"/>
      <c r="H284" s="41"/>
      <c r="I284" s="123"/>
      <c r="J284" s="123"/>
      <c r="K284" s="123"/>
      <c r="L284" s="123"/>
      <c r="M284" s="41"/>
      <c r="N284" s="123"/>
      <c r="O284" s="65"/>
      <c r="P284" s="123"/>
      <c r="Q284" s="123"/>
      <c r="R284" s="123"/>
      <c r="S284" s="42"/>
      <c r="T284" s="42"/>
      <c r="U284" s="40" t="str">
        <f t="shared" si="9"/>
        <v/>
      </c>
      <c r="V284" s="41"/>
      <c r="W284" s="42"/>
      <c r="X284" s="42"/>
      <c r="Y284" s="43"/>
      <c r="Z284" s="44"/>
      <c r="AA284" s="45" t="str">
        <f t="shared" si="2"/>
        <v/>
      </c>
      <c r="AB284" s="42"/>
      <c r="AC284" s="41"/>
      <c r="AD284" s="41"/>
      <c r="AE284" s="46" t="str">
        <f t="shared" si="3"/>
        <v/>
      </c>
      <c r="AF284" s="46" t="str">
        <f t="shared" si="7"/>
        <v/>
      </c>
      <c r="AG284" s="40" t="str">
        <f t="shared" si="4"/>
        <v/>
      </c>
      <c r="AH284" s="40" t="str">
        <f t="shared" si="5"/>
        <v/>
      </c>
      <c r="AI284" s="40" t="str">
        <f t="shared" si="6"/>
        <v/>
      </c>
    </row>
    <row r="285" ht="15.75" customHeight="1">
      <c r="A285" s="126"/>
      <c r="B285" s="42"/>
      <c r="C285" s="41"/>
      <c r="D285" s="41"/>
      <c r="E285" s="64"/>
      <c r="F285" s="64"/>
      <c r="G285" s="41"/>
      <c r="H285" s="41"/>
      <c r="I285" s="123"/>
      <c r="J285" s="123"/>
      <c r="K285" s="123"/>
      <c r="L285" s="123"/>
      <c r="M285" s="41"/>
      <c r="N285" s="123"/>
      <c r="O285" s="65"/>
      <c r="P285" s="123"/>
      <c r="Q285" s="123"/>
      <c r="R285" s="123"/>
      <c r="S285" s="42"/>
      <c r="T285" s="42"/>
      <c r="U285" s="40" t="str">
        <f t="shared" si="9"/>
        <v/>
      </c>
      <c r="V285" s="41"/>
      <c r="W285" s="42"/>
      <c r="X285" s="42"/>
      <c r="Y285" s="43"/>
      <c r="Z285" s="44"/>
      <c r="AA285" s="45" t="str">
        <f t="shared" si="2"/>
        <v/>
      </c>
      <c r="AB285" s="42"/>
      <c r="AC285" s="41"/>
      <c r="AD285" s="41"/>
      <c r="AE285" s="46" t="str">
        <f t="shared" si="3"/>
        <v/>
      </c>
      <c r="AF285" s="46" t="str">
        <f t="shared" si="7"/>
        <v/>
      </c>
      <c r="AG285" s="40" t="str">
        <f t="shared" si="4"/>
        <v/>
      </c>
      <c r="AH285" s="40" t="str">
        <f t="shared" si="5"/>
        <v/>
      </c>
      <c r="AI285" s="40" t="str">
        <f t="shared" si="6"/>
        <v/>
      </c>
    </row>
    <row r="286" ht="15.75" customHeight="1">
      <c r="A286" s="126"/>
      <c r="B286" s="42"/>
      <c r="C286" s="41"/>
      <c r="D286" s="41"/>
      <c r="E286" s="64"/>
      <c r="F286" s="64"/>
      <c r="G286" s="41"/>
      <c r="H286" s="41"/>
      <c r="I286" s="123"/>
      <c r="J286" s="123"/>
      <c r="K286" s="123"/>
      <c r="L286" s="123"/>
      <c r="M286" s="41"/>
      <c r="N286" s="123"/>
      <c r="O286" s="65"/>
      <c r="P286" s="123"/>
      <c r="Q286" s="123"/>
      <c r="R286" s="123"/>
      <c r="S286" s="42"/>
      <c r="T286" s="42"/>
      <c r="U286" s="40" t="str">
        <f t="shared" si="9"/>
        <v/>
      </c>
      <c r="V286" s="41"/>
      <c r="W286" s="42"/>
      <c r="X286" s="42"/>
      <c r="Y286" s="43"/>
      <c r="Z286" s="44"/>
      <c r="AA286" s="45" t="str">
        <f t="shared" si="2"/>
        <v/>
      </c>
      <c r="AB286" s="42"/>
      <c r="AC286" s="41"/>
      <c r="AD286" s="41"/>
      <c r="AE286" s="46" t="str">
        <f t="shared" si="3"/>
        <v/>
      </c>
      <c r="AF286" s="46" t="str">
        <f t="shared" si="7"/>
        <v/>
      </c>
      <c r="AG286" s="40" t="str">
        <f t="shared" si="4"/>
        <v/>
      </c>
      <c r="AH286" s="40" t="str">
        <f t="shared" si="5"/>
        <v/>
      </c>
      <c r="AI286" s="40" t="str">
        <f t="shared" si="6"/>
        <v/>
      </c>
    </row>
    <row r="287" ht="15.75" customHeight="1">
      <c r="A287" s="126"/>
      <c r="B287" s="42"/>
      <c r="C287" s="41"/>
      <c r="D287" s="41"/>
      <c r="E287" s="64"/>
      <c r="F287" s="64"/>
      <c r="G287" s="41"/>
      <c r="H287" s="41"/>
      <c r="I287" s="123"/>
      <c r="J287" s="123"/>
      <c r="K287" s="123"/>
      <c r="L287" s="123"/>
      <c r="M287" s="41"/>
      <c r="N287" s="123"/>
      <c r="O287" s="65"/>
      <c r="P287" s="123"/>
      <c r="Q287" s="123"/>
      <c r="R287" s="123"/>
      <c r="S287" s="42"/>
      <c r="T287" s="42"/>
      <c r="U287" s="40" t="str">
        <f t="shared" si="9"/>
        <v/>
      </c>
      <c r="V287" s="41"/>
      <c r="W287" s="42"/>
      <c r="X287" s="42"/>
      <c r="Y287" s="43"/>
      <c r="Z287" s="44"/>
      <c r="AA287" s="45" t="str">
        <f t="shared" si="2"/>
        <v/>
      </c>
      <c r="AB287" s="42"/>
      <c r="AC287" s="41"/>
      <c r="AD287" s="41"/>
      <c r="AE287" s="46" t="str">
        <f t="shared" si="3"/>
        <v/>
      </c>
      <c r="AF287" s="46" t="str">
        <f t="shared" si="7"/>
        <v/>
      </c>
      <c r="AG287" s="40" t="str">
        <f t="shared" si="4"/>
        <v/>
      </c>
      <c r="AH287" s="40" t="str">
        <f t="shared" si="5"/>
        <v/>
      </c>
      <c r="AI287" s="40" t="str">
        <f t="shared" si="6"/>
        <v/>
      </c>
    </row>
    <row r="288" ht="15.75" customHeight="1">
      <c r="A288" s="126"/>
      <c r="B288" s="42"/>
      <c r="C288" s="41"/>
      <c r="D288" s="41"/>
      <c r="E288" s="64"/>
      <c r="F288" s="64"/>
      <c r="G288" s="41"/>
      <c r="H288" s="41"/>
      <c r="I288" s="123"/>
      <c r="J288" s="123"/>
      <c r="K288" s="123"/>
      <c r="L288" s="123"/>
      <c r="M288" s="41"/>
      <c r="N288" s="123"/>
      <c r="O288" s="65"/>
      <c r="P288" s="123"/>
      <c r="Q288" s="123"/>
      <c r="R288" s="123"/>
      <c r="S288" s="42"/>
      <c r="T288" s="42"/>
      <c r="U288" s="40" t="str">
        <f t="shared" si="9"/>
        <v/>
      </c>
      <c r="V288" s="41"/>
      <c r="W288" s="42"/>
      <c r="X288" s="42"/>
      <c r="Y288" s="43"/>
      <c r="Z288" s="44"/>
      <c r="AA288" s="45" t="str">
        <f t="shared" si="2"/>
        <v/>
      </c>
      <c r="AB288" s="42"/>
      <c r="AC288" s="41"/>
      <c r="AD288" s="41"/>
      <c r="AE288" s="46" t="str">
        <f t="shared" si="3"/>
        <v/>
      </c>
      <c r="AF288" s="46" t="str">
        <f t="shared" si="7"/>
        <v/>
      </c>
      <c r="AG288" s="40" t="str">
        <f t="shared" si="4"/>
        <v/>
      </c>
      <c r="AH288" s="40" t="str">
        <f t="shared" si="5"/>
        <v/>
      </c>
      <c r="AI288" s="40" t="str">
        <f t="shared" si="6"/>
        <v/>
      </c>
    </row>
    <row r="289" ht="15.75" customHeight="1">
      <c r="A289" s="126"/>
      <c r="B289" s="42"/>
      <c r="C289" s="41"/>
      <c r="D289" s="41"/>
      <c r="E289" s="64"/>
      <c r="F289" s="64"/>
      <c r="G289" s="41"/>
      <c r="H289" s="41"/>
      <c r="I289" s="123"/>
      <c r="J289" s="123"/>
      <c r="K289" s="123"/>
      <c r="L289" s="123"/>
      <c r="M289" s="41"/>
      <c r="N289" s="123"/>
      <c r="O289" s="65"/>
      <c r="P289" s="123"/>
      <c r="Q289" s="123"/>
      <c r="R289" s="123"/>
      <c r="S289" s="42"/>
      <c r="T289" s="42"/>
      <c r="U289" s="40" t="str">
        <f t="shared" si="9"/>
        <v/>
      </c>
      <c r="V289" s="41"/>
      <c r="W289" s="42"/>
      <c r="X289" s="42"/>
      <c r="Y289" s="43"/>
      <c r="Z289" s="44"/>
      <c r="AA289" s="45" t="str">
        <f t="shared" si="2"/>
        <v/>
      </c>
      <c r="AB289" s="42"/>
      <c r="AC289" s="41"/>
      <c r="AD289" s="41"/>
      <c r="AE289" s="46" t="str">
        <f t="shared" si="3"/>
        <v/>
      </c>
      <c r="AF289" s="46" t="str">
        <f t="shared" si="7"/>
        <v/>
      </c>
      <c r="AG289" s="40" t="str">
        <f t="shared" si="4"/>
        <v/>
      </c>
      <c r="AH289" s="40" t="str">
        <f t="shared" si="5"/>
        <v/>
      </c>
      <c r="AI289" s="40" t="str">
        <f t="shared" si="6"/>
        <v/>
      </c>
    </row>
    <row r="290" ht="15.75" customHeight="1">
      <c r="A290" s="126"/>
      <c r="B290" s="42"/>
      <c r="C290" s="41"/>
      <c r="D290" s="41"/>
      <c r="E290" s="64"/>
      <c r="F290" s="64"/>
      <c r="G290" s="41"/>
      <c r="H290" s="41"/>
      <c r="I290" s="123"/>
      <c r="J290" s="123"/>
      <c r="K290" s="123"/>
      <c r="L290" s="123"/>
      <c r="M290" s="41"/>
      <c r="N290" s="123"/>
      <c r="O290" s="65"/>
      <c r="P290" s="123"/>
      <c r="Q290" s="123"/>
      <c r="R290" s="123"/>
      <c r="S290" s="42"/>
      <c r="T290" s="42"/>
      <c r="U290" s="40" t="str">
        <f t="shared" si="9"/>
        <v/>
      </c>
      <c r="V290" s="41"/>
      <c r="W290" s="42"/>
      <c r="X290" s="42"/>
      <c r="Y290" s="43"/>
      <c r="Z290" s="44"/>
      <c r="AA290" s="45" t="str">
        <f t="shared" si="2"/>
        <v/>
      </c>
      <c r="AB290" s="42"/>
      <c r="AC290" s="41"/>
      <c r="AD290" s="41"/>
      <c r="AE290" s="46" t="str">
        <f t="shared" si="3"/>
        <v/>
      </c>
      <c r="AF290" s="46" t="str">
        <f t="shared" si="7"/>
        <v/>
      </c>
      <c r="AG290" s="40" t="str">
        <f t="shared" si="4"/>
        <v/>
      </c>
      <c r="AH290" s="40" t="str">
        <f t="shared" si="5"/>
        <v/>
      </c>
      <c r="AI290" s="40" t="str">
        <f t="shared" si="6"/>
        <v/>
      </c>
    </row>
    <row r="291" ht="15.75" customHeight="1">
      <c r="A291" s="126"/>
      <c r="B291" s="42"/>
      <c r="C291" s="41"/>
      <c r="D291" s="41"/>
      <c r="E291" s="64"/>
      <c r="F291" s="64"/>
      <c r="G291" s="41"/>
      <c r="H291" s="41"/>
      <c r="I291" s="123"/>
      <c r="J291" s="123"/>
      <c r="K291" s="123"/>
      <c r="L291" s="123"/>
      <c r="M291" s="41"/>
      <c r="N291" s="123"/>
      <c r="O291" s="65"/>
      <c r="P291" s="123"/>
      <c r="Q291" s="123"/>
      <c r="R291" s="123"/>
      <c r="S291" s="42"/>
      <c r="T291" s="42"/>
      <c r="U291" s="40" t="str">
        <f t="shared" si="9"/>
        <v/>
      </c>
      <c r="V291" s="41"/>
      <c r="W291" s="42"/>
      <c r="X291" s="42"/>
      <c r="Y291" s="43"/>
      <c r="Z291" s="44"/>
      <c r="AA291" s="45" t="str">
        <f t="shared" si="2"/>
        <v/>
      </c>
      <c r="AB291" s="42"/>
      <c r="AC291" s="41"/>
      <c r="AD291" s="41"/>
      <c r="AE291" s="46" t="str">
        <f t="shared" si="3"/>
        <v/>
      </c>
      <c r="AF291" s="46" t="str">
        <f t="shared" si="7"/>
        <v/>
      </c>
      <c r="AG291" s="40" t="str">
        <f t="shared" si="4"/>
        <v/>
      </c>
      <c r="AH291" s="40" t="str">
        <f t="shared" si="5"/>
        <v/>
      </c>
      <c r="AI291" s="40" t="str">
        <f t="shared" si="6"/>
        <v/>
      </c>
    </row>
    <row r="292" ht="15.75" customHeight="1">
      <c r="A292" s="126"/>
      <c r="B292" s="42"/>
      <c r="C292" s="41"/>
      <c r="D292" s="41"/>
      <c r="E292" s="64"/>
      <c r="F292" s="64"/>
      <c r="G292" s="41"/>
      <c r="H292" s="41"/>
      <c r="I292" s="123"/>
      <c r="J292" s="123"/>
      <c r="K292" s="123"/>
      <c r="L292" s="123"/>
      <c r="M292" s="41"/>
      <c r="N292" s="123"/>
      <c r="O292" s="65"/>
      <c r="P292" s="123"/>
      <c r="Q292" s="123"/>
      <c r="R292" s="123"/>
      <c r="S292" s="42"/>
      <c r="T292" s="42"/>
      <c r="U292" s="40" t="str">
        <f t="shared" si="9"/>
        <v/>
      </c>
      <c r="V292" s="41"/>
      <c r="W292" s="42"/>
      <c r="X292" s="42"/>
      <c r="Y292" s="43"/>
      <c r="Z292" s="44"/>
      <c r="AA292" s="45" t="str">
        <f t="shared" si="2"/>
        <v/>
      </c>
      <c r="AB292" s="42"/>
      <c r="AC292" s="41"/>
      <c r="AD292" s="41"/>
      <c r="AE292" s="46" t="str">
        <f t="shared" si="3"/>
        <v/>
      </c>
      <c r="AF292" s="46" t="str">
        <f t="shared" si="7"/>
        <v/>
      </c>
      <c r="AG292" s="40" t="str">
        <f t="shared" si="4"/>
        <v/>
      </c>
      <c r="AH292" s="40" t="str">
        <f t="shared" si="5"/>
        <v/>
      </c>
      <c r="AI292" s="40" t="str">
        <f t="shared" si="6"/>
        <v/>
      </c>
    </row>
    <row r="293" ht="15.75" customHeight="1">
      <c r="A293" s="126"/>
      <c r="B293" s="42"/>
      <c r="C293" s="41"/>
      <c r="D293" s="41"/>
      <c r="E293" s="64"/>
      <c r="F293" s="64"/>
      <c r="G293" s="41"/>
      <c r="H293" s="41"/>
      <c r="I293" s="123"/>
      <c r="J293" s="123"/>
      <c r="K293" s="123"/>
      <c r="L293" s="123"/>
      <c r="M293" s="41"/>
      <c r="N293" s="123"/>
      <c r="O293" s="65"/>
      <c r="P293" s="123"/>
      <c r="Q293" s="123"/>
      <c r="R293" s="123"/>
      <c r="S293" s="42"/>
      <c r="T293" s="42"/>
      <c r="U293" s="40" t="str">
        <f t="shared" si="9"/>
        <v/>
      </c>
      <c r="V293" s="41"/>
      <c r="W293" s="42"/>
      <c r="X293" s="42"/>
      <c r="Y293" s="43"/>
      <c r="Z293" s="44"/>
      <c r="AA293" s="45" t="str">
        <f t="shared" si="2"/>
        <v/>
      </c>
      <c r="AB293" s="42"/>
      <c r="AC293" s="41"/>
      <c r="AD293" s="41"/>
      <c r="AE293" s="46" t="str">
        <f t="shared" si="3"/>
        <v/>
      </c>
      <c r="AF293" s="46" t="str">
        <f t="shared" si="7"/>
        <v/>
      </c>
      <c r="AG293" s="40" t="str">
        <f t="shared" si="4"/>
        <v/>
      </c>
      <c r="AH293" s="40" t="str">
        <f t="shared" si="5"/>
        <v/>
      </c>
      <c r="AI293" s="40" t="str">
        <f t="shared" si="6"/>
        <v/>
      </c>
    </row>
    <row r="294" ht="15.75" customHeight="1">
      <c r="A294" s="126"/>
      <c r="B294" s="42"/>
      <c r="C294" s="41"/>
      <c r="D294" s="41"/>
      <c r="E294" s="64"/>
      <c r="F294" s="64"/>
      <c r="G294" s="41"/>
      <c r="H294" s="41"/>
      <c r="I294" s="123"/>
      <c r="J294" s="123"/>
      <c r="K294" s="123"/>
      <c r="L294" s="123"/>
      <c r="M294" s="41"/>
      <c r="N294" s="123"/>
      <c r="O294" s="65"/>
      <c r="P294" s="123"/>
      <c r="Q294" s="123"/>
      <c r="R294" s="123"/>
      <c r="S294" s="42"/>
      <c r="T294" s="42"/>
      <c r="U294" s="40" t="str">
        <f t="shared" si="9"/>
        <v/>
      </c>
      <c r="V294" s="41"/>
      <c r="W294" s="42"/>
      <c r="X294" s="42"/>
      <c r="Y294" s="43"/>
      <c r="Z294" s="44"/>
      <c r="AA294" s="45" t="str">
        <f t="shared" si="2"/>
        <v/>
      </c>
      <c r="AB294" s="42"/>
      <c r="AC294" s="41"/>
      <c r="AD294" s="41"/>
      <c r="AE294" s="46" t="str">
        <f t="shared" si="3"/>
        <v/>
      </c>
      <c r="AF294" s="46" t="str">
        <f t="shared" si="7"/>
        <v/>
      </c>
      <c r="AG294" s="40" t="str">
        <f t="shared" si="4"/>
        <v/>
      </c>
      <c r="AH294" s="40" t="str">
        <f t="shared" si="5"/>
        <v/>
      </c>
      <c r="AI294" s="40" t="str">
        <f t="shared" si="6"/>
        <v/>
      </c>
    </row>
    <row r="295" ht="15.75" customHeight="1">
      <c r="A295" s="126"/>
      <c r="B295" s="42"/>
      <c r="C295" s="41"/>
      <c r="D295" s="41"/>
      <c r="E295" s="64"/>
      <c r="F295" s="64"/>
      <c r="G295" s="41"/>
      <c r="H295" s="41"/>
      <c r="I295" s="123"/>
      <c r="J295" s="123"/>
      <c r="K295" s="123"/>
      <c r="L295" s="123"/>
      <c r="M295" s="41"/>
      <c r="N295" s="123"/>
      <c r="O295" s="65"/>
      <c r="P295" s="123"/>
      <c r="Q295" s="123"/>
      <c r="R295" s="123"/>
      <c r="S295" s="42"/>
      <c r="T295" s="42"/>
      <c r="U295" s="40" t="str">
        <f t="shared" si="9"/>
        <v/>
      </c>
      <c r="V295" s="41"/>
      <c r="W295" s="42"/>
      <c r="X295" s="42"/>
      <c r="Y295" s="43"/>
      <c r="Z295" s="44"/>
      <c r="AA295" s="45" t="str">
        <f t="shared" si="2"/>
        <v/>
      </c>
      <c r="AB295" s="42"/>
      <c r="AC295" s="41"/>
      <c r="AD295" s="41"/>
      <c r="AE295" s="46" t="str">
        <f t="shared" si="3"/>
        <v/>
      </c>
      <c r="AF295" s="46" t="str">
        <f t="shared" si="7"/>
        <v/>
      </c>
      <c r="AG295" s="40" t="str">
        <f t="shared" si="4"/>
        <v/>
      </c>
      <c r="AH295" s="40" t="str">
        <f t="shared" si="5"/>
        <v/>
      </c>
      <c r="AI295" s="40" t="str">
        <f t="shared" si="6"/>
        <v/>
      </c>
    </row>
    <row r="296" ht="15.75" customHeight="1">
      <c r="A296" s="126"/>
      <c r="B296" s="42"/>
      <c r="C296" s="41"/>
      <c r="D296" s="41"/>
      <c r="E296" s="64"/>
      <c r="F296" s="64"/>
      <c r="G296" s="41"/>
      <c r="H296" s="41"/>
      <c r="I296" s="123"/>
      <c r="J296" s="123"/>
      <c r="K296" s="123"/>
      <c r="L296" s="123"/>
      <c r="M296" s="41"/>
      <c r="N296" s="123"/>
      <c r="O296" s="65"/>
      <c r="P296" s="123"/>
      <c r="Q296" s="123"/>
      <c r="R296" s="123"/>
      <c r="S296" s="42"/>
      <c r="T296" s="42"/>
      <c r="U296" s="40" t="str">
        <f t="shared" si="9"/>
        <v/>
      </c>
      <c r="V296" s="41"/>
      <c r="W296" s="42"/>
      <c r="X296" s="42"/>
      <c r="Y296" s="43"/>
      <c r="Z296" s="44"/>
      <c r="AA296" s="45" t="str">
        <f t="shared" si="2"/>
        <v/>
      </c>
      <c r="AB296" s="42"/>
      <c r="AC296" s="41"/>
      <c r="AD296" s="41"/>
      <c r="AE296" s="46" t="str">
        <f t="shared" si="3"/>
        <v/>
      </c>
      <c r="AF296" s="46" t="str">
        <f t="shared" si="7"/>
        <v/>
      </c>
      <c r="AG296" s="40" t="str">
        <f t="shared" si="4"/>
        <v/>
      </c>
      <c r="AH296" s="40" t="str">
        <f t="shared" si="5"/>
        <v/>
      </c>
      <c r="AI296" s="40" t="str">
        <f t="shared" si="6"/>
        <v/>
      </c>
    </row>
    <row r="297" ht="15.75" customHeight="1">
      <c r="A297" s="126"/>
      <c r="B297" s="42"/>
      <c r="C297" s="41"/>
      <c r="D297" s="41"/>
      <c r="E297" s="64"/>
      <c r="F297" s="64"/>
      <c r="G297" s="41"/>
      <c r="H297" s="41"/>
      <c r="I297" s="123"/>
      <c r="J297" s="123"/>
      <c r="K297" s="123"/>
      <c r="L297" s="123"/>
      <c r="M297" s="41"/>
      <c r="N297" s="123"/>
      <c r="O297" s="65"/>
      <c r="P297" s="123"/>
      <c r="Q297" s="123"/>
      <c r="R297" s="123"/>
      <c r="S297" s="42"/>
      <c r="T297" s="42"/>
      <c r="U297" s="40" t="str">
        <f t="shared" si="9"/>
        <v/>
      </c>
      <c r="V297" s="41"/>
      <c r="W297" s="42"/>
      <c r="X297" s="42"/>
      <c r="Y297" s="43"/>
      <c r="Z297" s="44"/>
      <c r="AA297" s="45" t="str">
        <f t="shared" si="2"/>
        <v/>
      </c>
      <c r="AB297" s="42"/>
      <c r="AC297" s="41"/>
      <c r="AD297" s="41"/>
      <c r="AE297" s="46" t="str">
        <f t="shared" si="3"/>
        <v/>
      </c>
      <c r="AF297" s="46" t="str">
        <f t="shared" si="7"/>
        <v/>
      </c>
      <c r="AG297" s="40" t="str">
        <f t="shared" si="4"/>
        <v/>
      </c>
      <c r="AH297" s="40" t="str">
        <f t="shared" si="5"/>
        <v/>
      </c>
      <c r="AI297" s="40" t="str">
        <f t="shared" si="6"/>
        <v/>
      </c>
    </row>
    <row r="298" ht="15.75" customHeight="1">
      <c r="A298" s="126"/>
      <c r="B298" s="42"/>
      <c r="C298" s="41"/>
      <c r="D298" s="41"/>
      <c r="E298" s="64"/>
      <c r="F298" s="64"/>
      <c r="G298" s="41"/>
      <c r="H298" s="41"/>
      <c r="I298" s="123"/>
      <c r="J298" s="123"/>
      <c r="K298" s="123"/>
      <c r="L298" s="123"/>
      <c r="M298" s="41"/>
      <c r="N298" s="123"/>
      <c r="O298" s="65"/>
      <c r="P298" s="123"/>
      <c r="Q298" s="123"/>
      <c r="R298" s="123"/>
      <c r="S298" s="42"/>
      <c r="T298" s="42"/>
      <c r="U298" s="40" t="str">
        <f t="shared" si="9"/>
        <v/>
      </c>
      <c r="V298" s="41"/>
      <c r="W298" s="42"/>
      <c r="X298" s="42"/>
      <c r="Y298" s="43"/>
      <c r="Z298" s="44"/>
      <c r="AA298" s="45" t="str">
        <f t="shared" si="2"/>
        <v/>
      </c>
      <c r="AB298" s="42"/>
      <c r="AC298" s="41"/>
      <c r="AD298" s="41"/>
      <c r="AE298" s="46" t="str">
        <f t="shared" si="3"/>
        <v/>
      </c>
      <c r="AF298" s="46" t="str">
        <f t="shared" si="7"/>
        <v/>
      </c>
      <c r="AG298" s="40" t="str">
        <f t="shared" si="4"/>
        <v/>
      </c>
      <c r="AH298" s="40" t="str">
        <f t="shared" si="5"/>
        <v/>
      </c>
      <c r="AI298" s="40" t="str">
        <f t="shared" si="6"/>
        <v/>
      </c>
    </row>
    <row r="299" ht="15.75" customHeight="1">
      <c r="A299" s="126"/>
      <c r="B299" s="42"/>
      <c r="C299" s="41"/>
      <c r="D299" s="41"/>
      <c r="E299" s="64"/>
      <c r="F299" s="64"/>
      <c r="G299" s="41"/>
      <c r="H299" s="41"/>
      <c r="I299" s="123"/>
      <c r="J299" s="123"/>
      <c r="K299" s="123"/>
      <c r="L299" s="123"/>
      <c r="M299" s="41"/>
      <c r="N299" s="123"/>
      <c r="O299" s="65"/>
      <c r="P299" s="123"/>
      <c r="Q299" s="123"/>
      <c r="R299" s="123"/>
      <c r="S299" s="42"/>
      <c r="T299" s="42"/>
      <c r="U299" s="40" t="str">
        <f t="shared" si="9"/>
        <v/>
      </c>
      <c r="V299" s="41"/>
      <c r="W299" s="42"/>
      <c r="X299" s="42"/>
      <c r="Y299" s="43"/>
      <c r="Z299" s="44"/>
      <c r="AA299" s="45" t="str">
        <f t="shared" si="2"/>
        <v/>
      </c>
      <c r="AB299" s="42"/>
      <c r="AC299" s="41"/>
      <c r="AD299" s="41"/>
      <c r="AE299" s="46" t="str">
        <f t="shared" si="3"/>
        <v/>
      </c>
      <c r="AF299" s="46" t="str">
        <f t="shared" si="7"/>
        <v/>
      </c>
      <c r="AG299" s="40" t="str">
        <f t="shared" si="4"/>
        <v/>
      </c>
      <c r="AH299" s="40" t="str">
        <f t="shared" si="5"/>
        <v/>
      </c>
      <c r="AI299" s="40" t="str">
        <f t="shared" si="6"/>
        <v/>
      </c>
    </row>
    <row r="300" ht="15.75" customHeight="1">
      <c r="A300" s="126"/>
      <c r="B300" s="42"/>
      <c r="C300" s="41"/>
      <c r="D300" s="41"/>
      <c r="E300" s="64"/>
      <c r="F300" s="64"/>
      <c r="G300" s="41"/>
      <c r="H300" s="41"/>
      <c r="I300" s="123"/>
      <c r="J300" s="123"/>
      <c r="K300" s="123"/>
      <c r="L300" s="123"/>
      <c r="M300" s="41"/>
      <c r="N300" s="123"/>
      <c r="O300" s="65"/>
      <c r="P300" s="123"/>
      <c r="Q300" s="123"/>
      <c r="R300" s="123"/>
      <c r="S300" s="42"/>
      <c r="T300" s="42"/>
      <c r="U300" s="40" t="str">
        <f t="shared" si="9"/>
        <v/>
      </c>
      <c r="V300" s="41"/>
      <c r="W300" s="42"/>
      <c r="X300" s="42"/>
      <c r="Y300" s="43"/>
      <c r="Z300" s="44"/>
      <c r="AA300" s="45" t="str">
        <f t="shared" si="2"/>
        <v/>
      </c>
      <c r="AB300" s="42"/>
      <c r="AC300" s="41"/>
      <c r="AD300" s="41"/>
      <c r="AE300" s="46" t="str">
        <f t="shared" si="3"/>
        <v/>
      </c>
      <c r="AF300" s="46" t="str">
        <f t="shared" si="7"/>
        <v/>
      </c>
      <c r="AG300" s="40" t="str">
        <f t="shared" si="4"/>
        <v/>
      </c>
      <c r="AH300" s="40" t="str">
        <f t="shared" si="5"/>
        <v/>
      </c>
      <c r="AI300" s="40" t="str">
        <f t="shared" si="6"/>
        <v/>
      </c>
    </row>
    <row r="301" ht="15.75" customHeight="1">
      <c r="A301" s="126"/>
      <c r="B301" s="42"/>
      <c r="C301" s="41"/>
      <c r="D301" s="41"/>
      <c r="E301" s="64"/>
      <c r="F301" s="64"/>
      <c r="G301" s="41"/>
      <c r="H301" s="41"/>
      <c r="I301" s="123"/>
      <c r="J301" s="123"/>
      <c r="K301" s="123"/>
      <c r="L301" s="123"/>
      <c r="M301" s="41"/>
      <c r="N301" s="123"/>
      <c r="O301" s="65"/>
      <c r="P301" s="123"/>
      <c r="Q301" s="123"/>
      <c r="R301" s="123"/>
      <c r="S301" s="42"/>
      <c r="T301" s="42"/>
      <c r="U301" s="40" t="str">
        <f t="shared" si="9"/>
        <v/>
      </c>
      <c r="V301" s="41"/>
      <c r="W301" s="42"/>
      <c r="X301" s="42"/>
      <c r="Y301" s="43"/>
      <c r="Z301" s="44"/>
      <c r="AA301" s="45" t="str">
        <f t="shared" si="2"/>
        <v/>
      </c>
      <c r="AB301" s="42"/>
      <c r="AC301" s="41"/>
      <c r="AD301" s="41"/>
      <c r="AE301" s="46" t="str">
        <f t="shared" si="3"/>
        <v/>
      </c>
      <c r="AF301" s="46" t="str">
        <f t="shared" si="7"/>
        <v/>
      </c>
      <c r="AG301" s="40" t="str">
        <f t="shared" si="4"/>
        <v/>
      </c>
      <c r="AH301" s="40" t="str">
        <f t="shared" si="5"/>
        <v/>
      </c>
      <c r="AI301" s="40" t="str">
        <f t="shared" si="6"/>
        <v/>
      </c>
    </row>
    <row r="302" ht="15.75" customHeight="1">
      <c r="A302" s="126"/>
      <c r="B302" s="42"/>
      <c r="C302" s="41"/>
      <c r="D302" s="41"/>
      <c r="E302" s="64"/>
      <c r="F302" s="64"/>
      <c r="G302" s="41"/>
      <c r="H302" s="41"/>
      <c r="I302" s="123"/>
      <c r="J302" s="123"/>
      <c r="K302" s="123"/>
      <c r="L302" s="123"/>
      <c r="M302" s="41"/>
      <c r="N302" s="123"/>
      <c r="O302" s="65"/>
      <c r="P302" s="123"/>
      <c r="Q302" s="123"/>
      <c r="R302" s="123"/>
      <c r="S302" s="42"/>
      <c r="T302" s="42"/>
      <c r="U302" s="40" t="str">
        <f t="shared" si="9"/>
        <v/>
      </c>
      <c r="V302" s="41"/>
      <c r="W302" s="42"/>
      <c r="X302" s="42"/>
      <c r="Y302" s="43"/>
      <c r="Z302" s="44"/>
      <c r="AA302" s="45" t="str">
        <f t="shared" si="2"/>
        <v/>
      </c>
      <c r="AB302" s="42"/>
      <c r="AC302" s="41"/>
      <c r="AD302" s="41"/>
      <c r="AE302" s="46" t="str">
        <f t="shared" si="3"/>
        <v/>
      </c>
      <c r="AF302" s="46" t="str">
        <f t="shared" si="7"/>
        <v/>
      </c>
      <c r="AG302" s="40" t="str">
        <f t="shared" si="4"/>
        <v/>
      </c>
      <c r="AH302" s="40" t="str">
        <f t="shared" si="5"/>
        <v/>
      </c>
      <c r="AI302" s="40" t="str">
        <f t="shared" si="6"/>
        <v/>
      </c>
    </row>
    <row r="303" ht="15.75" customHeight="1">
      <c r="A303" s="126"/>
      <c r="B303" s="42"/>
      <c r="C303" s="41"/>
      <c r="D303" s="41"/>
      <c r="E303" s="64"/>
      <c r="F303" s="64"/>
      <c r="G303" s="41"/>
      <c r="H303" s="41"/>
      <c r="I303" s="123"/>
      <c r="J303" s="123"/>
      <c r="K303" s="123"/>
      <c r="L303" s="123"/>
      <c r="M303" s="41"/>
      <c r="N303" s="123"/>
      <c r="O303" s="65"/>
      <c r="P303" s="123"/>
      <c r="Q303" s="123"/>
      <c r="R303" s="123"/>
      <c r="S303" s="42"/>
      <c r="T303" s="42"/>
      <c r="U303" s="40" t="str">
        <f t="shared" si="9"/>
        <v/>
      </c>
      <c r="V303" s="41"/>
      <c r="W303" s="42"/>
      <c r="X303" s="42"/>
      <c r="Y303" s="43"/>
      <c r="Z303" s="44"/>
      <c r="AA303" s="45" t="str">
        <f t="shared" si="2"/>
        <v/>
      </c>
      <c r="AB303" s="42"/>
      <c r="AC303" s="41"/>
      <c r="AD303" s="41"/>
      <c r="AE303" s="46" t="str">
        <f t="shared" si="3"/>
        <v/>
      </c>
      <c r="AF303" s="46" t="str">
        <f t="shared" si="7"/>
        <v/>
      </c>
      <c r="AG303" s="40" t="str">
        <f t="shared" si="4"/>
        <v/>
      </c>
      <c r="AH303" s="40" t="str">
        <f t="shared" si="5"/>
        <v/>
      </c>
      <c r="AI303" s="40" t="str">
        <f t="shared" si="6"/>
        <v/>
      </c>
    </row>
    <row r="304" ht="15.75" customHeight="1">
      <c r="A304" s="126"/>
      <c r="B304" s="42"/>
      <c r="C304" s="41"/>
      <c r="D304" s="41"/>
      <c r="E304" s="64"/>
      <c r="F304" s="64"/>
      <c r="G304" s="41"/>
      <c r="H304" s="41"/>
      <c r="I304" s="123"/>
      <c r="J304" s="123"/>
      <c r="K304" s="123"/>
      <c r="L304" s="123"/>
      <c r="M304" s="41"/>
      <c r="N304" s="123"/>
      <c r="O304" s="65"/>
      <c r="P304" s="123"/>
      <c r="Q304" s="123"/>
      <c r="R304" s="123"/>
      <c r="S304" s="42"/>
      <c r="T304" s="42"/>
      <c r="U304" s="40" t="str">
        <f t="shared" si="9"/>
        <v/>
      </c>
      <c r="V304" s="41"/>
      <c r="W304" s="42"/>
      <c r="X304" s="42"/>
      <c r="Y304" s="43"/>
      <c r="Z304" s="44"/>
      <c r="AA304" s="45" t="str">
        <f t="shared" si="2"/>
        <v/>
      </c>
      <c r="AB304" s="42"/>
      <c r="AC304" s="41"/>
      <c r="AD304" s="41"/>
      <c r="AE304" s="46" t="str">
        <f t="shared" si="3"/>
        <v/>
      </c>
      <c r="AF304" s="46" t="str">
        <f t="shared" si="7"/>
        <v/>
      </c>
      <c r="AG304" s="40" t="str">
        <f t="shared" si="4"/>
        <v/>
      </c>
      <c r="AH304" s="40" t="str">
        <f t="shared" si="5"/>
        <v/>
      </c>
      <c r="AI304" s="40" t="str">
        <f t="shared" si="6"/>
        <v/>
      </c>
    </row>
    <row r="305" ht="15.75" customHeight="1">
      <c r="A305" s="126"/>
      <c r="B305" s="42"/>
      <c r="C305" s="41"/>
      <c r="D305" s="41"/>
      <c r="E305" s="64"/>
      <c r="F305" s="64"/>
      <c r="G305" s="41"/>
      <c r="H305" s="41"/>
      <c r="I305" s="123"/>
      <c r="J305" s="123"/>
      <c r="K305" s="123"/>
      <c r="L305" s="123"/>
      <c r="M305" s="41"/>
      <c r="N305" s="123"/>
      <c r="O305" s="65"/>
      <c r="P305" s="123"/>
      <c r="Q305" s="123"/>
      <c r="R305" s="123"/>
      <c r="S305" s="42"/>
      <c r="T305" s="42"/>
      <c r="U305" s="40" t="str">
        <f t="shared" si="9"/>
        <v/>
      </c>
      <c r="V305" s="41"/>
      <c r="W305" s="42"/>
      <c r="X305" s="42"/>
      <c r="Y305" s="43"/>
      <c r="Z305" s="44"/>
      <c r="AA305" s="45" t="str">
        <f t="shared" si="2"/>
        <v/>
      </c>
      <c r="AB305" s="42"/>
      <c r="AC305" s="41"/>
      <c r="AD305" s="41"/>
      <c r="AE305" s="46" t="str">
        <f t="shared" si="3"/>
        <v/>
      </c>
      <c r="AF305" s="46" t="str">
        <f t="shared" si="7"/>
        <v/>
      </c>
      <c r="AG305" s="40" t="str">
        <f t="shared" si="4"/>
        <v/>
      </c>
      <c r="AH305" s="40" t="str">
        <f t="shared" si="5"/>
        <v/>
      </c>
      <c r="AI305" s="40" t="str">
        <f t="shared" si="6"/>
        <v/>
      </c>
    </row>
    <row r="306" ht="15.75" customHeight="1">
      <c r="A306" s="126"/>
      <c r="B306" s="42"/>
      <c r="C306" s="41"/>
      <c r="D306" s="41"/>
      <c r="E306" s="64"/>
      <c r="F306" s="64"/>
      <c r="G306" s="41"/>
      <c r="H306" s="41"/>
      <c r="I306" s="123"/>
      <c r="J306" s="123"/>
      <c r="K306" s="123"/>
      <c r="L306" s="123"/>
      <c r="M306" s="41"/>
      <c r="N306" s="123"/>
      <c r="O306" s="65"/>
      <c r="P306" s="123"/>
      <c r="Q306" s="123"/>
      <c r="R306" s="123"/>
      <c r="S306" s="42"/>
      <c r="T306" s="42"/>
      <c r="U306" s="40" t="str">
        <f t="shared" si="9"/>
        <v/>
      </c>
      <c r="V306" s="41"/>
      <c r="W306" s="42"/>
      <c r="X306" s="42"/>
      <c r="Y306" s="43"/>
      <c r="Z306" s="44"/>
      <c r="AA306" s="45" t="str">
        <f t="shared" si="2"/>
        <v/>
      </c>
      <c r="AB306" s="42"/>
      <c r="AC306" s="41"/>
      <c r="AD306" s="41"/>
      <c r="AE306" s="46" t="str">
        <f t="shared" si="3"/>
        <v/>
      </c>
      <c r="AF306" s="46" t="str">
        <f t="shared" si="7"/>
        <v/>
      </c>
      <c r="AG306" s="40" t="str">
        <f t="shared" si="4"/>
        <v/>
      </c>
      <c r="AH306" s="40" t="str">
        <f t="shared" si="5"/>
        <v/>
      </c>
      <c r="AI306" s="40" t="str">
        <f t="shared" si="6"/>
        <v/>
      </c>
    </row>
    <row r="307" ht="15.75" customHeight="1">
      <c r="A307" s="126"/>
      <c r="B307" s="42"/>
      <c r="C307" s="41"/>
      <c r="D307" s="41"/>
      <c r="E307" s="64"/>
      <c r="F307" s="64"/>
      <c r="G307" s="41"/>
      <c r="H307" s="41"/>
      <c r="I307" s="123"/>
      <c r="J307" s="123"/>
      <c r="K307" s="123"/>
      <c r="L307" s="123"/>
      <c r="M307" s="41"/>
      <c r="N307" s="123"/>
      <c r="O307" s="65"/>
      <c r="P307" s="123"/>
      <c r="Q307" s="123"/>
      <c r="R307" s="123"/>
      <c r="S307" s="42"/>
      <c r="T307" s="42"/>
      <c r="U307" s="40" t="str">
        <f t="shared" si="9"/>
        <v/>
      </c>
      <c r="V307" s="41"/>
      <c r="W307" s="42"/>
      <c r="X307" s="42"/>
      <c r="Y307" s="43"/>
      <c r="Z307" s="44"/>
      <c r="AA307" s="45" t="str">
        <f t="shared" si="2"/>
        <v/>
      </c>
      <c r="AB307" s="42"/>
      <c r="AC307" s="41"/>
      <c r="AD307" s="41"/>
      <c r="AE307" s="46" t="str">
        <f t="shared" si="3"/>
        <v/>
      </c>
      <c r="AF307" s="46" t="str">
        <f t="shared" si="7"/>
        <v/>
      </c>
      <c r="AG307" s="40" t="str">
        <f t="shared" si="4"/>
        <v/>
      </c>
      <c r="AH307" s="40" t="str">
        <f t="shared" si="5"/>
        <v/>
      </c>
      <c r="AI307" s="40" t="str">
        <f t="shared" si="6"/>
        <v/>
      </c>
    </row>
    <row r="308" ht="15.75" customHeight="1">
      <c r="A308" s="126"/>
      <c r="B308" s="42"/>
      <c r="C308" s="41"/>
      <c r="D308" s="41"/>
      <c r="E308" s="64"/>
      <c r="F308" s="64"/>
      <c r="G308" s="41"/>
      <c r="H308" s="41"/>
      <c r="I308" s="123"/>
      <c r="J308" s="123"/>
      <c r="K308" s="123"/>
      <c r="L308" s="123"/>
      <c r="M308" s="41"/>
      <c r="N308" s="123"/>
      <c r="O308" s="65"/>
      <c r="P308" s="123"/>
      <c r="Q308" s="123"/>
      <c r="R308" s="123"/>
      <c r="S308" s="42"/>
      <c r="T308" s="42"/>
      <c r="U308" s="40" t="str">
        <f t="shared" si="9"/>
        <v/>
      </c>
      <c r="V308" s="41"/>
      <c r="W308" s="42"/>
      <c r="X308" s="42"/>
      <c r="Y308" s="43"/>
      <c r="Z308" s="44"/>
      <c r="AA308" s="45" t="str">
        <f t="shared" si="2"/>
        <v/>
      </c>
      <c r="AB308" s="42"/>
      <c r="AC308" s="41"/>
      <c r="AD308" s="41"/>
      <c r="AE308" s="46" t="str">
        <f t="shared" si="3"/>
        <v/>
      </c>
      <c r="AF308" s="46" t="str">
        <f t="shared" si="7"/>
        <v/>
      </c>
      <c r="AG308" s="40" t="str">
        <f t="shared" si="4"/>
        <v/>
      </c>
      <c r="AH308" s="40" t="str">
        <f t="shared" si="5"/>
        <v/>
      </c>
      <c r="AI308" s="40" t="str">
        <f t="shared" si="6"/>
        <v/>
      </c>
    </row>
    <row r="309" ht="15.75" customHeight="1">
      <c r="A309" s="126"/>
      <c r="B309" s="42"/>
      <c r="C309" s="41"/>
      <c r="D309" s="41"/>
      <c r="E309" s="64"/>
      <c r="F309" s="64"/>
      <c r="G309" s="41"/>
      <c r="H309" s="41"/>
      <c r="I309" s="123"/>
      <c r="J309" s="123"/>
      <c r="K309" s="123"/>
      <c r="L309" s="123"/>
      <c r="M309" s="41"/>
      <c r="N309" s="123"/>
      <c r="O309" s="65"/>
      <c r="P309" s="123"/>
      <c r="Q309" s="123"/>
      <c r="R309" s="123"/>
      <c r="S309" s="42"/>
      <c r="T309" s="42"/>
      <c r="U309" s="40" t="str">
        <f t="shared" si="9"/>
        <v/>
      </c>
      <c r="V309" s="41"/>
      <c r="W309" s="42"/>
      <c r="X309" s="42"/>
      <c r="Y309" s="43"/>
      <c r="Z309" s="44"/>
      <c r="AA309" s="45" t="str">
        <f t="shared" si="2"/>
        <v/>
      </c>
      <c r="AB309" s="42"/>
      <c r="AC309" s="41"/>
      <c r="AD309" s="41"/>
      <c r="AE309" s="46" t="str">
        <f t="shared" si="3"/>
        <v/>
      </c>
      <c r="AF309" s="46" t="str">
        <f t="shared" si="7"/>
        <v/>
      </c>
      <c r="AG309" s="40" t="str">
        <f t="shared" si="4"/>
        <v/>
      </c>
      <c r="AH309" s="40" t="str">
        <f t="shared" si="5"/>
        <v/>
      </c>
      <c r="AI309" s="40" t="str">
        <f t="shared" si="6"/>
        <v/>
      </c>
    </row>
    <row r="310" ht="15.75" customHeight="1">
      <c r="A310" s="126"/>
      <c r="B310" s="42"/>
      <c r="C310" s="41"/>
      <c r="D310" s="41"/>
      <c r="E310" s="64"/>
      <c r="F310" s="64"/>
      <c r="G310" s="41"/>
      <c r="H310" s="41"/>
      <c r="I310" s="123"/>
      <c r="J310" s="123"/>
      <c r="K310" s="123"/>
      <c r="L310" s="123"/>
      <c r="M310" s="41"/>
      <c r="N310" s="123"/>
      <c r="O310" s="65"/>
      <c r="P310" s="123"/>
      <c r="Q310" s="123"/>
      <c r="R310" s="123"/>
      <c r="S310" s="42"/>
      <c r="T310" s="42"/>
      <c r="U310" s="40" t="str">
        <f t="shared" si="9"/>
        <v/>
      </c>
      <c r="V310" s="41"/>
      <c r="W310" s="42"/>
      <c r="X310" s="42"/>
      <c r="Y310" s="43"/>
      <c r="Z310" s="44"/>
      <c r="AA310" s="45" t="str">
        <f t="shared" si="2"/>
        <v/>
      </c>
      <c r="AB310" s="42"/>
      <c r="AC310" s="41"/>
      <c r="AD310" s="41"/>
      <c r="AE310" s="46" t="str">
        <f t="shared" si="3"/>
        <v/>
      </c>
      <c r="AF310" s="46" t="str">
        <f t="shared" si="7"/>
        <v/>
      </c>
      <c r="AG310" s="40" t="str">
        <f t="shared" si="4"/>
        <v/>
      </c>
      <c r="AH310" s="40" t="str">
        <f t="shared" si="5"/>
        <v/>
      </c>
      <c r="AI310" s="40" t="str">
        <f t="shared" si="6"/>
        <v/>
      </c>
    </row>
    <row r="311" ht="15.75" customHeight="1">
      <c r="A311" s="126"/>
      <c r="B311" s="42"/>
      <c r="C311" s="41"/>
      <c r="D311" s="41"/>
      <c r="E311" s="64"/>
      <c r="F311" s="64"/>
      <c r="G311" s="41"/>
      <c r="H311" s="41"/>
      <c r="I311" s="123"/>
      <c r="J311" s="123"/>
      <c r="K311" s="123"/>
      <c r="L311" s="123"/>
      <c r="M311" s="41"/>
      <c r="N311" s="123"/>
      <c r="O311" s="65"/>
      <c r="P311" s="123"/>
      <c r="Q311" s="123"/>
      <c r="R311" s="123"/>
      <c r="S311" s="42"/>
      <c r="T311" s="42"/>
      <c r="U311" s="40" t="str">
        <f t="shared" si="9"/>
        <v/>
      </c>
      <c r="V311" s="41"/>
      <c r="W311" s="42"/>
      <c r="X311" s="42"/>
      <c r="Y311" s="43"/>
      <c r="Z311" s="44"/>
      <c r="AA311" s="45" t="str">
        <f t="shared" si="2"/>
        <v/>
      </c>
      <c r="AB311" s="42"/>
      <c r="AC311" s="41"/>
      <c r="AD311" s="41"/>
      <c r="AE311" s="46" t="str">
        <f t="shared" si="3"/>
        <v/>
      </c>
      <c r="AF311" s="46" t="str">
        <f t="shared" si="7"/>
        <v/>
      </c>
      <c r="AG311" s="40" t="str">
        <f t="shared" si="4"/>
        <v/>
      </c>
      <c r="AH311" s="40" t="str">
        <f t="shared" si="5"/>
        <v/>
      </c>
      <c r="AI311" s="40" t="str">
        <f t="shared" si="6"/>
        <v/>
      </c>
    </row>
    <row r="312" ht="15.75" customHeight="1">
      <c r="A312" s="126"/>
      <c r="B312" s="42"/>
      <c r="C312" s="41"/>
      <c r="D312" s="41"/>
      <c r="E312" s="64"/>
      <c r="F312" s="64"/>
      <c r="G312" s="41"/>
      <c r="H312" s="41"/>
      <c r="I312" s="123"/>
      <c r="J312" s="123"/>
      <c r="K312" s="123"/>
      <c r="L312" s="123"/>
      <c r="M312" s="41"/>
      <c r="N312" s="123"/>
      <c r="O312" s="65"/>
      <c r="P312" s="123"/>
      <c r="Q312" s="123"/>
      <c r="R312" s="123"/>
      <c r="S312" s="42"/>
      <c r="T312" s="42"/>
      <c r="U312" s="40" t="str">
        <f t="shared" si="9"/>
        <v/>
      </c>
      <c r="V312" s="41"/>
      <c r="W312" s="42"/>
      <c r="X312" s="42"/>
      <c r="Y312" s="43"/>
      <c r="Z312" s="44"/>
      <c r="AA312" s="45" t="str">
        <f t="shared" si="2"/>
        <v/>
      </c>
      <c r="AB312" s="42"/>
      <c r="AC312" s="41"/>
      <c r="AD312" s="41"/>
      <c r="AE312" s="46" t="str">
        <f t="shared" si="3"/>
        <v/>
      </c>
      <c r="AF312" s="46" t="str">
        <f t="shared" si="7"/>
        <v/>
      </c>
      <c r="AG312" s="40" t="str">
        <f t="shared" si="4"/>
        <v/>
      </c>
      <c r="AH312" s="40" t="str">
        <f t="shared" si="5"/>
        <v/>
      </c>
      <c r="AI312" s="40" t="str">
        <f t="shared" si="6"/>
        <v/>
      </c>
    </row>
    <row r="313" ht="15.75" customHeight="1">
      <c r="A313" s="126"/>
      <c r="B313" s="42"/>
      <c r="C313" s="41"/>
      <c r="D313" s="41"/>
      <c r="E313" s="64"/>
      <c r="F313" s="64"/>
      <c r="G313" s="41"/>
      <c r="H313" s="41"/>
      <c r="I313" s="123"/>
      <c r="J313" s="123"/>
      <c r="K313" s="123"/>
      <c r="L313" s="123"/>
      <c r="M313" s="41"/>
      <c r="N313" s="123"/>
      <c r="O313" s="65"/>
      <c r="P313" s="123"/>
      <c r="Q313" s="123"/>
      <c r="R313" s="123"/>
      <c r="S313" s="42"/>
      <c r="T313" s="42"/>
      <c r="U313" s="40" t="str">
        <f t="shared" si="9"/>
        <v/>
      </c>
      <c r="V313" s="41"/>
      <c r="W313" s="42"/>
      <c r="X313" s="42"/>
      <c r="Y313" s="43"/>
      <c r="Z313" s="44"/>
      <c r="AA313" s="45" t="str">
        <f t="shared" si="2"/>
        <v/>
      </c>
      <c r="AB313" s="42"/>
      <c r="AC313" s="41"/>
      <c r="AD313" s="41"/>
      <c r="AE313" s="46" t="str">
        <f t="shared" si="3"/>
        <v/>
      </c>
      <c r="AF313" s="46" t="str">
        <f t="shared" si="7"/>
        <v/>
      </c>
      <c r="AG313" s="40" t="str">
        <f t="shared" si="4"/>
        <v/>
      </c>
      <c r="AH313" s="40" t="str">
        <f t="shared" si="5"/>
        <v/>
      </c>
      <c r="AI313" s="40" t="str">
        <f t="shared" si="6"/>
        <v/>
      </c>
    </row>
    <row r="314" ht="15.75" customHeight="1">
      <c r="A314" s="126"/>
      <c r="B314" s="42"/>
      <c r="C314" s="41"/>
      <c r="D314" s="41"/>
      <c r="E314" s="64"/>
      <c r="F314" s="64"/>
      <c r="G314" s="41"/>
      <c r="H314" s="41"/>
      <c r="I314" s="123"/>
      <c r="J314" s="123"/>
      <c r="K314" s="123"/>
      <c r="L314" s="123"/>
      <c r="M314" s="41"/>
      <c r="N314" s="123"/>
      <c r="O314" s="65"/>
      <c r="P314" s="123"/>
      <c r="Q314" s="123"/>
      <c r="R314" s="123"/>
      <c r="S314" s="42"/>
      <c r="T314" s="42"/>
      <c r="U314" s="40" t="str">
        <f t="shared" si="9"/>
        <v/>
      </c>
      <c r="V314" s="41"/>
      <c r="W314" s="42"/>
      <c r="X314" s="42"/>
      <c r="Y314" s="43"/>
      <c r="Z314" s="44"/>
      <c r="AA314" s="45" t="str">
        <f t="shared" si="2"/>
        <v/>
      </c>
      <c r="AB314" s="42"/>
      <c r="AC314" s="41"/>
      <c r="AD314" s="41"/>
      <c r="AE314" s="46" t="str">
        <f t="shared" si="3"/>
        <v/>
      </c>
      <c r="AF314" s="46" t="str">
        <f t="shared" si="7"/>
        <v/>
      </c>
      <c r="AG314" s="40" t="str">
        <f t="shared" si="4"/>
        <v/>
      </c>
      <c r="AH314" s="40" t="str">
        <f t="shared" si="5"/>
        <v/>
      </c>
      <c r="AI314" s="40" t="str">
        <f t="shared" si="6"/>
        <v/>
      </c>
    </row>
    <row r="315" ht="15.75" customHeight="1">
      <c r="A315" s="126"/>
      <c r="B315" s="42"/>
      <c r="C315" s="41"/>
      <c r="D315" s="41"/>
      <c r="E315" s="64"/>
      <c r="F315" s="64"/>
      <c r="G315" s="41"/>
      <c r="H315" s="41"/>
      <c r="I315" s="123"/>
      <c r="J315" s="123"/>
      <c r="K315" s="123"/>
      <c r="L315" s="123"/>
      <c r="M315" s="41"/>
      <c r="N315" s="123"/>
      <c r="O315" s="65"/>
      <c r="P315" s="123"/>
      <c r="Q315" s="123"/>
      <c r="R315" s="123"/>
      <c r="S315" s="42"/>
      <c r="T315" s="42"/>
      <c r="U315" s="40" t="str">
        <f t="shared" si="9"/>
        <v/>
      </c>
      <c r="V315" s="41"/>
      <c r="W315" s="42"/>
      <c r="X315" s="42"/>
      <c r="Y315" s="43"/>
      <c r="Z315" s="44"/>
      <c r="AA315" s="45" t="str">
        <f t="shared" si="2"/>
        <v/>
      </c>
      <c r="AB315" s="42"/>
      <c r="AC315" s="41"/>
      <c r="AD315" s="41"/>
      <c r="AE315" s="46" t="str">
        <f t="shared" si="3"/>
        <v/>
      </c>
      <c r="AF315" s="46" t="str">
        <f t="shared" si="7"/>
        <v/>
      </c>
      <c r="AG315" s="40" t="str">
        <f t="shared" si="4"/>
        <v/>
      </c>
      <c r="AH315" s="40" t="str">
        <f t="shared" si="5"/>
        <v/>
      </c>
      <c r="AI315" s="40" t="str">
        <f t="shared" si="6"/>
        <v/>
      </c>
    </row>
    <row r="316" ht="15.75" customHeight="1">
      <c r="A316" s="126"/>
      <c r="B316" s="42"/>
      <c r="C316" s="41"/>
      <c r="D316" s="41"/>
      <c r="E316" s="64"/>
      <c r="F316" s="64"/>
      <c r="G316" s="41"/>
      <c r="H316" s="41"/>
      <c r="I316" s="123"/>
      <c r="J316" s="123"/>
      <c r="K316" s="123"/>
      <c r="L316" s="123"/>
      <c r="M316" s="41"/>
      <c r="N316" s="123"/>
      <c r="O316" s="65"/>
      <c r="P316" s="123"/>
      <c r="Q316" s="123"/>
      <c r="R316" s="123"/>
      <c r="S316" s="42"/>
      <c r="T316" s="42"/>
      <c r="U316" s="40" t="str">
        <f t="shared" si="9"/>
        <v/>
      </c>
      <c r="V316" s="41"/>
      <c r="W316" s="42"/>
      <c r="X316" s="42"/>
      <c r="Y316" s="43"/>
      <c r="Z316" s="44"/>
      <c r="AA316" s="45" t="str">
        <f t="shared" si="2"/>
        <v/>
      </c>
      <c r="AB316" s="42"/>
      <c r="AC316" s="41"/>
      <c r="AD316" s="41"/>
      <c r="AE316" s="46" t="str">
        <f t="shared" si="3"/>
        <v/>
      </c>
      <c r="AF316" s="46" t="str">
        <f t="shared" si="7"/>
        <v/>
      </c>
      <c r="AG316" s="40" t="str">
        <f t="shared" si="4"/>
        <v/>
      </c>
      <c r="AH316" s="40" t="str">
        <f t="shared" si="5"/>
        <v/>
      </c>
      <c r="AI316" s="40" t="str">
        <f t="shared" si="6"/>
        <v/>
      </c>
    </row>
    <row r="317" ht="15.75" customHeight="1">
      <c r="A317" s="126"/>
      <c r="B317" s="42"/>
      <c r="C317" s="41"/>
      <c r="D317" s="41"/>
      <c r="E317" s="64"/>
      <c r="F317" s="64"/>
      <c r="G317" s="41"/>
      <c r="H317" s="41"/>
      <c r="I317" s="123"/>
      <c r="J317" s="123"/>
      <c r="K317" s="123"/>
      <c r="L317" s="123"/>
      <c r="M317" s="41"/>
      <c r="N317" s="123"/>
      <c r="O317" s="65"/>
      <c r="P317" s="123"/>
      <c r="Q317" s="123"/>
      <c r="R317" s="123"/>
      <c r="S317" s="42"/>
      <c r="T317" s="42"/>
      <c r="U317" s="40" t="str">
        <f t="shared" si="9"/>
        <v/>
      </c>
      <c r="V317" s="41"/>
      <c r="W317" s="42"/>
      <c r="X317" s="42"/>
      <c r="Y317" s="43"/>
      <c r="Z317" s="44"/>
      <c r="AA317" s="45" t="str">
        <f t="shared" si="2"/>
        <v/>
      </c>
      <c r="AB317" s="42"/>
      <c r="AC317" s="41"/>
      <c r="AD317" s="41"/>
      <c r="AE317" s="46" t="str">
        <f t="shared" si="3"/>
        <v/>
      </c>
      <c r="AF317" s="46" t="str">
        <f t="shared" si="7"/>
        <v/>
      </c>
      <c r="AG317" s="40" t="str">
        <f t="shared" si="4"/>
        <v/>
      </c>
      <c r="AH317" s="40" t="str">
        <f t="shared" si="5"/>
        <v/>
      </c>
      <c r="AI317" s="40" t="str">
        <f t="shared" si="6"/>
        <v/>
      </c>
    </row>
    <row r="318" ht="15.75" customHeight="1">
      <c r="A318" s="126"/>
      <c r="B318" s="42"/>
      <c r="C318" s="41"/>
      <c r="D318" s="41"/>
      <c r="E318" s="64"/>
      <c r="F318" s="64"/>
      <c r="G318" s="41"/>
      <c r="H318" s="41"/>
      <c r="I318" s="123"/>
      <c r="J318" s="123"/>
      <c r="K318" s="123"/>
      <c r="L318" s="123"/>
      <c r="M318" s="41"/>
      <c r="N318" s="123"/>
      <c r="O318" s="65"/>
      <c r="P318" s="123"/>
      <c r="Q318" s="123"/>
      <c r="R318" s="123"/>
      <c r="S318" s="42"/>
      <c r="T318" s="42"/>
      <c r="U318" s="40" t="str">
        <f t="shared" si="9"/>
        <v/>
      </c>
      <c r="V318" s="41"/>
      <c r="W318" s="42"/>
      <c r="X318" s="42"/>
      <c r="Y318" s="43"/>
      <c r="Z318" s="44"/>
      <c r="AA318" s="45" t="str">
        <f t="shared" si="2"/>
        <v/>
      </c>
      <c r="AB318" s="42"/>
      <c r="AC318" s="41"/>
      <c r="AD318" s="41"/>
      <c r="AE318" s="46" t="str">
        <f t="shared" si="3"/>
        <v/>
      </c>
      <c r="AF318" s="46" t="str">
        <f t="shared" si="7"/>
        <v/>
      </c>
      <c r="AG318" s="40" t="str">
        <f t="shared" si="4"/>
        <v/>
      </c>
      <c r="AH318" s="40" t="str">
        <f t="shared" si="5"/>
        <v/>
      </c>
      <c r="AI318" s="40" t="str">
        <f t="shared" si="6"/>
        <v/>
      </c>
    </row>
    <row r="319" ht="15.75" customHeight="1">
      <c r="A319" s="126"/>
      <c r="B319" s="42"/>
      <c r="C319" s="41"/>
      <c r="D319" s="41"/>
      <c r="E319" s="64"/>
      <c r="F319" s="64"/>
      <c r="G319" s="41"/>
      <c r="H319" s="41"/>
      <c r="I319" s="123"/>
      <c r="J319" s="123"/>
      <c r="K319" s="123"/>
      <c r="L319" s="123"/>
      <c r="M319" s="41"/>
      <c r="N319" s="123"/>
      <c r="O319" s="65"/>
      <c r="P319" s="123"/>
      <c r="Q319" s="123"/>
      <c r="R319" s="123"/>
      <c r="S319" s="42"/>
      <c r="T319" s="42"/>
      <c r="U319" s="40" t="str">
        <f t="shared" si="9"/>
        <v/>
      </c>
      <c r="V319" s="41"/>
      <c r="W319" s="42"/>
      <c r="X319" s="42"/>
      <c r="Y319" s="43"/>
      <c r="Z319" s="44"/>
      <c r="AA319" s="45" t="str">
        <f t="shared" si="2"/>
        <v/>
      </c>
      <c r="AB319" s="42"/>
      <c r="AC319" s="41"/>
      <c r="AD319" s="41"/>
      <c r="AE319" s="46" t="str">
        <f t="shared" si="3"/>
        <v/>
      </c>
      <c r="AF319" s="46" t="str">
        <f t="shared" si="7"/>
        <v/>
      </c>
      <c r="AG319" s="40" t="str">
        <f t="shared" si="4"/>
        <v/>
      </c>
      <c r="AH319" s="40" t="str">
        <f t="shared" si="5"/>
        <v/>
      </c>
      <c r="AI319" s="40" t="str">
        <f t="shared" si="6"/>
        <v/>
      </c>
    </row>
    <row r="320" ht="15.75" customHeight="1">
      <c r="A320" s="126"/>
      <c r="B320" s="42"/>
      <c r="C320" s="41"/>
      <c r="D320" s="41"/>
      <c r="E320" s="64"/>
      <c r="F320" s="64"/>
      <c r="G320" s="41"/>
      <c r="H320" s="41"/>
      <c r="I320" s="123"/>
      <c r="J320" s="123"/>
      <c r="K320" s="123"/>
      <c r="L320" s="123"/>
      <c r="M320" s="41"/>
      <c r="N320" s="123"/>
      <c r="O320" s="65"/>
      <c r="P320" s="123"/>
      <c r="Q320" s="123"/>
      <c r="R320" s="123"/>
      <c r="S320" s="42"/>
      <c r="T320" s="42"/>
      <c r="U320" s="40" t="str">
        <f t="shared" si="9"/>
        <v/>
      </c>
      <c r="V320" s="41"/>
      <c r="W320" s="42"/>
      <c r="X320" s="42"/>
      <c r="Y320" s="43"/>
      <c r="Z320" s="44"/>
      <c r="AA320" s="45" t="str">
        <f t="shared" si="2"/>
        <v/>
      </c>
      <c r="AB320" s="42"/>
      <c r="AC320" s="41"/>
      <c r="AD320" s="41"/>
      <c r="AE320" s="46" t="str">
        <f t="shared" si="3"/>
        <v/>
      </c>
      <c r="AF320" s="46" t="str">
        <f t="shared" si="7"/>
        <v/>
      </c>
      <c r="AG320" s="40" t="str">
        <f t="shared" si="4"/>
        <v/>
      </c>
      <c r="AH320" s="40" t="str">
        <f t="shared" si="5"/>
        <v/>
      </c>
      <c r="AI320" s="40" t="str">
        <f t="shared" si="6"/>
        <v/>
      </c>
    </row>
    <row r="321" ht="15.75" customHeight="1">
      <c r="A321" s="126"/>
      <c r="B321" s="42"/>
      <c r="C321" s="41"/>
      <c r="D321" s="41"/>
      <c r="E321" s="64"/>
      <c r="F321" s="64"/>
      <c r="G321" s="41"/>
      <c r="H321" s="41"/>
      <c r="I321" s="123"/>
      <c r="J321" s="123"/>
      <c r="K321" s="123"/>
      <c r="L321" s="123"/>
      <c r="M321" s="41"/>
      <c r="N321" s="123"/>
      <c r="O321" s="65"/>
      <c r="P321" s="123"/>
      <c r="Q321" s="123"/>
      <c r="R321" s="123"/>
      <c r="S321" s="42"/>
      <c r="T321" s="42"/>
      <c r="U321" s="40" t="str">
        <f t="shared" si="9"/>
        <v/>
      </c>
      <c r="V321" s="41"/>
      <c r="W321" s="42"/>
      <c r="X321" s="42"/>
      <c r="Y321" s="43"/>
      <c r="Z321" s="44"/>
      <c r="AA321" s="45" t="str">
        <f t="shared" si="2"/>
        <v/>
      </c>
      <c r="AB321" s="42"/>
      <c r="AC321" s="41"/>
      <c r="AD321" s="41"/>
      <c r="AE321" s="46" t="str">
        <f t="shared" si="3"/>
        <v/>
      </c>
      <c r="AF321" s="46" t="str">
        <f t="shared" si="7"/>
        <v/>
      </c>
      <c r="AG321" s="40" t="str">
        <f t="shared" si="4"/>
        <v/>
      </c>
      <c r="AH321" s="40" t="str">
        <f t="shared" si="5"/>
        <v/>
      </c>
      <c r="AI321" s="40" t="str">
        <f t="shared" si="6"/>
        <v/>
      </c>
    </row>
    <row r="322" ht="15.75" customHeight="1">
      <c r="A322" s="126"/>
      <c r="B322" s="42"/>
      <c r="C322" s="41"/>
      <c r="D322" s="41"/>
      <c r="E322" s="64"/>
      <c r="F322" s="64"/>
      <c r="G322" s="41"/>
      <c r="H322" s="41"/>
      <c r="I322" s="123"/>
      <c r="J322" s="123"/>
      <c r="K322" s="123"/>
      <c r="L322" s="123"/>
      <c r="M322" s="41"/>
      <c r="N322" s="123"/>
      <c r="O322" s="65"/>
      <c r="P322" s="123"/>
      <c r="Q322" s="123"/>
      <c r="R322" s="123"/>
      <c r="S322" s="42"/>
      <c r="T322" s="42"/>
      <c r="U322" s="40" t="str">
        <f t="shared" si="9"/>
        <v/>
      </c>
      <c r="V322" s="41"/>
      <c r="W322" s="42"/>
      <c r="X322" s="42"/>
      <c r="Y322" s="43"/>
      <c r="Z322" s="44"/>
      <c r="AA322" s="45" t="str">
        <f t="shared" si="2"/>
        <v/>
      </c>
      <c r="AB322" s="42"/>
      <c r="AC322" s="41"/>
      <c r="AD322" s="41"/>
      <c r="AE322" s="46" t="str">
        <f t="shared" si="3"/>
        <v/>
      </c>
      <c r="AF322" s="46" t="str">
        <f t="shared" si="7"/>
        <v/>
      </c>
      <c r="AG322" s="40" t="str">
        <f t="shared" si="4"/>
        <v/>
      </c>
      <c r="AH322" s="40" t="str">
        <f t="shared" si="5"/>
        <v/>
      </c>
      <c r="AI322" s="40" t="str">
        <f t="shared" si="6"/>
        <v/>
      </c>
    </row>
    <row r="323" ht="15.75" customHeight="1">
      <c r="A323" s="126"/>
      <c r="B323" s="42"/>
      <c r="C323" s="41"/>
      <c r="D323" s="41"/>
      <c r="E323" s="64"/>
      <c r="F323" s="64"/>
      <c r="G323" s="41"/>
      <c r="H323" s="41"/>
      <c r="I323" s="123"/>
      <c r="J323" s="123"/>
      <c r="K323" s="123"/>
      <c r="L323" s="123"/>
      <c r="M323" s="41"/>
      <c r="N323" s="123"/>
      <c r="O323" s="65"/>
      <c r="P323" s="123"/>
      <c r="Q323" s="123"/>
      <c r="R323" s="123"/>
      <c r="S323" s="42"/>
      <c r="T323" s="42"/>
      <c r="U323" s="40" t="str">
        <f t="shared" si="9"/>
        <v/>
      </c>
      <c r="V323" s="41"/>
      <c r="W323" s="42"/>
      <c r="X323" s="42"/>
      <c r="Y323" s="43"/>
      <c r="Z323" s="44"/>
      <c r="AA323" s="45" t="str">
        <f t="shared" si="2"/>
        <v/>
      </c>
      <c r="AB323" s="42"/>
      <c r="AC323" s="41"/>
      <c r="AD323" s="41"/>
      <c r="AE323" s="46" t="str">
        <f t="shared" si="3"/>
        <v/>
      </c>
      <c r="AF323" s="46" t="str">
        <f t="shared" si="7"/>
        <v/>
      </c>
      <c r="AG323" s="40" t="str">
        <f t="shared" si="4"/>
        <v/>
      </c>
      <c r="AH323" s="40" t="str">
        <f t="shared" si="5"/>
        <v/>
      </c>
      <c r="AI323" s="40" t="str">
        <f t="shared" si="6"/>
        <v/>
      </c>
    </row>
    <row r="324" ht="15.75" customHeight="1">
      <c r="A324" s="126"/>
      <c r="B324" s="42"/>
      <c r="C324" s="41"/>
      <c r="D324" s="41"/>
      <c r="E324" s="64"/>
      <c r="F324" s="64"/>
      <c r="G324" s="41"/>
      <c r="H324" s="41"/>
      <c r="I324" s="123"/>
      <c r="J324" s="123"/>
      <c r="K324" s="123"/>
      <c r="L324" s="123"/>
      <c r="M324" s="41"/>
      <c r="N324" s="123"/>
      <c r="O324" s="65"/>
      <c r="P324" s="123"/>
      <c r="Q324" s="123"/>
      <c r="R324" s="123"/>
      <c r="S324" s="42"/>
      <c r="T324" s="42"/>
      <c r="U324" s="40" t="str">
        <f t="shared" si="9"/>
        <v/>
      </c>
      <c r="V324" s="41"/>
      <c r="W324" s="42"/>
      <c r="X324" s="42"/>
      <c r="Y324" s="43"/>
      <c r="Z324" s="44"/>
      <c r="AA324" s="45" t="str">
        <f t="shared" si="2"/>
        <v/>
      </c>
      <c r="AB324" s="42"/>
      <c r="AC324" s="41"/>
      <c r="AD324" s="41"/>
      <c r="AE324" s="46" t="str">
        <f t="shared" si="3"/>
        <v/>
      </c>
      <c r="AF324" s="46" t="str">
        <f t="shared" si="7"/>
        <v/>
      </c>
      <c r="AG324" s="40" t="str">
        <f t="shared" si="4"/>
        <v/>
      </c>
      <c r="AH324" s="40" t="str">
        <f t="shared" si="5"/>
        <v/>
      </c>
      <c r="AI324" s="40" t="str">
        <f t="shared" si="6"/>
        <v/>
      </c>
    </row>
    <row r="325" ht="15.75" customHeight="1">
      <c r="A325" s="126"/>
      <c r="B325" s="42"/>
      <c r="C325" s="41"/>
      <c r="D325" s="41"/>
      <c r="E325" s="64"/>
      <c r="F325" s="64"/>
      <c r="G325" s="41"/>
      <c r="H325" s="41"/>
      <c r="I325" s="123"/>
      <c r="J325" s="123"/>
      <c r="K325" s="123"/>
      <c r="L325" s="123"/>
      <c r="M325" s="41"/>
      <c r="N325" s="123"/>
      <c r="O325" s="65"/>
      <c r="P325" s="123"/>
      <c r="Q325" s="123"/>
      <c r="R325" s="123"/>
      <c r="S325" s="42"/>
      <c r="T325" s="42"/>
      <c r="U325" s="40" t="str">
        <f t="shared" si="9"/>
        <v/>
      </c>
      <c r="V325" s="41"/>
      <c r="W325" s="42"/>
      <c r="X325" s="42"/>
      <c r="Y325" s="43"/>
      <c r="Z325" s="44"/>
      <c r="AA325" s="45" t="str">
        <f t="shared" si="2"/>
        <v/>
      </c>
      <c r="AB325" s="42"/>
      <c r="AC325" s="41"/>
      <c r="AD325" s="41"/>
      <c r="AE325" s="46" t="str">
        <f t="shared" si="3"/>
        <v/>
      </c>
      <c r="AF325" s="46" t="str">
        <f t="shared" si="7"/>
        <v/>
      </c>
      <c r="AG325" s="40" t="str">
        <f t="shared" si="4"/>
        <v/>
      </c>
      <c r="AH325" s="40" t="str">
        <f t="shared" si="5"/>
        <v/>
      </c>
      <c r="AI325" s="40" t="str">
        <f t="shared" si="6"/>
        <v/>
      </c>
    </row>
    <row r="326" ht="15.75" customHeight="1">
      <c r="A326" s="126"/>
      <c r="B326" s="42"/>
      <c r="C326" s="41"/>
      <c r="D326" s="41"/>
      <c r="E326" s="64"/>
      <c r="F326" s="64"/>
      <c r="G326" s="41"/>
      <c r="H326" s="41"/>
      <c r="I326" s="123"/>
      <c r="J326" s="123"/>
      <c r="K326" s="123"/>
      <c r="L326" s="123"/>
      <c r="M326" s="41"/>
      <c r="N326" s="123"/>
      <c r="O326" s="65"/>
      <c r="P326" s="123"/>
      <c r="Q326" s="123"/>
      <c r="R326" s="123"/>
      <c r="S326" s="42"/>
      <c r="T326" s="42"/>
      <c r="U326" s="40" t="str">
        <f t="shared" si="9"/>
        <v/>
      </c>
      <c r="V326" s="41"/>
      <c r="W326" s="42"/>
      <c r="X326" s="42"/>
      <c r="Y326" s="43"/>
      <c r="Z326" s="44"/>
      <c r="AA326" s="45" t="str">
        <f t="shared" si="2"/>
        <v/>
      </c>
      <c r="AB326" s="42"/>
      <c r="AC326" s="41"/>
      <c r="AD326" s="41"/>
      <c r="AE326" s="46" t="str">
        <f t="shared" si="3"/>
        <v/>
      </c>
      <c r="AF326" s="46" t="str">
        <f t="shared" si="7"/>
        <v/>
      </c>
      <c r="AG326" s="40" t="str">
        <f t="shared" si="4"/>
        <v/>
      </c>
      <c r="AH326" s="40" t="str">
        <f t="shared" si="5"/>
        <v/>
      </c>
      <c r="AI326" s="40" t="str">
        <f t="shared" si="6"/>
        <v/>
      </c>
    </row>
    <row r="327" ht="15.75" customHeight="1">
      <c r="A327" s="126"/>
      <c r="B327" s="42"/>
      <c r="C327" s="41"/>
      <c r="D327" s="41"/>
      <c r="E327" s="64"/>
      <c r="F327" s="64"/>
      <c r="G327" s="41"/>
      <c r="H327" s="41"/>
      <c r="I327" s="123"/>
      <c r="J327" s="123"/>
      <c r="K327" s="123"/>
      <c r="L327" s="123"/>
      <c r="M327" s="41"/>
      <c r="N327" s="123"/>
      <c r="O327" s="65"/>
      <c r="P327" s="123"/>
      <c r="Q327" s="123"/>
      <c r="R327" s="123"/>
      <c r="S327" s="42"/>
      <c r="T327" s="42"/>
      <c r="U327" s="40" t="str">
        <f t="shared" si="9"/>
        <v/>
      </c>
      <c r="V327" s="41"/>
      <c r="W327" s="42"/>
      <c r="X327" s="42"/>
      <c r="Y327" s="43"/>
      <c r="Z327" s="44"/>
      <c r="AA327" s="45" t="str">
        <f t="shared" si="2"/>
        <v/>
      </c>
      <c r="AB327" s="42"/>
      <c r="AC327" s="41"/>
      <c r="AD327" s="41"/>
      <c r="AE327" s="46" t="str">
        <f t="shared" si="3"/>
        <v/>
      </c>
      <c r="AF327" s="46" t="str">
        <f t="shared" si="7"/>
        <v/>
      </c>
      <c r="AG327" s="40" t="str">
        <f t="shared" si="4"/>
        <v/>
      </c>
      <c r="AH327" s="40" t="str">
        <f t="shared" si="5"/>
        <v/>
      </c>
      <c r="AI327" s="40" t="str">
        <f t="shared" si="6"/>
        <v/>
      </c>
    </row>
    <row r="328" ht="15.75" customHeight="1">
      <c r="A328" s="126"/>
      <c r="B328" s="42"/>
      <c r="C328" s="41"/>
      <c r="D328" s="41"/>
      <c r="E328" s="64"/>
      <c r="F328" s="64"/>
      <c r="G328" s="41"/>
      <c r="H328" s="41"/>
      <c r="I328" s="123"/>
      <c r="J328" s="123"/>
      <c r="K328" s="123"/>
      <c r="L328" s="123"/>
      <c r="M328" s="41"/>
      <c r="N328" s="123"/>
      <c r="O328" s="65"/>
      <c r="P328" s="123"/>
      <c r="Q328" s="123"/>
      <c r="R328" s="123"/>
      <c r="S328" s="42"/>
      <c r="T328" s="42"/>
      <c r="U328" s="40" t="str">
        <f t="shared" si="9"/>
        <v/>
      </c>
      <c r="V328" s="41"/>
      <c r="W328" s="42"/>
      <c r="X328" s="42"/>
      <c r="Y328" s="43"/>
      <c r="Z328" s="44"/>
      <c r="AA328" s="45" t="str">
        <f t="shared" si="2"/>
        <v/>
      </c>
      <c r="AB328" s="42"/>
      <c r="AC328" s="41"/>
      <c r="AD328" s="41"/>
      <c r="AE328" s="46" t="str">
        <f t="shared" si="3"/>
        <v/>
      </c>
      <c r="AF328" s="46" t="str">
        <f t="shared" si="7"/>
        <v/>
      </c>
      <c r="AG328" s="40" t="str">
        <f t="shared" si="4"/>
        <v/>
      </c>
      <c r="AH328" s="40" t="str">
        <f t="shared" si="5"/>
        <v/>
      </c>
      <c r="AI328" s="40" t="str">
        <f t="shared" si="6"/>
        <v/>
      </c>
    </row>
    <row r="329" ht="15.75" customHeight="1">
      <c r="A329" s="126"/>
      <c r="B329" s="42"/>
      <c r="C329" s="41"/>
      <c r="D329" s="41"/>
      <c r="E329" s="64"/>
      <c r="F329" s="64"/>
      <c r="G329" s="41"/>
      <c r="H329" s="41"/>
      <c r="I329" s="123"/>
      <c r="J329" s="123"/>
      <c r="K329" s="123"/>
      <c r="L329" s="123"/>
      <c r="M329" s="41"/>
      <c r="N329" s="123"/>
      <c r="O329" s="65"/>
      <c r="P329" s="123"/>
      <c r="Q329" s="123"/>
      <c r="R329" s="123"/>
      <c r="S329" s="42"/>
      <c r="T329" s="42"/>
      <c r="U329" s="40" t="str">
        <f t="shared" si="9"/>
        <v/>
      </c>
      <c r="V329" s="41"/>
      <c r="W329" s="42"/>
      <c r="X329" s="42"/>
      <c r="Y329" s="43"/>
      <c r="Z329" s="44"/>
      <c r="AA329" s="45" t="str">
        <f t="shared" si="2"/>
        <v/>
      </c>
      <c r="AB329" s="42"/>
      <c r="AC329" s="41"/>
      <c r="AD329" s="41"/>
      <c r="AE329" s="46" t="str">
        <f t="shared" si="3"/>
        <v/>
      </c>
      <c r="AF329" s="46" t="str">
        <f t="shared" si="7"/>
        <v/>
      </c>
      <c r="AG329" s="40" t="str">
        <f t="shared" si="4"/>
        <v/>
      </c>
      <c r="AH329" s="40" t="str">
        <f t="shared" si="5"/>
        <v/>
      </c>
      <c r="AI329" s="40" t="str">
        <f t="shared" si="6"/>
        <v/>
      </c>
    </row>
    <row r="330" ht="15.75" customHeight="1">
      <c r="A330" s="126"/>
      <c r="B330" s="42"/>
      <c r="C330" s="41"/>
      <c r="D330" s="41"/>
      <c r="E330" s="64"/>
      <c r="F330" s="64"/>
      <c r="G330" s="41"/>
      <c r="H330" s="41"/>
      <c r="I330" s="123"/>
      <c r="J330" s="123"/>
      <c r="K330" s="123"/>
      <c r="L330" s="123"/>
      <c r="M330" s="41"/>
      <c r="N330" s="123"/>
      <c r="O330" s="65"/>
      <c r="P330" s="123"/>
      <c r="Q330" s="123"/>
      <c r="R330" s="123"/>
      <c r="S330" s="42"/>
      <c r="T330" s="42"/>
      <c r="U330" s="40" t="str">
        <f t="shared" si="9"/>
        <v/>
      </c>
      <c r="V330" s="41"/>
      <c r="W330" s="42"/>
      <c r="X330" s="42"/>
      <c r="Y330" s="43"/>
      <c r="Z330" s="44"/>
      <c r="AA330" s="45" t="str">
        <f t="shared" si="2"/>
        <v/>
      </c>
      <c r="AB330" s="42"/>
      <c r="AC330" s="41"/>
      <c r="AD330" s="41"/>
      <c r="AE330" s="46" t="str">
        <f t="shared" si="3"/>
        <v/>
      </c>
      <c r="AF330" s="46" t="str">
        <f t="shared" si="7"/>
        <v/>
      </c>
      <c r="AG330" s="40" t="str">
        <f t="shared" si="4"/>
        <v/>
      </c>
      <c r="AH330" s="40" t="str">
        <f t="shared" si="5"/>
        <v/>
      </c>
      <c r="AI330" s="40" t="str">
        <f t="shared" si="6"/>
        <v/>
      </c>
    </row>
    <row r="331" ht="15.75" customHeight="1">
      <c r="A331" s="126"/>
      <c r="B331" s="42"/>
      <c r="C331" s="41"/>
      <c r="D331" s="41"/>
      <c r="E331" s="64"/>
      <c r="F331" s="64"/>
      <c r="G331" s="41"/>
      <c r="H331" s="41"/>
      <c r="I331" s="123"/>
      <c r="J331" s="123"/>
      <c r="K331" s="123"/>
      <c r="L331" s="123"/>
      <c r="M331" s="41"/>
      <c r="N331" s="123"/>
      <c r="O331" s="65"/>
      <c r="P331" s="123"/>
      <c r="Q331" s="123"/>
      <c r="R331" s="123"/>
      <c r="S331" s="42"/>
      <c r="T331" s="42"/>
      <c r="U331" s="40" t="str">
        <f t="shared" si="9"/>
        <v/>
      </c>
      <c r="V331" s="41"/>
      <c r="W331" s="42"/>
      <c r="X331" s="42"/>
      <c r="Y331" s="43"/>
      <c r="Z331" s="44"/>
      <c r="AA331" s="45" t="str">
        <f t="shared" si="2"/>
        <v/>
      </c>
      <c r="AB331" s="42"/>
      <c r="AC331" s="41"/>
      <c r="AD331" s="41"/>
      <c r="AE331" s="46" t="str">
        <f t="shared" si="3"/>
        <v/>
      </c>
      <c r="AF331" s="46" t="str">
        <f t="shared" si="7"/>
        <v/>
      </c>
      <c r="AG331" s="40" t="str">
        <f t="shared" si="4"/>
        <v/>
      </c>
      <c r="AH331" s="40" t="str">
        <f t="shared" si="5"/>
        <v/>
      </c>
      <c r="AI331" s="40" t="str">
        <f t="shared" si="6"/>
        <v/>
      </c>
    </row>
    <row r="332" ht="15.75" customHeight="1">
      <c r="A332" s="126"/>
      <c r="B332" s="42"/>
      <c r="C332" s="41"/>
      <c r="D332" s="41"/>
      <c r="E332" s="64"/>
      <c r="F332" s="64"/>
      <c r="G332" s="41"/>
      <c r="H332" s="41"/>
      <c r="I332" s="123"/>
      <c r="J332" s="123"/>
      <c r="K332" s="123"/>
      <c r="L332" s="123"/>
      <c r="M332" s="41"/>
      <c r="N332" s="123"/>
      <c r="O332" s="65"/>
      <c r="P332" s="123"/>
      <c r="Q332" s="123"/>
      <c r="R332" s="123"/>
      <c r="S332" s="42"/>
      <c r="T332" s="42"/>
      <c r="U332" s="40" t="str">
        <f t="shared" si="9"/>
        <v/>
      </c>
      <c r="V332" s="41"/>
      <c r="W332" s="42"/>
      <c r="X332" s="42"/>
      <c r="Y332" s="43"/>
      <c r="Z332" s="44"/>
      <c r="AA332" s="45" t="str">
        <f t="shared" si="2"/>
        <v/>
      </c>
      <c r="AB332" s="42"/>
      <c r="AC332" s="41"/>
      <c r="AD332" s="41"/>
      <c r="AE332" s="46" t="str">
        <f t="shared" si="3"/>
        <v/>
      </c>
      <c r="AF332" s="46" t="str">
        <f t="shared" si="7"/>
        <v/>
      </c>
      <c r="AG332" s="40" t="str">
        <f t="shared" si="4"/>
        <v/>
      </c>
      <c r="AH332" s="40" t="str">
        <f t="shared" si="5"/>
        <v/>
      </c>
      <c r="AI332" s="40" t="str">
        <f t="shared" si="6"/>
        <v/>
      </c>
    </row>
    <row r="333" ht="15.75" customHeight="1">
      <c r="A333" s="126"/>
      <c r="B333" s="42"/>
      <c r="C333" s="41"/>
      <c r="D333" s="41"/>
      <c r="E333" s="64"/>
      <c r="F333" s="64"/>
      <c r="G333" s="41"/>
      <c r="H333" s="41"/>
      <c r="I333" s="123"/>
      <c r="J333" s="123"/>
      <c r="K333" s="123"/>
      <c r="L333" s="123"/>
      <c r="M333" s="41"/>
      <c r="N333" s="123"/>
      <c r="O333" s="65"/>
      <c r="P333" s="123"/>
      <c r="Q333" s="123"/>
      <c r="R333" s="123"/>
      <c r="S333" s="42"/>
      <c r="T333" s="42"/>
      <c r="U333" s="40" t="str">
        <f t="shared" si="9"/>
        <v/>
      </c>
      <c r="V333" s="41"/>
      <c r="W333" s="42"/>
      <c r="X333" s="42"/>
      <c r="Y333" s="43"/>
      <c r="Z333" s="44"/>
      <c r="AA333" s="45" t="str">
        <f t="shared" si="2"/>
        <v/>
      </c>
      <c r="AB333" s="42"/>
      <c r="AC333" s="41"/>
      <c r="AD333" s="41"/>
      <c r="AE333" s="46" t="str">
        <f t="shared" si="3"/>
        <v/>
      </c>
      <c r="AF333" s="46" t="str">
        <f t="shared" si="7"/>
        <v/>
      </c>
      <c r="AG333" s="40" t="str">
        <f t="shared" si="4"/>
        <v/>
      </c>
      <c r="AH333" s="40" t="str">
        <f t="shared" si="5"/>
        <v/>
      </c>
      <c r="AI333" s="40" t="str">
        <f t="shared" si="6"/>
        <v/>
      </c>
    </row>
    <row r="334" ht="15.75" customHeight="1">
      <c r="A334" s="126"/>
      <c r="B334" s="42"/>
      <c r="C334" s="41"/>
      <c r="D334" s="41"/>
      <c r="E334" s="64"/>
      <c r="F334" s="64"/>
      <c r="G334" s="41"/>
      <c r="H334" s="41"/>
      <c r="I334" s="123"/>
      <c r="J334" s="123"/>
      <c r="K334" s="123"/>
      <c r="L334" s="123"/>
      <c r="M334" s="41"/>
      <c r="N334" s="123"/>
      <c r="O334" s="65"/>
      <c r="P334" s="123"/>
      <c r="Q334" s="123"/>
      <c r="R334" s="123"/>
      <c r="S334" s="42"/>
      <c r="T334" s="42"/>
      <c r="U334" s="40" t="str">
        <f t="shared" si="9"/>
        <v/>
      </c>
      <c r="V334" s="41"/>
      <c r="W334" s="42"/>
      <c r="X334" s="42"/>
      <c r="Y334" s="43"/>
      <c r="Z334" s="44"/>
      <c r="AA334" s="45" t="str">
        <f t="shared" si="2"/>
        <v/>
      </c>
      <c r="AB334" s="42"/>
      <c r="AC334" s="41"/>
      <c r="AD334" s="41"/>
      <c r="AE334" s="46" t="str">
        <f t="shared" si="3"/>
        <v/>
      </c>
      <c r="AF334" s="46" t="str">
        <f t="shared" si="7"/>
        <v/>
      </c>
      <c r="AG334" s="40" t="str">
        <f t="shared" si="4"/>
        <v/>
      </c>
      <c r="AH334" s="40" t="str">
        <f t="shared" si="5"/>
        <v/>
      </c>
      <c r="AI334" s="40" t="str">
        <f t="shared" si="6"/>
        <v/>
      </c>
    </row>
    <row r="335" ht="15.75" customHeight="1">
      <c r="A335" s="126"/>
      <c r="B335" s="42"/>
      <c r="C335" s="41"/>
      <c r="D335" s="41"/>
      <c r="E335" s="64"/>
      <c r="F335" s="64"/>
      <c r="G335" s="41"/>
      <c r="H335" s="41"/>
      <c r="I335" s="123"/>
      <c r="J335" s="123"/>
      <c r="K335" s="123"/>
      <c r="L335" s="123"/>
      <c r="M335" s="41"/>
      <c r="N335" s="123"/>
      <c r="O335" s="65"/>
      <c r="P335" s="123"/>
      <c r="Q335" s="123"/>
      <c r="R335" s="123"/>
      <c r="S335" s="42"/>
      <c r="T335" s="42"/>
      <c r="U335" s="40" t="str">
        <f t="shared" si="9"/>
        <v/>
      </c>
      <c r="V335" s="41"/>
      <c r="W335" s="42"/>
      <c r="X335" s="42"/>
      <c r="Y335" s="43"/>
      <c r="Z335" s="44"/>
      <c r="AA335" s="45" t="str">
        <f t="shared" si="2"/>
        <v/>
      </c>
      <c r="AB335" s="42"/>
      <c r="AC335" s="41"/>
      <c r="AD335" s="41"/>
      <c r="AE335" s="46" t="str">
        <f t="shared" si="3"/>
        <v/>
      </c>
      <c r="AF335" s="46" t="str">
        <f t="shared" si="7"/>
        <v/>
      </c>
      <c r="AG335" s="40" t="str">
        <f t="shared" si="4"/>
        <v/>
      </c>
      <c r="AH335" s="40" t="str">
        <f t="shared" si="5"/>
        <v/>
      </c>
      <c r="AI335" s="40" t="str">
        <f t="shared" si="6"/>
        <v/>
      </c>
    </row>
    <row r="336" ht="15.75" customHeight="1">
      <c r="A336" s="126"/>
      <c r="B336" s="42"/>
      <c r="C336" s="41"/>
      <c r="D336" s="41"/>
      <c r="E336" s="64"/>
      <c r="F336" s="64"/>
      <c r="G336" s="41"/>
      <c r="H336" s="41"/>
      <c r="I336" s="123"/>
      <c r="J336" s="123"/>
      <c r="K336" s="123"/>
      <c r="L336" s="123"/>
      <c r="M336" s="41"/>
      <c r="N336" s="123"/>
      <c r="O336" s="65"/>
      <c r="P336" s="123"/>
      <c r="Q336" s="123"/>
      <c r="R336" s="123"/>
      <c r="S336" s="42"/>
      <c r="T336" s="42"/>
      <c r="U336" s="40" t="str">
        <f t="shared" si="9"/>
        <v/>
      </c>
      <c r="V336" s="41"/>
      <c r="W336" s="42"/>
      <c r="X336" s="42"/>
      <c r="Y336" s="43"/>
      <c r="Z336" s="44"/>
      <c r="AA336" s="45" t="str">
        <f t="shared" si="2"/>
        <v/>
      </c>
      <c r="AB336" s="42"/>
      <c r="AC336" s="41"/>
      <c r="AD336" s="41"/>
      <c r="AE336" s="46" t="str">
        <f t="shared" si="3"/>
        <v/>
      </c>
      <c r="AF336" s="46" t="str">
        <f t="shared" si="7"/>
        <v/>
      </c>
      <c r="AG336" s="40" t="str">
        <f t="shared" si="4"/>
        <v/>
      </c>
      <c r="AH336" s="40" t="str">
        <f t="shared" si="5"/>
        <v/>
      </c>
      <c r="AI336" s="40" t="str">
        <f t="shared" si="6"/>
        <v/>
      </c>
    </row>
    <row r="337" ht="15.75" customHeight="1">
      <c r="A337" s="126"/>
      <c r="B337" s="42"/>
      <c r="C337" s="41"/>
      <c r="D337" s="41"/>
      <c r="E337" s="64"/>
      <c r="F337" s="64"/>
      <c r="G337" s="41"/>
      <c r="H337" s="41"/>
      <c r="I337" s="123"/>
      <c r="J337" s="123"/>
      <c r="K337" s="123"/>
      <c r="L337" s="123"/>
      <c r="M337" s="41"/>
      <c r="N337" s="123"/>
      <c r="O337" s="65"/>
      <c r="P337" s="123"/>
      <c r="Q337" s="123"/>
      <c r="R337" s="123"/>
      <c r="S337" s="42"/>
      <c r="T337" s="42"/>
      <c r="U337" s="40" t="str">
        <f t="shared" si="9"/>
        <v/>
      </c>
      <c r="V337" s="41"/>
      <c r="W337" s="42"/>
      <c r="X337" s="42"/>
      <c r="Y337" s="43"/>
      <c r="Z337" s="44"/>
      <c r="AA337" s="45" t="str">
        <f t="shared" si="2"/>
        <v/>
      </c>
      <c r="AB337" s="42"/>
      <c r="AC337" s="41"/>
      <c r="AD337" s="41"/>
      <c r="AE337" s="46" t="str">
        <f t="shared" si="3"/>
        <v/>
      </c>
      <c r="AF337" s="46" t="str">
        <f t="shared" si="7"/>
        <v/>
      </c>
      <c r="AG337" s="40" t="str">
        <f t="shared" si="4"/>
        <v/>
      </c>
      <c r="AH337" s="40" t="str">
        <f t="shared" si="5"/>
        <v/>
      </c>
      <c r="AI337" s="40" t="str">
        <f t="shared" si="6"/>
        <v/>
      </c>
    </row>
    <row r="338" ht="15.75" customHeight="1">
      <c r="A338" s="126"/>
      <c r="B338" s="42"/>
      <c r="C338" s="41"/>
      <c r="D338" s="41"/>
      <c r="E338" s="64"/>
      <c r="F338" s="64"/>
      <c r="G338" s="41"/>
      <c r="H338" s="41"/>
      <c r="I338" s="123"/>
      <c r="J338" s="123"/>
      <c r="K338" s="123"/>
      <c r="L338" s="123"/>
      <c r="M338" s="41"/>
      <c r="N338" s="123"/>
      <c r="O338" s="65"/>
      <c r="P338" s="123"/>
      <c r="Q338" s="123"/>
      <c r="R338" s="123"/>
      <c r="S338" s="42"/>
      <c r="T338" s="42"/>
      <c r="U338" s="40" t="str">
        <f t="shared" si="9"/>
        <v/>
      </c>
      <c r="V338" s="41"/>
      <c r="W338" s="42"/>
      <c r="X338" s="42"/>
      <c r="Y338" s="43"/>
      <c r="Z338" s="44"/>
      <c r="AA338" s="45" t="str">
        <f t="shared" si="2"/>
        <v/>
      </c>
      <c r="AB338" s="42"/>
      <c r="AC338" s="41"/>
      <c r="AD338" s="41"/>
      <c r="AE338" s="46" t="str">
        <f t="shared" si="3"/>
        <v/>
      </c>
      <c r="AF338" s="46" t="str">
        <f t="shared" si="7"/>
        <v/>
      </c>
      <c r="AG338" s="40" t="str">
        <f t="shared" si="4"/>
        <v/>
      </c>
      <c r="AH338" s="40" t="str">
        <f t="shared" si="5"/>
        <v/>
      </c>
      <c r="AI338" s="40" t="str">
        <f t="shared" si="6"/>
        <v/>
      </c>
    </row>
    <row r="339" ht="15.75" customHeight="1">
      <c r="A339" s="126"/>
      <c r="B339" s="42"/>
      <c r="C339" s="41"/>
      <c r="D339" s="41"/>
      <c r="E339" s="64"/>
      <c r="F339" s="64"/>
      <c r="G339" s="41"/>
      <c r="H339" s="41"/>
      <c r="I339" s="123"/>
      <c r="J339" s="123"/>
      <c r="K339" s="123"/>
      <c r="L339" s="123"/>
      <c r="M339" s="41"/>
      <c r="N339" s="123"/>
      <c r="O339" s="65"/>
      <c r="P339" s="123"/>
      <c r="Q339" s="123"/>
      <c r="R339" s="123"/>
      <c r="S339" s="42"/>
      <c r="T339" s="42"/>
      <c r="U339" s="40" t="str">
        <f t="shared" si="9"/>
        <v/>
      </c>
      <c r="V339" s="41"/>
      <c r="W339" s="42"/>
      <c r="X339" s="42"/>
      <c r="Y339" s="43"/>
      <c r="Z339" s="44"/>
      <c r="AA339" s="45" t="str">
        <f t="shared" si="2"/>
        <v/>
      </c>
      <c r="AB339" s="42"/>
      <c r="AC339" s="41"/>
      <c r="AD339" s="41"/>
      <c r="AE339" s="46" t="str">
        <f t="shared" si="3"/>
        <v/>
      </c>
      <c r="AF339" s="46" t="str">
        <f t="shared" si="7"/>
        <v/>
      </c>
      <c r="AG339" s="40" t="str">
        <f t="shared" si="4"/>
        <v/>
      </c>
      <c r="AH339" s="40" t="str">
        <f t="shared" si="5"/>
        <v/>
      </c>
      <c r="AI339" s="40" t="str">
        <f t="shared" si="6"/>
        <v/>
      </c>
    </row>
    <row r="340" ht="15.75" customHeight="1">
      <c r="A340" s="126"/>
      <c r="B340" s="42"/>
      <c r="C340" s="41"/>
      <c r="D340" s="41"/>
      <c r="E340" s="64"/>
      <c r="F340" s="64"/>
      <c r="G340" s="41"/>
      <c r="H340" s="41"/>
      <c r="I340" s="123"/>
      <c r="J340" s="123"/>
      <c r="K340" s="123"/>
      <c r="L340" s="123"/>
      <c r="M340" s="41"/>
      <c r="N340" s="123"/>
      <c r="O340" s="65"/>
      <c r="P340" s="123"/>
      <c r="Q340" s="123"/>
      <c r="R340" s="123"/>
      <c r="S340" s="42"/>
      <c r="T340" s="42"/>
      <c r="U340" s="40" t="str">
        <f t="shared" si="9"/>
        <v/>
      </c>
      <c r="V340" s="41"/>
      <c r="W340" s="42"/>
      <c r="X340" s="42"/>
      <c r="Y340" s="43"/>
      <c r="Z340" s="44"/>
      <c r="AA340" s="45" t="str">
        <f t="shared" si="2"/>
        <v/>
      </c>
      <c r="AB340" s="42"/>
      <c r="AC340" s="41"/>
      <c r="AD340" s="41"/>
      <c r="AE340" s="46" t="str">
        <f t="shared" si="3"/>
        <v/>
      </c>
      <c r="AF340" s="46" t="str">
        <f t="shared" si="7"/>
        <v/>
      </c>
      <c r="AG340" s="40" t="str">
        <f t="shared" si="4"/>
        <v/>
      </c>
      <c r="AH340" s="40" t="str">
        <f t="shared" si="5"/>
        <v/>
      </c>
      <c r="AI340" s="40" t="str">
        <f t="shared" si="6"/>
        <v/>
      </c>
    </row>
    <row r="341" ht="15.75" customHeight="1">
      <c r="A341" s="126"/>
      <c r="B341" s="42"/>
      <c r="C341" s="41"/>
      <c r="D341" s="41"/>
      <c r="E341" s="64"/>
      <c r="F341" s="64"/>
      <c r="G341" s="41"/>
      <c r="H341" s="41"/>
      <c r="I341" s="123"/>
      <c r="J341" s="123"/>
      <c r="K341" s="123"/>
      <c r="L341" s="123"/>
      <c r="M341" s="41"/>
      <c r="N341" s="123"/>
      <c r="O341" s="65"/>
      <c r="P341" s="123"/>
      <c r="Q341" s="123"/>
      <c r="R341" s="123"/>
      <c r="S341" s="42"/>
      <c r="T341" s="42"/>
      <c r="U341" s="40" t="str">
        <f t="shared" si="9"/>
        <v/>
      </c>
      <c r="V341" s="41"/>
      <c r="W341" s="42"/>
      <c r="X341" s="42"/>
      <c r="Y341" s="43"/>
      <c r="Z341" s="44"/>
      <c r="AA341" s="45" t="str">
        <f t="shared" si="2"/>
        <v/>
      </c>
      <c r="AB341" s="42"/>
      <c r="AC341" s="41"/>
      <c r="AD341" s="41"/>
      <c r="AE341" s="46" t="str">
        <f t="shared" si="3"/>
        <v/>
      </c>
      <c r="AF341" s="46" t="str">
        <f t="shared" si="7"/>
        <v/>
      </c>
      <c r="AG341" s="40" t="str">
        <f t="shared" si="4"/>
        <v/>
      </c>
      <c r="AH341" s="40" t="str">
        <f t="shared" si="5"/>
        <v/>
      </c>
      <c r="AI341" s="40" t="str">
        <f t="shared" si="6"/>
        <v/>
      </c>
    </row>
    <row r="342" ht="15.75" customHeight="1">
      <c r="A342" s="126"/>
      <c r="B342" s="42"/>
      <c r="C342" s="41"/>
      <c r="D342" s="41"/>
      <c r="E342" s="64"/>
      <c r="F342" s="64"/>
      <c r="G342" s="41"/>
      <c r="H342" s="41"/>
      <c r="I342" s="123"/>
      <c r="J342" s="123"/>
      <c r="K342" s="123"/>
      <c r="L342" s="123"/>
      <c r="M342" s="41"/>
      <c r="N342" s="123"/>
      <c r="O342" s="65"/>
      <c r="P342" s="123"/>
      <c r="Q342" s="123"/>
      <c r="R342" s="123"/>
      <c r="S342" s="42"/>
      <c r="T342" s="42"/>
      <c r="U342" s="40" t="str">
        <f t="shared" si="9"/>
        <v/>
      </c>
      <c r="V342" s="41"/>
      <c r="W342" s="42"/>
      <c r="X342" s="42"/>
      <c r="Y342" s="43"/>
      <c r="Z342" s="44"/>
      <c r="AA342" s="45" t="str">
        <f t="shared" si="2"/>
        <v/>
      </c>
      <c r="AB342" s="42"/>
      <c r="AC342" s="41"/>
      <c r="AD342" s="41"/>
      <c r="AE342" s="46" t="str">
        <f t="shared" si="3"/>
        <v/>
      </c>
      <c r="AF342" s="46" t="str">
        <f t="shared" si="7"/>
        <v/>
      </c>
      <c r="AG342" s="40" t="str">
        <f t="shared" si="4"/>
        <v/>
      </c>
      <c r="AH342" s="40" t="str">
        <f t="shared" si="5"/>
        <v/>
      </c>
      <c r="AI342" s="40" t="str">
        <f t="shared" si="6"/>
        <v/>
      </c>
    </row>
    <row r="343" ht="15.75" customHeight="1">
      <c r="A343" s="126"/>
      <c r="B343" s="42"/>
      <c r="C343" s="41"/>
      <c r="D343" s="41"/>
      <c r="E343" s="64"/>
      <c r="F343" s="64"/>
      <c r="G343" s="41"/>
      <c r="H343" s="41"/>
      <c r="I343" s="123"/>
      <c r="J343" s="123"/>
      <c r="K343" s="123"/>
      <c r="L343" s="123"/>
      <c r="M343" s="41"/>
      <c r="N343" s="123"/>
      <c r="O343" s="65"/>
      <c r="P343" s="123"/>
      <c r="Q343" s="123"/>
      <c r="R343" s="123"/>
      <c r="S343" s="42"/>
      <c r="T343" s="42"/>
      <c r="U343" s="40" t="str">
        <f t="shared" si="9"/>
        <v/>
      </c>
      <c r="V343" s="41"/>
      <c r="W343" s="42"/>
      <c r="X343" s="42"/>
      <c r="Y343" s="43"/>
      <c r="Z343" s="44"/>
      <c r="AA343" s="45" t="str">
        <f t="shared" si="2"/>
        <v/>
      </c>
      <c r="AB343" s="42"/>
      <c r="AC343" s="41"/>
      <c r="AD343" s="41"/>
      <c r="AE343" s="46" t="str">
        <f t="shared" si="3"/>
        <v/>
      </c>
      <c r="AF343" s="46" t="str">
        <f t="shared" si="7"/>
        <v/>
      </c>
      <c r="AG343" s="40" t="str">
        <f t="shared" si="4"/>
        <v/>
      </c>
      <c r="AH343" s="40" t="str">
        <f t="shared" si="5"/>
        <v/>
      </c>
      <c r="AI343" s="40" t="str">
        <f t="shared" si="6"/>
        <v/>
      </c>
    </row>
    <row r="344" ht="15.75" customHeight="1">
      <c r="A344" s="126"/>
      <c r="B344" s="42"/>
      <c r="C344" s="41"/>
      <c r="D344" s="41"/>
      <c r="E344" s="64"/>
      <c r="F344" s="64"/>
      <c r="G344" s="41"/>
      <c r="H344" s="41"/>
      <c r="I344" s="123"/>
      <c r="J344" s="123"/>
      <c r="K344" s="123"/>
      <c r="L344" s="123"/>
      <c r="M344" s="41"/>
      <c r="N344" s="123"/>
      <c r="O344" s="65"/>
      <c r="P344" s="123"/>
      <c r="Q344" s="123"/>
      <c r="R344" s="123"/>
      <c r="S344" s="42"/>
      <c r="T344" s="42"/>
      <c r="U344" s="40" t="str">
        <f t="shared" si="9"/>
        <v/>
      </c>
      <c r="V344" s="41"/>
      <c r="W344" s="42"/>
      <c r="X344" s="42"/>
      <c r="Y344" s="43"/>
      <c r="Z344" s="44"/>
      <c r="AA344" s="45" t="str">
        <f t="shared" si="2"/>
        <v/>
      </c>
      <c r="AB344" s="42"/>
      <c r="AC344" s="41"/>
      <c r="AD344" s="41"/>
      <c r="AE344" s="46" t="str">
        <f t="shared" si="3"/>
        <v/>
      </c>
      <c r="AF344" s="46" t="str">
        <f t="shared" si="7"/>
        <v/>
      </c>
      <c r="AG344" s="40" t="str">
        <f t="shared" si="4"/>
        <v/>
      </c>
      <c r="AH344" s="40" t="str">
        <f t="shared" si="5"/>
        <v/>
      </c>
      <c r="AI344" s="40" t="str">
        <f t="shared" si="6"/>
        <v/>
      </c>
    </row>
    <row r="345" ht="15.75" customHeight="1">
      <c r="A345" s="126"/>
      <c r="B345" s="42"/>
      <c r="C345" s="41"/>
      <c r="D345" s="41"/>
      <c r="E345" s="64"/>
      <c r="F345" s="64"/>
      <c r="G345" s="41"/>
      <c r="H345" s="41"/>
      <c r="I345" s="123"/>
      <c r="J345" s="123"/>
      <c r="K345" s="123"/>
      <c r="L345" s="123"/>
      <c r="M345" s="41"/>
      <c r="N345" s="123"/>
      <c r="O345" s="65"/>
      <c r="P345" s="123"/>
      <c r="Q345" s="123"/>
      <c r="R345" s="123"/>
      <c r="S345" s="42"/>
      <c r="T345" s="42"/>
      <c r="U345" s="40" t="str">
        <f t="shared" si="9"/>
        <v/>
      </c>
      <c r="V345" s="41"/>
      <c r="W345" s="42"/>
      <c r="X345" s="42"/>
      <c r="Y345" s="43"/>
      <c r="Z345" s="44"/>
      <c r="AA345" s="45" t="str">
        <f t="shared" si="2"/>
        <v/>
      </c>
      <c r="AB345" s="42"/>
      <c r="AC345" s="41"/>
      <c r="AD345" s="41"/>
      <c r="AE345" s="46" t="str">
        <f t="shared" si="3"/>
        <v/>
      </c>
      <c r="AF345" s="46" t="str">
        <f t="shared" si="7"/>
        <v/>
      </c>
      <c r="AG345" s="40" t="str">
        <f t="shared" si="4"/>
        <v/>
      </c>
      <c r="AH345" s="40" t="str">
        <f t="shared" si="5"/>
        <v/>
      </c>
      <c r="AI345" s="40" t="str">
        <f t="shared" si="6"/>
        <v/>
      </c>
    </row>
    <row r="346" ht="15.75" customHeight="1">
      <c r="A346" s="126"/>
      <c r="B346" s="42"/>
      <c r="C346" s="41"/>
      <c r="D346" s="41"/>
      <c r="E346" s="64"/>
      <c r="F346" s="64"/>
      <c r="G346" s="41"/>
      <c r="H346" s="41"/>
      <c r="I346" s="123"/>
      <c r="J346" s="123"/>
      <c r="K346" s="123"/>
      <c r="L346" s="123"/>
      <c r="M346" s="41"/>
      <c r="N346" s="123"/>
      <c r="O346" s="65"/>
      <c r="P346" s="123"/>
      <c r="Q346" s="123"/>
      <c r="R346" s="123"/>
      <c r="S346" s="42"/>
      <c r="T346" s="42"/>
      <c r="U346" s="40" t="str">
        <f t="shared" si="9"/>
        <v/>
      </c>
      <c r="V346" s="41"/>
      <c r="W346" s="42"/>
      <c r="X346" s="42"/>
      <c r="Y346" s="43"/>
      <c r="Z346" s="44"/>
      <c r="AA346" s="45" t="str">
        <f t="shared" si="2"/>
        <v/>
      </c>
      <c r="AB346" s="42"/>
      <c r="AC346" s="41"/>
      <c r="AD346" s="41"/>
      <c r="AE346" s="46" t="str">
        <f t="shared" si="3"/>
        <v/>
      </c>
      <c r="AF346" s="46" t="str">
        <f t="shared" si="7"/>
        <v/>
      </c>
      <c r="AG346" s="40" t="str">
        <f t="shared" si="4"/>
        <v/>
      </c>
      <c r="AH346" s="40" t="str">
        <f t="shared" si="5"/>
        <v/>
      </c>
      <c r="AI346" s="40" t="str">
        <f t="shared" si="6"/>
        <v/>
      </c>
    </row>
    <row r="347" ht="15.75" customHeight="1">
      <c r="A347" s="126"/>
      <c r="B347" s="42"/>
      <c r="C347" s="41"/>
      <c r="D347" s="41"/>
      <c r="E347" s="64"/>
      <c r="F347" s="64"/>
      <c r="G347" s="41"/>
      <c r="H347" s="41"/>
      <c r="I347" s="123"/>
      <c r="J347" s="123"/>
      <c r="K347" s="123"/>
      <c r="L347" s="123"/>
      <c r="M347" s="41"/>
      <c r="N347" s="123"/>
      <c r="O347" s="65"/>
      <c r="P347" s="123"/>
      <c r="Q347" s="123"/>
      <c r="R347" s="123"/>
      <c r="S347" s="42"/>
      <c r="T347" s="42"/>
      <c r="U347" s="40" t="str">
        <f t="shared" si="9"/>
        <v/>
      </c>
      <c r="V347" s="41"/>
      <c r="W347" s="42"/>
      <c r="X347" s="42"/>
      <c r="Y347" s="43"/>
      <c r="Z347" s="44"/>
      <c r="AA347" s="45" t="str">
        <f t="shared" si="2"/>
        <v/>
      </c>
      <c r="AB347" s="42"/>
      <c r="AC347" s="41"/>
      <c r="AD347" s="41"/>
      <c r="AE347" s="46" t="str">
        <f t="shared" si="3"/>
        <v/>
      </c>
      <c r="AF347" s="46" t="str">
        <f t="shared" si="7"/>
        <v/>
      </c>
      <c r="AG347" s="40" t="str">
        <f t="shared" si="4"/>
        <v/>
      </c>
      <c r="AH347" s="40" t="str">
        <f t="shared" si="5"/>
        <v/>
      </c>
      <c r="AI347" s="40" t="str">
        <f t="shared" si="6"/>
        <v/>
      </c>
    </row>
    <row r="348" ht="15.75" customHeight="1">
      <c r="A348" s="126"/>
      <c r="B348" s="42"/>
      <c r="C348" s="41"/>
      <c r="D348" s="41"/>
      <c r="E348" s="64"/>
      <c r="F348" s="64"/>
      <c r="G348" s="41"/>
      <c r="H348" s="41"/>
      <c r="I348" s="123"/>
      <c r="J348" s="123"/>
      <c r="K348" s="123"/>
      <c r="L348" s="123"/>
      <c r="M348" s="41"/>
      <c r="N348" s="123"/>
      <c r="O348" s="65"/>
      <c r="P348" s="123"/>
      <c r="Q348" s="123"/>
      <c r="R348" s="123"/>
      <c r="S348" s="42"/>
      <c r="T348" s="42"/>
      <c r="U348" s="40" t="str">
        <f t="shared" si="9"/>
        <v/>
      </c>
      <c r="V348" s="41"/>
      <c r="W348" s="42"/>
      <c r="X348" s="42"/>
      <c r="Y348" s="43"/>
      <c r="Z348" s="44"/>
      <c r="AA348" s="45" t="str">
        <f t="shared" si="2"/>
        <v/>
      </c>
      <c r="AB348" s="42"/>
      <c r="AC348" s="41"/>
      <c r="AD348" s="41"/>
      <c r="AE348" s="46" t="str">
        <f t="shared" si="3"/>
        <v/>
      </c>
      <c r="AF348" s="46" t="str">
        <f t="shared" si="7"/>
        <v/>
      </c>
      <c r="AG348" s="40" t="str">
        <f t="shared" si="4"/>
        <v/>
      </c>
      <c r="AH348" s="40" t="str">
        <f t="shared" si="5"/>
        <v/>
      </c>
      <c r="AI348" s="40" t="str">
        <f t="shared" si="6"/>
        <v/>
      </c>
    </row>
    <row r="349" ht="15.75" customHeight="1">
      <c r="A349" s="126"/>
      <c r="B349" s="42"/>
      <c r="C349" s="41"/>
      <c r="D349" s="41"/>
      <c r="E349" s="64"/>
      <c r="F349" s="64"/>
      <c r="G349" s="41"/>
      <c r="H349" s="41"/>
      <c r="I349" s="123"/>
      <c r="J349" s="123"/>
      <c r="K349" s="123"/>
      <c r="L349" s="123"/>
      <c r="M349" s="41"/>
      <c r="N349" s="123"/>
      <c r="O349" s="65"/>
      <c r="P349" s="123"/>
      <c r="Q349" s="123"/>
      <c r="R349" s="123"/>
      <c r="S349" s="42"/>
      <c r="T349" s="42"/>
      <c r="U349" s="40" t="str">
        <f t="shared" si="9"/>
        <v/>
      </c>
      <c r="V349" s="41"/>
      <c r="W349" s="42"/>
      <c r="X349" s="42"/>
      <c r="Y349" s="43"/>
      <c r="Z349" s="44"/>
      <c r="AA349" s="45" t="str">
        <f t="shared" si="2"/>
        <v/>
      </c>
      <c r="AB349" s="42"/>
      <c r="AC349" s="41"/>
      <c r="AD349" s="41"/>
      <c r="AE349" s="46" t="str">
        <f t="shared" si="3"/>
        <v/>
      </c>
      <c r="AF349" s="46" t="str">
        <f t="shared" si="7"/>
        <v/>
      </c>
      <c r="AG349" s="40" t="str">
        <f t="shared" si="4"/>
        <v/>
      </c>
      <c r="AH349" s="40" t="str">
        <f t="shared" si="5"/>
        <v/>
      </c>
      <c r="AI349" s="40" t="str">
        <f t="shared" si="6"/>
        <v/>
      </c>
    </row>
    <row r="350" ht="15.75" customHeight="1">
      <c r="A350" s="126"/>
      <c r="B350" s="42"/>
      <c r="C350" s="41"/>
      <c r="D350" s="41"/>
      <c r="E350" s="64"/>
      <c r="F350" s="64"/>
      <c r="G350" s="41"/>
      <c r="H350" s="41"/>
      <c r="I350" s="123"/>
      <c r="J350" s="123"/>
      <c r="K350" s="123"/>
      <c r="L350" s="123"/>
      <c r="M350" s="41"/>
      <c r="N350" s="123"/>
      <c r="O350" s="65"/>
      <c r="P350" s="123"/>
      <c r="Q350" s="123"/>
      <c r="R350" s="123"/>
      <c r="S350" s="42"/>
      <c r="T350" s="42"/>
      <c r="U350" s="40" t="str">
        <f t="shared" si="9"/>
        <v/>
      </c>
      <c r="V350" s="41"/>
      <c r="W350" s="42"/>
      <c r="X350" s="42"/>
      <c r="Y350" s="43"/>
      <c r="Z350" s="44"/>
      <c r="AA350" s="45" t="str">
        <f t="shared" si="2"/>
        <v/>
      </c>
      <c r="AB350" s="42"/>
      <c r="AC350" s="41"/>
      <c r="AD350" s="41"/>
      <c r="AE350" s="46" t="str">
        <f t="shared" si="3"/>
        <v/>
      </c>
      <c r="AF350" s="46" t="str">
        <f t="shared" si="7"/>
        <v/>
      </c>
      <c r="AG350" s="40" t="str">
        <f t="shared" si="4"/>
        <v/>
      </c>
      <c r="AH350" s="40" t="str">
        <f t="shared" si="5"/>
        <v/>
      </c>
      <c r="AI350" s="40" t="str">
        <f t="shared" si="6"/>
        <v/>
      </c>
    </row>
    <row r="351" ht="15.75" customHeight="1">
      <c r="A351" s="126"/>
      <c r="B351" s="42"/>
      <c r="C351" s="41"/>
      <c r="D351" s="41"/>
      <c r="E351" s="64"/>
      <c r="F351" s="64"/>
      <c r="G351" s="41"/>
      <c r="H351" s="41"/>
      <c r="I351" s="123"/>
      <c r="J351" s="123"/>
      <c r="K351" s="123"/>
      <c r="L351" s="123"/>
      <c r="M351" s="41"/>
      <c r="N351" s="123"/>
      <c r="O351" s="65"/>
      <c r="P351" s="123"/>
      <c r="Q351" s="123"/>
      <c r="R351" s="123"/>
      <c r="S351" s="42"/>
      <c r="T351" s="42"/>
      <c r="U351" s="40" t="str">
        <f t="shared" si="9"/>
        <v/>
      </c>
      <c r="V351" s="41"/>
      <c r="W351" s="42"/>
      <c r="X351" s="42"/>
      <c r="Y351" s="43"/>
      <c r="Z351" s="44"/>
      <c r="AA351" s="45" t="str">
        <f t="shared" si="2"/>
        <v/>
      </c>
      <c r="AB351" s="42"/>
      <c r="AC351" s="41"/>
      <c r="AD351" s="41"/>
      <c r="AE351" s="46" t="str">
        <f t="shared" si="3"/>
        <v/>
      </c>
      <c r="AF351" s="46" t="str">
        <f t="shared" si="7"/>
        <v/>
      </c>
      <c r="AG351" s="40" t="str">
        <f t="shared" si="4"/>
        <v/>
      </c>
      <c r="AH351" s="40" t="str">
        <f t="shared" si="5"/>
        <v/>
      </c>
      <c r="AI351" s="40" t="str">
        <f t="shared" si="6"/>
        <v/>
      </c>
    </row>
    <row r="352" ht="15.75" customHeight="1">
      <c r="A352" s="126"/>
      <c r="B352" s="42"/>
      <c r="C352" s="41"/>
      <c r="D352" s="41"/>
      <c r="E352" s="64"/>
      <c r="F352" s="64"/>
      <c r="G352" s="41"/>
      <c r="H352" s="41"/>
      <c r="I352" s="123"/>
      <c r="J352" s="123"/>
      <c r="K352" s="123"/>
      <c r="L352" s="123"/>
      <c r="M352" s="41"/>
      <c r="N352" s="123"/>
      <c r="O352" s="65"/>
      <c r="P352" s="123"/>
      <c r="Q352" s="123"/>
      <c r="R352" s="123"/>
      <c r="S352" s="42"/>
      <c r="T352" s="42"/>
      <c r="U352" s="40" t="str">
        <f t="shared" si="9"/>
        <v/>
      </c>
      <c r="V352" s="41"/>
      <c r="W352" s="42"/>
      <c r="X352" s="42"/>
      <c r="Y352" s="43"/>
      <c r="Z352" s="44"/>
      <c r="AA352" s="45" t="str">
        <f t="shared" si="2"/>
        <v/>
      </c>
      <c r="AB352" s="42"/>
      <c r="AC352" s="41"/>
      <c r="AD352" s="41"/>
      <c r="AE352" s="46" t="str">
        <f t="shared" si="3"/>
        <v/>
      </c>
      <c r="AF352" s="46" t="str">
        <f t="shared" si="7"/>
        <v/>
      </c>
      <c r="AG352" s="40" t="str">
        <f t="shared" si="4"/>
        <v/>
      </c>
      <c r="AH352" s="40" t="str">
        <f t="shared" si="5"/>
        <v/>
      </c>
      <c r="AI352" s="40" t="str">
        <f t="shared" si="6"/>
        <v/>
      </c>
    </row>
    <row r="353" ht="15.75" customHeight="1">
      <c r="A353" s="126"/>
      <c r="B353" s="42"/>
      <c r="C353" s="41"/>
      <c r="D353" s="41"/>
      <c r="E353" s="64"/>
      <c r="F353" s="64"/>
      <c r="G353" s="41"/>
      <c r="H353" s="41"/>
      <c r="I353" s="123"/>
      <c r="J353" s="123"/>
      <c r="K353" s="123"/>
      <c r="L353" s="123"/>
      <c r="M353" s="41"/>
      <c r="N353" s="123"/>
      <c r="O353" s="65"/>
      <c r="P353" s="123"/>
      <c r="Q353" s="123"/>
      <c r="R353" s="123"/>
      <c r="S353" s="42"/>
      <c r="T353" s="42"/>
      <c r="U353" s="40" t="str">
        <f t="shared" si="9"/>
        <v/>
      </c>
      <c r="V353" s="41"/>
      <c r="W353" s="42"/>
      <c r="X353" s="42"/>
      <c r="Y353" s="43"/>
      <c r="Z353" s="44"/>
      <c r="AA353" s="45" t="str">
        <f t="shared" si="2"/>
        <v/>
      </c>
      <c r="AB353" s="42"/>
      <c r="AC353" s="41"/>
      <c r="AD353" s="41"/>
      <c r="AE353" s="46" t="str">
        <f t="shared" si="3"/>
        <v/>
      </c>
      <c r="AF353" s="46" t="str">
        <f t="shared" si="7"/>
        <v/>
      </c>
      <c r="AG353" s="40" t="str">
        <f t="shared" si="4"/>
        <v/>
      </c>
      <c r="AH353" s="40" t="str">
        <f t="shared" si="5"/>
        <v/>
      </c>
      <c r="AI353" s="40" t="str">
        <f t="shared" si="6"/>
        <v/>
      </c>
    </row>
    <row r="354" ht="15.75" customHeight="1">
      <c r="A354" s="126"/>
      <c r="B354" s="42"/>
      <c r="C354" s="41"/>
      <c r="D354" s="41"/>
      <c r="E354" s="64"/>
      <c r="F354" s="64"/>
      <c r="G354" s="41"/>
      <c r="H354" s="41"/>
      <c r="I354" s="123"/>
      <c r="J354" s="123"/>
      <c r="K354" s="123"/>
      <c r="L354" s="123"/>
      <c r="M354" s="41"/>
      <c r="N354" s="123"/>
      <c r="O354" s="65"/>
      <c r="P354" s="123"/>
      <c r="Q354" s="123"/>
      <c r="R354" s="123"/>
      <c r="S354" s="42"/>
      <c r="T354" s="42"/>
      <c r="U354" s="40" t="str">
        <f t="shared" si="9"/>
        <v/>
      </c>
      <c r="V354" s="41"/>
      <c r="W354" s="42"/>
      <c r="X354" s="42"/>
      <c r="Y354" s="43"/>
      <c r="Z354" s="44"/>
      <c r="AA354" s="45" t="str">
        <f t="shared" si="2"/>
        <v/>
      </c>
      <c r="AB354" s="42"/>
      <c r="AC354" s="41"/>
      <c r="AD354" s="41"/>
      <c r="AE354" s="46" t="str">
        <f t="shared" si="3"/>
        <v/>
      </c>
      <c r="AF354" s="46" t="str">
        <f t="shared" si="7"/>
        <v/>
      </c>
      <c r="AG354" s="40" t="str">
        <f t="shared" si="4"/>
        <v/>
      </c>
      <c r="AH354" s="40" t="str">
        <f t="shared" si="5"/>
        <v/>
      </c>
      <c r="AI354" s="40" t="str">
        <f t="shared" si="6"/>
        <v/>
      </c>
    </row>
    <row r="355" ht="15.75" customHeight="1">
      <c r="A355" s="126"/>
      <c r="B355" s="42"/>
      <c r="C355" s="41"/>
      <c r="D355" s="41"/>
      <c r="E355" s="64"/>
      <c r="F355" s="64"/>
      <c r="G355" s="41"/>
      <c r="H355" s="41"/>
      <c r="I355" s="123"/>
      <c r="J355" s="123"/>
      <c r="K355" s="123"/>
      <c r="L355" s="123"/>
      <c r="M355" s="41"/>
      <c r="N355" s="123"/>
      <c r="O355" s="65"/>
      <c r="P355" s="123"/>
      <c r="Q355" s="123"/>
      <c r="R355" s="123"/>
      <c r="S355" s="42"/>
      <c r="T355" s="42"/>
      <c r="U355" s="40" t="str">
        <f t="shared" si="9"/>
        <v/>
      </c>
      <c r="V355" s="41"/>
      <c r="W355" s="42"/>
      <c r="X355" s="42"/>
      <c r="Y355" s="43"/>
      <c r="Z355" s="44"/>
      <c r="AA355" s="45" t="str">
        <f t="shared" si="2"/>
        <v/>
      </c>
      <c r="AB355" s="42"/>
      <c r="AC355" s="41"/>
      <c r="AD355" s="41"/>
      <c r="AE355" s="46" t="str">
        <f t="shared" si="3"/>
        <v/>
      </c>
      <c r="AF355" s="46" t="str">
        <f t="shared" si="7"/>
        <v/>
      </c>
      <c r="AG355" s="40" t="str">
        <f t="shared" si="4"/>
        <v/>
      </c>
      <c r="AH355" s="40" t="str">
        <f t="shared" si="5"/>
        <v/>
      </c>
      <c r="AI355" s="40" t="str">
        <f t="shared" si="6"/>
        <v/>
      </c>
    </row>
    <row r="356" ht="15.75" customHeight="1">
      <c r="A356" s="126"/>
      <c r="B356" s="42"/>
      <c r="C356" s="41"/>
      <c r="D356" s="41"/>
      <c r="E356" s="64"/>
      <c r="F356" s="64"/>
      <c r="G356" s="41"/>
      <c r="H356" s="41"/>
      <c r="I356" s="123"/>
      <c r="J356" s="123"/>
      <c r="K356" s="123"/>
      <c r="L356" s="123"/>
      <c r="M356" s="41"/>
      <c r="N356" s="123"/>
      <c r="O356" s="65"/>
      <c r="P356" s="123"/>
      <c r="Q356" s="123"/>
      <c r="R356" s="123"/>
      <c r="S356" s="42"/>
      <c r="T356" s="42"/>
      <c r="U356" s="40" t="str">
        <f t="shared" si="9"/>
        <v/>
      </c>
      <c r="V356" s="41"/>
      <c r="W356" s="42"/>
      <c r="X356" s="42"/>
      <c r="Y356" s="43"/>
      <c r="Z356" s="44"/>
      <c r="AA356" s="45" t="str">
        <f t="shared" si="2"/>
        <v/>
      </c>
      <c r="AB356" s="42"/>
      <c r="AC356" s="41"/>
      <c r="AD356" s="41"/>
      <c r="AE356" s="46" t="str">
        <f t="shared" si="3"/>
        <v/>
      </c>
      <c r="AF356" s="46" t="str">
        <f t="shared" si="7"/>
        <v/>
      </c>
      <c r="AG356" s="40" t="str">
        <f t="shared" si="4"/>
        <v/>
      </c>
      <c r="AH356" s="40" t="str">
        <f t="shared" si="5"/>
        <v/>
      </c>
      <c r="AI356" s="40" t="str">
        <f t="shared" si="6"/>
        <v/>
      </c>
    </row>
    <row r="357" ht="15.75" customHeight="1">
      <c r="A357" s="126"/>
      <c r="B357" s="42"/>
      <c r="C357" s="41"/>
      <c r="D357" s="41"/>
      <c r="E357" s="64"/>
      <c r="F357" s="64"/>
      <c r="G357" s="41"/>
      <c r="H357" s="41"/>
      <c r="I357" s="123"/>
      <c r="J357" s="123"/>
      <c r="K357" s="123"/>
      <c r="L357" s="123"/>
      <c r="M357" s="41"/>
      <c r="N357" s="123"/>
      <c r="O357" s="65"/>
      <c r="P357" s="123"/>
      <c r="Q357" s="123"/>
      <c r="R357" s="123"/>
      <c r="S357" s="42"/>
      <c r="T357" s="42"/>
      <c r="U357" s="40" t="str">
        <f t="shared" si="9"/>
        <v/>
      </c>
      <c r="V357" s="41"/>
      <c r="W357" s="42"/>
      <c r="X357" s="42"/>
      <c r="Y357" s="43"/>
      <c r="Z357" s="44"/>
      <c r="AA357" s="45" t="str">
        <f t="shared" si="2"/>
        <v/>
      </c>
      <c r="AB357" s="42"/>
      <c r="AC357" s="41"/>
      <c r="AD357" s="41"/>
      <c r="AE357" s="46" t="str">
        <f t="shared" si="3"/>
        <v/>
      </c>
      <c r="AF357" s="46" t="str">
        <f t="shared" si="7"/>
        <v/>
      </c>
      <c r="AG357" s="40" t="str">
        <f t="shared" si="4"/>
        <v/>
      </c>
      <c r="AH357" s="40" t="str">
        <f t="shared" si="5"/>
        <v/>
      </c>
      <c r="AI357" s="40" t="str">
        <f t="shared" si="6"/>
        <v/>
      </c>
    </row>
    <row r="358" ht="15.75" customHeight="1">
      <c r="A358" s="126"/>
      <c r="B358" s="42"/>
      <c r="C358" s="41"/>
      <c r="D358" s="41"/>
      <c r="E358" s="64"/>
      <c r="F358" s="64"/>
      <c r="G358" s="41"/>
      <c r="H358" s="41"/>
      <c r="I358" s="123"/>
      <c r="J358" s="123"/>
      <c r="K358" s="123"/>
      <c r="L358" s="123"/>
      <c r="M358" s="41"/>
      <c r="N358" s="123"/>
      <c r="O358" s="65"/>
      <c r="P358" s="123"/>
      <c r="Q358" s="123"/>
      <c r="R358" s="123"/>
      <c r="S358" s="42"/>
      <c r="T358" s="42"/>
      <c r="U358" s="40" t="str">
        <f t="shared" si="9"/>
        <v/>
      </c>
      <c r="V358" s="41"/>
      <c r="W358" s="42"/>
      <c r="X358" s="42"/>
      <c r="Y358" s="43"/>
      <c r="Z358" s="44"/>
      <c r="AA358" s="45" t="str">
        <f t="shared" si="2"/>
        <v/>
      </c>
      <c r="AB358" s="42"/>
      <c r="AC358" s="41"/>
      <c r="AD358" s="41"/>
      <c r="AE358" s="46" t="str">
        <f t="shared" si="3"/>
        <v/>
      </c>
      <c r="AF358" s="46" t="str">
        <f t="shared" si="7"/>
        <v/>
      </c>
      <c r="AG358" s="40" t="str">
        <f t="shared" si="4"/>
        <v/>
      </c>
      <c r="AH358" s="40" t="str">
        <f t="shared" si="5"/>
        <v/>
      </c>
      <c r="AI358" s="40" t="str">
        <f t="shared" si="6"/>
        <v/>
      </c>
    </row>
    <row r="359" ht="15.75" customHeight="1">
      <c r="A359" s="126"/>
      <c r="B359" s="42"/>
      <c r="C359" s="41"/>
      <c r="D359" s="41"/>
      <c r="E359" s="64"/>
      <c r="F359" s="64"/>
      <c r="G359" s="41"/>
      <c r="H359" s="41"/>
      <c r="I359" s="123"/>
      <c r="J359" s="123"/>
      <c r="K359" s="123"/>
      <c r="L359" s="123"/>
      <c r="M359" s="41"/>
      <c r="N359" s="123"/>
      <c r="O359" s="65"/>
      <c r="P359" s="123"/>
      <c r="Q359" s="123"/>
      <c r="R359" s="123"/>
      <c r="S359" s="42"/>
      <c r="T359" s="42"/>
      <c r="U359" s="40" t="str">
        <f t="shared" si="9"/>
        <v/>
      </c>
      <c r="V359" s="41"/>
      <c r="W359" s="42"/>
      <c r="X359" s="42"/>
      <c r="Y359" s="43"/>
      <c r="Z359" s="44"/>
      <c r="AA359" s="45" t="str">
        <f t="shared" si="2"/>
        <v/>
      </c>
      <c r="AB359" s="42"/>
      <c r="AC359" s="41"/>
      <c r="AD359" s="41"/>
      <c r="AE359" s="46" t="str">
        <f t="shared" si="3"/>
        <v/>
      </c>
      <c r="AF359" s="46" t="str">
        <f t="shared" si="7"/>
        <v/>
      </c>
      <c r="AG359" s="40" t="str">
        <f t="shared" si="4"/>
        <v/>
      </c>
      <c r="AH359" s="40" t="str">
        <f t="shared" si="5"/>
        <v/>
      </c>
      <c r="AI359" s="40" t="str">
        <f t="shared" si="6"/>
        <v/>
      </c>
    </row>
    <row r="360" ht="15.75" customHeight="1">
      <c r="A360" s="126"/>
      <c r="B360" s="42"/>
      <c r="C360" s="41"/>
      <c r="D360" s="41"/>
      <c r="E360" s="64"/>
      <c r="F360" s="64"/>
      <c r="G360" s="41"/>
      <c r="H360" s="41"/>
      <c r="I360" s="123"/>
      <c r="J360" s="123"/>
      <c r="K360" s="123"/>
      <c r="L360" s="123"/>
      <c r="M360" s="41"/>
      <c r="N360" s="123"/>
      <c r="O360" s="65"/>
      <c r="P360" s="123"/>
      <c r="Q360" s="123"/>
      <c r="R360" s="123"/>
      <c r="S360" s="42"/>
      <c r="T360" s="42"/>
      <c r="U360" s="40" t="str">
        <f t="shared" si="9"/>
        <v/>
      </c>
      <c r="V360" s="41"/>
      <c r="W360" s="42"/>
      <c r="X360" s="42"/>
      <c r="Y360" s="43"/>
      <c r="Z360" s="44"/>
      <c r="AA360" s="45" t="str">
        <f t="shared" si="2"/>
        <v/>
      </c>
      <c r="AB360" s="42"/>
      <c r="AC360" s="41"/>
      <c r="AD360" s="41"/>
      <c r="AE360" s="46" t="str">
        <f t="shared" si="3"/>
        <v/>
      </c>
      <c r="AF360" s="46" t="str">
        <f t="shared" si="7"/>
        <v/>
      </c>
      <c r="AG360" s="40" t="str">
        <f t="shared" si="4"/>
        <v/>
      </c>
      <c r="AH360" s="40" t="str">
        <f t="shared" si="5"/>
        <v/>
      </c>
      <c r="AI360" s="40" t="str">
        <f t="shared" si="6"/>
        <v/>
      </c>
    </row>
    <row r="361" ht="15.75" customHeight="1">
      <c r="A361" s="126"/>
      <c r="B361" s="42"/>
      <c r="C361" s="41"/>
      <c r="D361" s="41"/>
      <c r="E361" s="64"/>
      <c r="F361" s="64"/>
      <c r="G361" s="41"/>
      <c r="H361" s="41"/>
      <c r="I361" s="123"/>
      <c r="J361" s="123"/>
      <c r="K361" s="123"/>
      <c r="L361" s="123"/>
      <c r="M361" s="41"/>
      <c r="N361" s="123"/>
      <c r="O361" s="65"/>
      <c r="P361" s="123"/>
      <c r="Q361" s="123"/>
      <c r="R361" s="123"/>
      <c r="S361" s="42"/>
      <c r="T361" s="42"/>
      <c r="U361" s="40" t="str">
        <f t="shared" si="9"/>
        <v/>
      </c>
      <c r="V361" s="41"/>
      <c r="W361" s="42"/>
      <c r="X361" s="42"/>
      <c r="Y361" s="43"/>
      <c r="Z361" s="44"/>
      <c r="AA361" s="45" t="str">
        <f t="shared" si="2"/>
        <v/>
      </c>
      <c r="AB361" s="42"/>
      <c r="AC361" s="41"/>
      <c r="AD361" s="41"/>
      <c r="AE361" s="46" t="str">
        <f t="shared" si="3"/>
        <v/>
      </c>
      <c r="AF361" s="46" t="str">
        <f t="shared" si="7"/>
        <v/>
      </c>
      <c r="AG361" s="40" t="str">
        <f t="shared" si="4"/>
        <v/>
      </c>
      <c r="AH361" s="40" t="str">
        <f t="shared" si="5"/>
        <v/>
      </c>
      <c r="AI361" s="40" t="str">
        <f t="shared" si="6"/>
        <v/>
      </c>
    </row>
    <row r="362" ht="15.75" customHeight="1">
      <c r="A362" s="126"/>
      <c r="B362" s="42"/>
      <c r="C362" s="41"/>
      <c r="D362" s="41"/>
      <c r="E362" s="64"/>
      <c r="F362" s="64"/>
      <c r="G362" s="41"/>
      <c r="H362" s="41"/>
      <c r="I362" s="123"/>
      <c r="J362" s="123"/>
      <c r="K362" s="123"/>
      <c r="L362" s="123"/>
      <c r="M362" s="41"/>
      <c r="N362" s="123"/>
      <c r="O362" s="65"/>
      <c r="P362" s="123"/>
      <c r="Q362" s="123"/>
      <c r="R362" s="123"/>
      <c r="S362" s="42"/>
      <c r="T362" s="42"/>
      <c r="U362" s="40" t="str">
        <f t="shared" si="9"/>
        <v/>
      </c>
      <c r="V362" s="41"/>
      <c r="W362" s="42"/>
      <c r="X362" s="42"/>
      <c r="Y362" s="43"/>
      <c r="Z362" s="44"/>
      <c r="AA362" s="45" t="str">
        <f t="shared" si="2"/>
        <v/>
      </c>
      <c r="AB362" s="42"/>
      <c r="AC362" s="41"/>
      <c r="AD362" s="41"/>
      <c r="AE362" s="46" t="str">
        <f t="shared" si="3"/>
        <v/>
      </c>
      <c r="AF362" s="46" t="str">
        <f t="shared" si="7"/>
        <v/>
      </c>
      <c r="AG362" s="40" t="str">
        <f t="shared" si="4"/>
        <v/>
      </c>
      <c r="AH362" s="40" t="str">
        <f t="shared" si="5"/>
        <v/>
      </c>
      <c r="AI362" s="40" t="str">
        <f t="shared" si="6"/>
        <v/>
      </c>
    </row>
    <row r="363" ht="15.75" customHeight="1">
      <c r="A363" s="126"/>
      <c r="B363" s="42"/>
      <c r="C363" s="41"/>
      <c r="D363" s="41"/>
      <c r="E363" s="64"/>
      <c r="F363" s="64"/>
      <c r="G363" s="41"/>
      <c r="H363" s="41"/>
      <c r="I363" s="123"/>
      <c r="J363" s="123"/>
      <c r="K363" s="123"/>
      <c r="L363" s="123"/>
      <c r="M363" s="41"/>
      <c r="N363" s="123"/>
      <c r="O363" s="65"/>
      <c r="P363" s="123"/>
      <c r="Q363" s="123"/>
      <c r="R363" s="123"/>
      <c r="S363" s="42"/>
      <c r="T363" s="42"/>
      <c r="U363" s="40" t="str">
        <f t="shared" si="9"/>
        <v/>
      </c>
      <c r="V363" s="41"/>
      <c r="W363" s="42"/>
      <c r="X363" s="42"/>
      <c r="Y363" s="43"/>
      <c r="Z363" s="44"/>
      <c r="AA363" s="45" t="str">
        <f t="shared" si="2"/>
        <v/>
      </c>
      <c r="AB363" s="42"/>
      <c r="AC363" s="41"/>
      <c r="AD363" s="41"/>
      <c r="AE363" s="46" t="str">
        <f t="shared" si="3"/>
        <v/>
      </c>
      <c r="AF363" s="46" t="str">
        <f t="shared" si="7"/>
        <v/>
      </c>
      <c r="AG363" s="40" t="str">
        <f t="shared" si="4"/>
        <v/>
      </c>
      <c r="AH363" s="40" t="str">
        <f t="shared" si="5"/>
        <v/>
      </c>
      <c r="AI363" s="40" t="str">
        <f t="shared" si="6"/>
        <v/>
      </c>
    </row>
    <row r="364" ht="15.75" customHeight="1">
      <c r="A364" s="126"/>
      <c r="B364" s="42"/>
      <c r="C364" s="41"/>
      <c r="D364" s="41"/>
      <c r="E364" s="64"/>
      <c r="F364" s="64"/>
      <c r="G364" s="41"/>
      <c r="H364" s="41"/>
      <c r="I364" s="123"/>
      <c r="J364" s="123"/>
      <c r="K364" s="123"/>
      <c r="L364" s="123"/>
      <c r="M364" s="41"/>
      <c r="N364" s="123"/>
      <c r="O364" s="65"/>
      <c r="P364" s="123"/>
      <c r="Q364" s="123"/>
      <c r="R364" s="123"/>
      <c r="S364" s="42"/>
      <c r="T364" s="42"/>
      <c r="U364" s="40" t="str">
        <f t="shared" si="9"/>
        <v/>
      </c>
      <c r="V364" s="41"/>
      <c r="W364" s="42"/>
      <c r="X364" s="42"/>
      <c r="Y364" s="43"/>
      <c r="Z364" s="44"/>
      <c r="AA364" s="45" t="str">
        <f t="shared" si="2"/>
        <v/>
      </c>
      <c r="AB364" s="42"/>
      <c r="AC364" s="41"/>
      <c r="AD364" s="41"/>
      <c r="AE364" s="46" t="str">
        <f t="shared" si="3"/>
        <v/>
      </c>
      <c r="AF364" s="46" t="str">
        <f t="shared" si="7"/>
        <v/>
      </c>
      <c r="AG364" s="40" t="str">
        <f t="shared" si="4"/>
        <v/>
      </c>
      <c r="AH364" s="40" t="str">
        <f t="shared" si="5"/>
        <v/>
      </c>
      <c r="AI364" s="40" t="str">
        <f t="shared" si="6"/>
        <v/>
      </c>
    </row>
    <row r="365" ht="15.75" customHeight="1">
      <c r="A365" s="126"/>
      <c r="B365" s="42"/>
      <c r="C365" s="41"/>
      <c r="D365" s="41"/>
      <c r="E365" s="64"/>
      <c r="F365" s="64"/>
      <c r="G365" s="41"/>
      <c r="H365" s="41"/>
      <c r="I365" s="123"/>
      <c r="J365" s="123"/>
      <c r="K365" s="123"/>
      <c r="L365" s="123"/>
      <c r="M365" s="41"/>
      <c r="N365" s="123"/>
      <c r="O365" s="65"/>
      <c r="P365" s="123"/>
      <c r="Q365" s="123"/>
      <c r="R365" s="123"/>
      <c r="S365" s="42"/>
      <c r="T365" s="42"/>
      <c r="U365" s="40" t="str">
        <f t="shared" si="9"/>
        <v/>
      </c>
      <c r="V365" s="41"/>
      <c r="W365" s="42"/>
      <c r="X365" s="42"/>
      <c r="Y365" s="43"/>
      <c r="Z365" s="44"/>
      <c r="AA365" s="45" t="str">
        <f t="shared" si="2"/>
        <v/>
      </c>
      <c r="AB365" s="42"/>
      <c r="AC365" s="41"/>
      <c r="AD365" s="41"/>
      <c r="AE365" s="46" t="str">
        <f t="shared" si="3"/>
        <v/>
      </c>
      <c r="AF365" s="46" t="str">
        <f t="shared" si="7"/>
        <v/>
      </c>
      <c r="AG365" s="40" t="str">
        <f t="shared" si="4"/>
        <v/>
      </c>
      <c r="AH365" s="40" t="str">
        <f t="shared" si="5"/>
        <v/>
      </c>
      <c r="AI365" s="40" t="str">
        <f t="shared" si="6"/>
        <v/>
      </c>
    </row>
    <row r="366" ht="15.75" customHeight="1">
      <c r="A366" s="126"/>
      <c r="B366" s="42"/>
      <c r="C366" s="41"/>
      <c r="D366" s="41"/>
      <c r="E366" s="64"/>
      <c r="F366" s="64"/>
      <c r="G366" s="41"/>
      <c r="H366" s="41"/>
      <c r="I366" s="123"/>
      <c r="J366" s="123"/>
      <c r="K366" s="123"/>
      <c r="L366" s="123"/>
      <c r="M366" s="41"/>
      <c r="N366" s="123"/>
      <c r="O366" s="65"/>
      <c r="P366" s="123"/>
      <c r="Q366" s="123"/>
      <c r="R366" s="123"/>
      <c r="S366" s="42"/>
      <c r="T366" s="42"/>
      <c r="U366" s="40" t="str">
        <f t="shared" si="9"/>
        <v/>
      </c>
      <c r="V366" s="41"/>
      <c r="W366" s="42"/>
      <c r="X366" s="42"/>
      <c r="Y366" s="43"/>
      <c r="Z366" s="44"/>
      <c r="AA366" s="45" t="str">
        <f t="shared" si="2"/>
        <v/>
      </c>
      <c r="AB366" s="42"/>
      <c r="AC366" s="41"/>
      <c r="AD366" s="41"/>
      <c r="AE366" s="46" t="str">
        <f t="shared" si="3"/>
        <v/>
      </c>
      <c r="AF366" s="46" t="str">
        <f t="shared" si="7"/>
        <v/>
      </c>
      <c r="AG366" s="40" t="str">
        <f t="shared" si="4"/>
        <v/>
      </c>
      <c r="AH366" s="40" t="str">
        <f t="shared" si="5"/>
        <v/>
      </c>
      <c r="AI366" s="40" t="str">
        <f t="shared" si="6"/>
        <v/>
      </c>
    </row>
    <row r="367" ht="15.75" customHeight="1">
      <c r="A367" s="126"/>
      <c r="B367" s="42"/>
      <c r="C367" s="41"/>
      <c r="D367" s="41"/>
      <c r="E367" s="64"/>
      <c r="F367" s="64"/>
      <c r="G367" s="41"/>
      <c r="H367" s="41"/>
      <c r="I367" s="123"/>
      <c r="J367" s="123"/>
      <c r="K367" s="123"/>
      <c r="L367" s="123"/>
      <c r="M367" s="41"/>
      <c r="N367" s="123"/>
      <c r="O367" s="65"/>
      <c r="P367" s="123"/>
      <c r="Q367" s="123"/>
      <c r="R367" s="123"/>
      <c r="S367" s="42"/>
      <c r="T367" s="42"/>
      <c r="U367" s="40" t="str">
        <f t="shared" si="9"/>
        <v/>
      </c>
      <c r="V367" s="41"/>
      <c r="W367" s="42"/>
      <c r="X367" s="42"/>
      <c r="Y367" s="43"/>
      <c r="Z367" s="44"/>
      <c r="AA367" s="45" t="str">
        <f t="shared" si="2"/>
        <v/>
      </c>
      <c r="AB367" s="42"/>
      <c r="AC367" s="41"/>
      <c r="AD367" s="41"/>
      <c r="AE367" s="46" t="str">
        <f t="shared" si="3"/>
        <v/>
      </c>
      <c r="AF367" s="46" t="str">
        <f t="shared" si="7"/>
        <v/>
      </c>
      <c r="AG367" s="40" t="str">
        <f t="shared" si="4"/>
        <v/>
      </c>
      <c r="AH367" s="40" t="str">
        <f t="shared" si="5"/>
        <v/>
      </c>
      <c r="AI367" s="40" t="str">
        <f t="shared" si="6"/>
        <v/>
      </c>
    </row>
    <row r="368" ht="15.75" customHeight="1">
      <c r="A368" s="126"/>
      <c r="B368" s="42"/>
      <c r="C368" s="41"/>
      <c r="D368" s="41"/>
      <c r="E368" s="64"/>
      <c r="F368" s="64"/>
      <c r="G368" s="41"/>
      <c r="H368" s="41"/>
      <c r="I368" s="123"/>
      <c r="J368" s="123"/>
      <c r="K368" s="123"/>
      <c r="L368" s="123"/>
      <c r="M368" s="41"/>
      <c r="N368" s="123"/>
      <c r="O368" s="65"/>
      <c r="P368" s="123"/>
      <c r="Q368" s="123"/>
      <c r="R368" s="123"/>
      <c r="S368" s="42"/>
      <c r="T368" s="42"/>
      <c r="U368" s="40" t="str">
        <f t="shared" si="9"/>
        <v/>
      </c>
      <c r="V368" s="41"/>
      <c r="W368" s="42"/>
      <c r="X368" s="42"/>
      <c r="Y368" s="43"/>
      <c r="Z368" s="44"/>
      <c r="AA368" s="45" t="str">
        <f t="shared" si="2"/>
        <v/>
      </c>
      <c r="AB368" s="42"/>
      <c r="AC368" s="41"/>
      <c r="AD368" s="41"/>
      <c r="AE368" s="46" t="str">
        <f t="shared" si="3"/>
        <v/>
      </c>
      <c r="AF368" s="46" t="str">
        <f t="shared" si="7"/>
        <v/>
      </c>
      <c r="AG368" s="40" t="str">
        <f t="shared" si="4"/>
        <v/>
      </c>
      <c r="AH368" s="40" t="str">
        <f t="shared" si="5"/>
        <v/>
      </c>
      <c r="AI368" s="40" t="str">
        <f t="shared" si="6"/>
        <v/>
      </c>
    </row>
    <row r="369" ht="15.75" customHeight="1">
      <c r="A369" s="126"/>
      <c r="B369" s="42"/>
      <c r="C369" s="41"/>
      <c r="D369" s="41"/>
      <c r="E369" s="64"/>
      <c r="F369" s="64"/>
      <c r="G369" s="41"/>
      <c r="H369" s="41"/>
      <c r="I369" s="123"/>
      <c r="J369" s="123"/>
      <c r="K369" s="123"/>
      <c r="L369" s="123"/>
      <c r="M369" s="41"/>
      <c r="N369" s="123"/>
      <c r="O369" s="65"/>
      <c r="P369" s="123"/>
      <c r="Q369" s="123"/>
      <c r="R369" s="123"/>
      <c r="S369" s="42"/>
      <c r="T369" s="42"/>
      <c r="U369" s="40" t="str">
        <f t="shared" si="9"/>
        <v/>
      </c>
      <c r="V369" s="41"/>
      <c r="W369" s="42"/>
      <c r="X369" s="42"/>
      <c r="Y369" s="43"/>
      <c r="Z369" s="44"/>
      <c r="AA369" s="45" t="str">
        <f t="shared" si="2"/>
        <v/>
      </c>
      <c r="AB369" s="42"/>
      <c r="AC369" s="41"/>
      <c r="AD369" s="41"/>
      <c r="AE369" s="46" t="str">
        <f t="shared" si="3"/>
        <v/>
      </c>
      <c r="AF369" s="46" t="str">
        <f t="shared" si="7"/>
        <v/>
      </c>
      <c r="AG369" s="40" t="str">
        <f t="shared" si="4"/>
        <v/>
      </c>
      <c r="AH369" s="40" t="str">
        <f t="shared" si="5"/>
        <v/>
      </c>
      <c r="AI369" s="40" t="str">
        <f t="shared" si="6"/>
        <v/>
      </c>
    </row>
    <row r="370" ht="15.75" customHeight="1">
      <c r="A370" s="126"/>
      <c r="B370" s="42"/>
      <c r="C370" s="41"/>
      <c r="D370" s="41"/>
      <c r="E370" s="64"/>
      <c r="F370" s="64"/>
      <c r="G370" s="41"/>
      <c r="H370" s="41"/>
      <c r="I370" s="123"/>
      <c r="J370" s="123"/>
      <c r="K370" s="123"/>
      <c r="L370" s="123"/>
      <c r="M370" s="41"/>
      <c r="N370" s="123"/>
      <c r="O370" s="65"/>
      <c r="P370" s="123"/>
      <c r="Q370" s="123"/>
      <c r="R370" s="123"/>
      <c r="S370" s="42"/>
      <c r="T370" s="42"/>
      <c r="U370" s="40" t="str">
        <f t="shared" si="9"/>
        <v/>
      </c>
      <c r="V370" s="41"/>
      <c r="W370" s="42"/>
      <c r="X370" s="42"/>
      <c r="Y370" s="43"/>
      <c r="Z370" s="44"/>
      <c r="AA370" s="45" t="str">
        <f t="shared" si="2"/>
        <v/>
      </c>
      <c r="AB370" s="42"/>
      <c r="AC370" s="41"/>
      <c r="AD370" s="41"/>
      <c r="AE370" s="46" t="str">
        <f t="shared" si="3"/>
        <v/>
      </c>
      <c r="AF370" s="46" t="str">
        <f t="shared" si="7"/>
        <v/>
      </c>
      <c r="AG370" s="40" t="str">
        <f t="shared" si="4"/>
        <v/>
      </c>
      <c r="AH370" s="40" t="str">
        <f t="shared" si="5"/>
        <v/>
      </c>
      <c r="AI370" s="40" t="str">
        <f t="shared" si="6"/>
        <v/>
      </c>
    </row>
    <row r="371" ht="15.75" customHeight="1">
      <c r="A371" s="126"/>
      <c r="B371" s="42"/>
      <c r="C371" s="41"/>
      <c r="D371" s="41"/>
      <c r="E371" s="64"/>
      <c r="F371" s="64"/>
      <c r="G371" s="41"/>
      <c r="H371" s="41"/>
      <c r="I371" s="123"/>
      <c r="J371" s="123"/>
      <c r="K371" s="123"/>
      <c r="L371" s="123"/>
      <c r="M371" s="41"/>
      <c r="N371" s="123"/>
      <c r="O371" s="65"/>
      <c r="P371" s="123"/>
      <c r="Q371" s="123"/>
      <c r="R371" s="123"/>
      <c r="S371" s="42"/>
      <c r="T371" s="42"/>
      <c r="U371" s="40" t="str">
        <f t="shared" si="9"/>
        <v/>
      </c>
      <c r="V371" s="41"/>
      <c r="W371" s="42"/>
      <c r="X371" s="42"/>
      <c r="Y371" s="43"/>
      <c r="Z371" s="44"/>
      <c r="AA371" s="45" t="str">
        <f t="shared" si="2"/>
        <v/>
      </c>
      <c r="AB371" s="42"/>
      <c r="AC371" s="41"/>
      <c r="AD371" s="41"/>
      <c r="AE371" s="46" t="str">
        <f t="shared" si="3"/>
        <v/>
      </c>
      <c r="AF371" s="46" t="str">
        <f t="shared" si="7"/>
        <v/>
      </c>
      <c r="AG371" s="40" t="str">
        <f t="shared" si="4"/>
        <v/>
      </c>
      <c r="AH371" s="40" t="str">
        <f t="shared" si="5"/>
        <v/>
      </c>
      <c r="AI371" s="40" t="str">
        <f t="shared" si="6"/>
        <v/>
      </c>
    </row>
    <row r="372" ht="15.75" customHeight="1">
      <c r="A372" s="126"/>
      <c r="B372" s="42"/>
      <c r="C372" s="41"/>
      <c r="D372" s="41"/>
      <c r="E372" s="64"/>
      <c r="F372" s="64"/>
      <c r="G372" s="41"/>
      <c r="H372" s="41"/>
      <c r="I372" s="123"/>
      <c r="J372" s="123"/>
      <c r="K372" s="123"/>
      <c r="L372" s="123"/>
      <c r="M372" s="41"/>
      <c r="N372" s="123"/>
      <c r="O372" s="65"/>
      <c r="P372" s="123"/>
      <c r="Q372" s="123"/>
      <c r="R372" s="123"/>
      <c r="S372" s="42"/>
      <c r="T372" s="42"/>
      <c r="U372" s="40" t="str">
        <f t="shared" si="9"/>
        <v/>
      </c>
      <c r="V372" s="41"/>
      <c r="W372" s="42"/>
      <c r="X372" s="42"/>
      <c r="Y372" s="43"/>
      <c r="Z372" s="44"/>
      <c r="AA372" s="45" t="str">
        <f t="shared" si="2"/>
        <v/>
      </c>
      <c r="AB372" s="42"/>
      <c r="AC372" s="41"/>
      <c r="AD372" s="41"/>
      <c r="AE372" s="46" t="str">
        <f t="shared" si="3"/>
        <v/>
      </c>
      <c r="AF372" s="46" t="str">
        <f t="shared" si="7"/>
        <v/>
      </c>
      <c r="AG372" s="40" t="str">
        <f t="shared" si="4"/>
        <v/>
      </c>
      <c r="AH372" s="40" t="str">
        <f t="shared" si="5"/>
        <v/>
      </c>
      <c r="AI372" s="40" t="str">
        <f t="shared" si="6"/>
        <v/>
      </c>
    </row>
    <row r="373" ht="15.75" customHeight="1">
      <c r="A373" s="126"/>
      <c r="B373" s="42"/>
      <c r="C373" s="41"/>
      <c r="D373" s="41"/>
      <c r="E373" s="64"/>
      <c r="F373" s="64"/>
      <c r="G373" s="41"/>
      <c r="H373" s="41"/>
      <c r="I373" s="123"/>
      <c r="J373" s="123"/>
      <c r="K373" s="123"/>
      <c r="L373" s="123"/>
      <c r="M373" s="41"/>
      <c r="N373" s="123"/>
      <c r="O373" s="65"/>
      <c r="P373" s="123"/>
      <c r="Q373" s="123"/>
      <c r="R373" s="123"/>
      <c r="S373" s="42"/>
      <c r="T373" s="42"/>
      <c r="U373" s="40" t="str">
        <f t="shared" si="9"/>
        <v/>
      </c>
      <c r="V373" s="41"/>
      <c r="W373" s="42"/>
      <c r="X373" s="42"/>
      <c r="Y373" s="43"/>
      <c r="Z373" s="44"/>
      <c r="AA373" s="45" t="str">
        <f t="shared" si="2"/>
        <v/>
      </c>
      <c r="AB373" s="42"/>
      <c r="AC373" s="41"/>
      <c r="AD373" s="41"/>
      <c r="AE373" s="46" t="str">
        <f t="shared" si="3"/>
        <v/>
      </c>
      <c r="AF373" s="46" t="str">
        <f t="shared" si="7"/>
        <v/>
      </c>
      <c r="AG373" s="40" t="str">
        <f t="shared" si="4"/>
        <v/>
      </c>
      <c r="AH373" s="40" t="str">
        <f t="shared" si="5"/>
        <v/>
      </c>
      <c r="AI373" s="40" t="str">
        <f t="shared" si="6"/>
        <v/>
      </c>
    </row>
    <row r="374" ht="15.75" customHeight="1">
      <c r="A374" s="126"/>
      <c r="B374" s="42"/>
      <c r="C374" s="41"/>
      <c r="D374" s="41"/>
      <c r="E374" s="64"/>
      <c r="F374" s="64"/>
      <c r="G374" s="41"/>
      <c r="H374" s="41"/>
      <c r="I374" s="123"/>
      <c r="J374" s="123"/>
      <c r="K374" s="123"/>
      <c r="L374" s="123"/>
      <c r="M374" s="41"/>
      <c r="N374" s="123"/>
      <c r="O374" s="65"/>
      <c r="P374" s="123"/>
      <c r="Q374" s="123"/>
      <c r="R374" s="123"/>
      <c r="S374" s="42"/>
      <c r="T374" s="42"/>
      <c r="U374" s="40" t="str">
        <f t="shared" si="9"/>
        <v/>
      </c>
      <c r="V374" s="41"/>
      <c r="W374" s="42"/>
      <c r="X374" s="42"/>
      <c r="Y374" s="43"/>
      <c r="Z374" s="44"/>
      <c r="AA374" s="45" t="str">
        <f t="shared" si="2"/>
        <v/>
      </c>
      <c r="AB374" s="42"/>
      <c r="AC374" s="41"/>
      <c r="AD374" s="41"/>
      <c r="AE374" s="46" t="str">
        <f t="shared" si="3"/>
        <v/>
      </c>
      <c r="AF374" s="46" t="str">
        <f t="shared" si="7"/>
        <v/>
      </c>
      <c r="AG374" s="40" t="str">
        <f t="shared" si="4"/>
        <v/>
      </c>
      <c r="AH374" s="40" t="str">
        <f t="shared" si="5"/>
        <v/>
      </c>
      <c r="AI374" s="40" t="str">
        <f t="shared" si="6"/>
        <v/>
      </c>
    </row>
    <row r="375" ht="15.75" customHeight="1">
      <c r="A375" s="126"/>
      <c r="B375" s="42"/>
      <c r="C375" s="41"/>
      <c r="D375" s="41"/>
      <c r="E375" s="64"/>
      <c r="F375" s="64"/>
      <c r="G375" s="41"/>
      <c r="H375" s="41"/>
      <c r="I375" s="123"/>
      <c r="J375" s="123"/>
      <c r="K375" s="123"/>
      <c r="L375" s="123"/>
      <c r="M375" s="41"/>
      <c r="N375" s="123"/>
      <c r="O375" s="65"/>
      <c r="P375" s="123"/>
      <c r="Q375" s="123"/>
      <c r="R375" s="123"/>
      <c r="S375" s="42"/>
      <c r="T375" s="42"/>
      <c r="U375" s="40" t="str">
        <f t="shared" si="9"/>
        <v/>
      </c>
      <c r="V375" s="41"/>
      <c r="W375" s="42"/>
      <c r="X375" s="42"/>
      <c r="Y375" s="43"/>
      <c r="Z375" s="44"/>
      <c r="AA375" s="45" t="str">
        <f t="shared" si="2"/>
        <v/>
      </c>
      <c r="AB375" s="42"/>
      <c r="AC375" s="41"/>
      <c r="AD375" s="41"/>
      <c r="AE375" s="46" t="str">
        <f t="shared" si="3"/>
        <v/>
      </c>
      <c r="AF375" s="46" t="str">
        <f t="shared" si="7"/>
        <v/>
      </c>
      <c r="AG375" s="40" t="str">
        <f t="shared" si="4"/>
        <v/>
      </c>
      <c r="AH375" s="40" t="str">
        <f t="shared" si="5"/>
        <v/>
      </c>
      <c r="AI375" s="40" t="str">
        <f t="shared" si="6"/>
        <v/>
      </c>
    </row>
    <row r="376" ht="15.75" customHeight="1">
      <c r="A376" s="126"/>
      <c r="B376" s="42"/>
      <c r="C376" s="41"/>
      <c r="D376" s="41"/>
      <c r="E376" s="64"/>
      <c r="F376" s="64"/>
      <c r="G376" s="41"/>
      <c r="H376" s="41"/>
      <c r="I376" s="123"/>
      <c r="J376" s="123"/>
      <c r="K376" s="123"/>
      <c r="L376" s="123"/>
      <c r="M376" s="41"/>
      <c r="N376" s="123"/>
      <c r="O376" s="65"/>
      <c r="P376" s="123"/>
      <c r="Q376" s="123"/>
      <c r="R376" s="123"/>
      <c r="S376" s="42"/>
      <c r="T376" s="42"/>
      <c r="U376" s="40" t="str">
        <f t="shared" si="9"/>
        <v/>
      </c>
      <c r="V376" s="41"/>
      <c r="W376" s="42"/>
      <c r="X376" s="42"/>
      <c r="Y376" s="43"/>
      <c r="Z376" s="44"/>
      <c r="AA376" s="45" t="str">
        <f t="shared" si="2"/>
        <v/>
      </c>
      <c r="AB376" s="42"/>
      <c r="AC376" s="41"/>
      <c r="AD376" s="41"/>
      <c r="AE376" s="46" t="str">
        <f t="shared" si="3"/>
        <v/>
      </c>
      <c r="AF376" s="46" t="str">
        <f t="shared" si="7"/>
        <v/>
      </c>
      <c r="AG376" s="40" t="str">
        <f t="shared" si="4"/>
        <v/>
      </c>
      <c r="AH376" s="40" t="str">
        <f t="shared" si="5"/>
        <v/>
      </c>
      <c r="AI376" s="40" t="str">
        <f t="shared" si="6"/>
        <v/>
      </c>
    </row>
    <row r="377" ht="15.75" customHeight="1">
      <c r="A377" s="126"/>
      <c r="B377" s="42"/>
      <c r="C377" s="41"/>
      <c r="D377" s="41"/>
      <c r="E377" s="64"/>
      <c r="F377" s="64"/>
      <c r="G377" s="41"/>
      <c r="H377" s="41"/>
      <c r="I377" s="123"/>
      <c r="J377" s="123"/>
      <c r="K377" s="123"/>
      <c r="L377" s="123"/>
      <c r="M377" s="41"/>
      <c r="N377" s="123"/>
      <c r="O377" s="65"/>
      <c r="P377" s="123"/>
      <c r="Q377" s="123"/>
      <c r="R377" s="123"/>
      <c r="S377" s="42"/>
      <c r="T377" s="42"/>
      <c r="U377" s="40" t="str">
        <f t="shared" si="9"/>
        <v/>
      </c>
      <c r="V377" s="41"/>
      <c r="W377" s="42"/>
      <c r="X377" s="42"/>
      <c r="Y377" s="43"/>
      <c r="Z377" s="44"/>
      <c r="AA377" s="45" t="str">
        <f t="shared" si="2"/>
        <v/>
      </c>
      <c r="AB377" s="42"/>
      <c r="AC377" s="41"/>
      <c r="AD377" s="41"/>
      <c r="AE377" s="46" t="str">
        <f t="shared" si="3"/>
        <v/>
      </c>
      <c r="AF377" s="46" t="str">
        <f t="shared" si="7"/>
        <v/>
      </c>
      <c r="AG377" s="40" t="str">
        <f t="shared" si="4"/>
        <v/>
      </c>
      <c r="AH377" s="40" t="str">
        <f t="shared" si="5"/>
        <v/>
      </c>
      <c r="AI377" s="40" t="str">
        <f t="shared" si="6"/>
        <v/>
      </c>
    </row>
    <row r="378" ht="15.75" customHeight="1">
      <c r="A378" s="126"/>
      <c r="B378" s="42"/>
      <c r="C378" s="41"/>
      <c r="D378" s="41"/>
      <c r="E378" s="64"/>
      <c r="F378" s="64"/>
      <c r="G378" s="41"/>
      <c r="H378" s="41"/>
      <c r="I378" s="123"/>
      <c r="J378" s="123"/>
      <c r="K378" s="123"/>
      <c r="L378" s="123"/>
      <c r="M378" s="41"/>
      <c r="N378" s="123"/>
      <c r="O378" s="65"/>
      <c r="P378" s="123"/>
      <c r="Q378" s="123"/>
      <c r="R378" s="123"/>
      <c r="S378" s="42"/>
      <c r="T378" s="42"/>
      <c r="U378" s="40" t="str">
        <f t="shared" si="9"/>
        <v/>
      </c>
      <c r="V378" s="41"/>
      <c r="W378" s="42"/>
      <c r="X378" s="42"/>
      <c r="Y378" s="43"/>
      <c r="Z378" s="44"/>
      <c r="AA378" s="45" t="str">
        <f t="shared" si="2"/>
        <v/>
      </c>
      <c r="AB378" s="42"/>
      <c r="AC378" s="41"/>
      <c r="AD378" s="41"/>
      <c r="AE378" s="46" t="str">
        <f t="shared" si="3"/>
        <v/>
      </c>
      <c r="AF378" s="46" t="str">
        <f t="shared" si="7"/>
        <v/>
      </c>
      <c r="AG378" s="40" t="str">
        <f t="shared" si="4"/>
        <v/>
      </c>
      <c r="AH378" s="40" t="str">
        <f t="shared" si="5"/>
        <v/>
      </c>
      <c r="AI378" s="40" t="str">
        <f t="shared" si="6"/>
        <v/>
      </c>
    </row>
    <row r="379" ht="15.75" customHeight="1">
      <c r="A379" s="126"/>
      <c r="B379" s="42"/>
      <c r="C379" s="41"/>
      <c r="D379" s="41"/>
      <c r="E379" s="64"/>
      <c r="F379" s="64"/>
      <c r="G379" s="41"/>
      <c r="H379" s="41"/>
      <c r="I379" s="123"/>
      <c r="J379" s="123"/>
      <c r="K379" s="123"/>
      <c r="L379" s="123"/>
      <c r="M379" s="41"/>
      <c r="N379" s="123"/>
      <c r="O379" s="65"/>
      <c r="P379" s="123"/>
      <c r="Q379" s="123"/>
      <c r="R379" s="123"/>
      <c r="S379" s="42"/>
      <c r="T379" s="42"/>
      <c r="U379" s="40" t="str">
        <f t="shared" si="9"/>
        <v/>
      </c>
      <c r="V379" s="41"/>
      <c r="W379" s="42"/>
      <c r="X379" s="42"/>
      <c r="Y379" s="43"/>
      <c r="Z379" s="44"/>
      <c r="AA379" s="45" t="str">
        <f t="shared" si="2"/>
        <v/>
      </c>
      <c r="AB379" s="42"/>
      <c r="AC379" s="41"/>
      <c r="AD379" s="41"/>
      <c r="AE379" s="46" t="str">
        <f t="shared" si="3"/>
        <v/>
      </c>
      <c r="AF379" s="46" t="str">
        <f t="shared" si="7"/>
        <v/>
      </c>
      <c r="AG379" s="40" t="str">
        <f t="shared" si="4"/>
        <v/>
      </c>
      <c r="AH379" s="40" t="str">
        <f t="shared" si="5"/>
        <v/>
      </c>
      <c r="AI379" s="40" t="str">
        <f t="shared" si="6"/>
        <v/>
      </c>
    </row>
    <row r="380" ht="15.75" customHeight="1">
      <c r="A380" s="126"/>
      <c r="B380" s="42"/>
      <c r="C380" s="41"/>
      <c r="D380" s="41"/>
      <c r="E380" s="64"/>
      <c r="F380" s="64"/>
      <c r="G380" s="41"/>
      <c r="H380" s="41"/>
      <c r="I380" s="123"/>
      <c r="J380" s="123"/>
      <c r="K380" s="123"/>
      <c r="L380" s="123"/>
      <c r="M380" s="41"/>
      <c r="N380" s="123"/>
      <c r="O380" s="65"/>
      <c r="P380" s="123"/>
      <c r="Q380" s="123"/>
      <c r="R380" s="123"/>
      <c r="S380" s="42"/>
      <c r="T380" s="42"/>
      <c r="U380" s="40" t="str">
        <f t="shared" si="9"/>
        <v/>
      </c>
      <c r="V380" s="41"/>
      <c r="W380" s="42"/>
      <c r="X380" s="42"/>
      <c r="Y380" s="43"/>
      <c r="Z380" s="44"/>
      <c r="AA380" s="45" t="str">
        <f t="shared" si="2"/>
        <v/>
      </c>
      <c r="AB380" s="42"/>
      <c r="AC380" s="41"/>
      <c r="AD380" s="41"/>
      <c r="AE380" s="46" t="str">
        <f t="shared" si="3"/>
        <v/>
      </c>
      <c r="AF380" s="46" t="str">
        <f t="shared" si="7"/>
        <v/>
      </c>
      <c r="AG380" s="40" t="str">
        <f t="shared" si="4"/>
        <v/>
      </c>
      <c r="AH380" s="40" t="str">
        <f t="shared" si="5"/>
        <v/>
      </c>
      <c r="AI380" s="40" t="str">
        <f t="shared" si="6"/>
        <v/>
      </c>
    </row>
    <row r="381" ht="15.75" customHeight="1">
      <c r="A381" s="126"/>
      <c r="B381" s="42"/>
      <c r="C381" s="41"/>
      <c r="D381" s="41"/>
      <c r="E381" s="64"/>
      <c r="F381" s="64"/>
      <c r="G381" s="41"/>
      <c r="H381" s="41"/>
      <c r="I381" s="123"/>
      <c r="J381" s="123"/>
      <c r="K381" s="123"/>
      <c r="L381" s="123"/>
      <c r="M381" s="41"/>
      <c r="N381" s="123"/>
      <c r="O381" s="65"/>
      <c r="P381" s="123"/>
      <c r="Q381" s="123"/>
      <c r="R381" s="123"/>
      <c r="S381" s="42"/>
      <c r="T381" s="42"/>
      <c r="U381" s="40" t="str">
        <f t="shared" si="9"/>
        <v/>
      </c>
      <c r="V381" s="41"/>
      <c r="W381" s="42"/>
      <c r="X381" s="42"/>
      <c r="Y381" s="43"/>
      <c r="Z381" s="44"/>
      <c r="AA381" s="45" t="str">
        <f t="shared" si="2"/>
        <v/>
      </c>
      <c r="AB381" s="42"/>
      <c r="AC381" s="41"/>
      <c r="AD381" s="41"/>
      <c r="AE381" s="46" t="str">
        <f t="shared" si="3"/>
        <v/>
      </c>
      <c r="AF381" s="46" t="str">
        <f t="shared" si="7"/>
        <v/>
      </c>
      <c r="AG381" s="40" t="str">
        <f t="shared" si="4"/>
        <v/>
      </c>
      <c r="AH381" s="40" t="str">
        <f t="shared" si="5"/>
        <v/>
      </c>
      <c r="AI381" s="40" t="str">
        <f t="shared" si="6"/>
        <v/>
      </c>
    </row>
    <row r="382" ht="15.75" customHeight="1">
      <c r="A382" s="126"/>
      <c r="B382" s="42"/>
      <c r="C382" s="41"/>
      <c r="D382" s="41"/>
      <c r="E382" s="64"/>
      <c r="F382" s="64"/>
      <c r="G382" s="41"/>
      <c r="H382" s="41"/>
      <c r="I382" s="123"/>
      <c r="J382" s="123"/>
      <c r="K382" s="123"/>
      <c r="L382" s="123"/>
      <c r="M382" s="41"/>
      <c r="N382" s="123"/>
      <c r="O382" s="65"/>
      <c r="P382" s="123"/>
      <c r="Q382" s="123"/>
      <c r="R382" s="123"/>
      <c r="S382" s="42"/>
      <c r="T382" s="42"/>
      <c r="U382" s="40" t="str">
        <f t="shared" si="9"/>
        <v/>
      </c>
      <c r="V382" s="41"/>
      <c r="W382" s="42"/>
      <c r="X382" s="42"/>
      <c r="Y382" s="43"/>
      <c r="Z382" s="44"/>
      <c r="AA382" s="45" t="str">
        <f t="shared" si="2"/>
        <v/>
      </c>
      <c r="AB382" s="42"/>
      <c r="AC382" s="41"/>
      <c r="AD382" s="41"/>
      <c r="AE382" s="46" t="str">
        <f t="shared" si="3"/>
        <v/>
      </c>
      <c r="AF382" s="46" t="str">
        <f t="shared" si="7"/>
        <v/>
      </c>
      <c r="AG382" s="40" t="str">
        <f t="shared" si="4"/>
        <v/>
      </c>
      <c r="AH382" s="40" t="str">
        <f t="shared" si="5"/>
        <v/>
      </c>
      <c r="AI382" s="40" t="str">
        <f t="shared" si="6"/>
        <v/>
      </c>
    </row>
    <row r="383" ht="15.75" customHeight="1">
      <c r="A383" s="126"/>
      <c r="B383" s="42"/>
      <c r="C383" s="41"/>
      <c r="D383" s="41"/>
      <c r="E383" s="64"/>
      <c r="F383" s="64"/>
      <c r="G383" s="41"/>
      <c r="H383" s="41"/>
      <c r="I383" s="123"/>
      <c r="J383" s="123"/>
      <c r="K383" s="123"/>
      <c r="L383" s="123"/>
      <c r="M383" s="41"/>
      <c r="N383" s="123"/>
      <c r="O383" s="65"/>
      <c r="P383" s="123"/>
      <c r="Q383" s="123"/>
      <c r="R383" s="123"/>
      <c r="S383" s="42"/>
      <c r="T383" s="42"/>
      <c r="U383" s="40" t="str">
        <f t="shared" si="9"/>
        <v/>
      </c>
      <c r="V383" s="41"/>
      <c r="W383" s="42"/>
      <c r="X383" s="42"/>
      <c r="Y383" s="43"/>
      <c r="Z383" s="44"/>
      <c r="AA383" s="45" t="str">
        <f t="shared" si="2"/>
        <v/>
      </c>
      <c r="AB383" s="42"/>
      <c r="AC383" s="41"/>
      <c r="AD383" s="41"/>
      <c r="AE383" s="46" t="str">
        <f t="shared" si="3"/>
        <v/>
      </c>
      <c r="AF383" s="46" t="str">
        <f t="shared" si="7"/>
        <v/>
      </c>
      <c r="AG383" s="40" t="str">
        <f t="shared" si="4"/>
        <v/>
      </c>
      <c r="AH383" s="40" t="str">
        <f t="shared" si="5"/>
        <v/>
      </c>
      <c r="AI383" s="40" t="str">
        <f t="shared" si="6"/>
        <v/>
      </c>
    </row>
    <row r="384" ht="15.75" customHeight="1">
      <c r="A384" s="126"/>
      <c r="B384" s="42"/>
      <c r="C384" s="41"/>
      <c r="D384" s="41"/>
      <c r="E384" s="64"/>
      <c r="F384" s="64"/>
      <c r="G384" s="41"/>
      <c r="H384" s="41"/>
      <c r="I384" s="123"/>
      <c r="J384" s="123"/>
      <c r="K384" s="123"/>
      <c r="L384" s="123"/>
      <c r="M384" s="41"/>
      <c r="N384" s="123"/>
      <c r="O384" s="65"/>
      <c r="P384" s="123"/>
      <c r="Q384" s="123"/>
      <c r="R384" s="123"/>
      <c r="S384" s="42"/>
      <c r="T384" s="42"/>
      <c r="U384" s="40" t="str">
        <f t="shared" si="9"/>
        <v/>
      </c>
      <c r="V384" s="41"/>
      <c r="W384" s="42"/>
      <c r="X384" s="42"/>
      <c r="Y384" s="43"/>
      <c r="Z384" s="44"/>
      <c r="AA384" s="45" t="str">
        <f t="shared" si="2"/>
        <v/>
      </c>
      <c r="AB384" s="42"/>
      <c r="AC384" s="41"/>
      <c r="AD384" s="41"/>
      <c r="AE384" s="46" t="str">
        <f t="shared" si="3"/>
        <v/>
      </c>
      <c r="AF384" s="46" t="str">
        <f t="shared" si="7"/>
        <v/>
      </c>
      <c r="AG384" s="40" t="str">
        <f t="shared" si="4"/>
        <v/>
      </c>
      <c r="AH384" s="40" t="str">
        <f t="shared" si="5"/>
        <v/>
      </c>
      <c r="AI384" s="40" t="str">
        <f t="shared" si="6"/>
        <v/>
      </c>
    </row>
    <row r="385" ht="15.75" customHeight="1">
      <c r="A385" s="126"/>
      <c r="B385" s="42"/>
      <c r="C385" s="41"/>
      <c r="D385" s="41"/>
      <c r="E385" s="64"/>
      <c r="F385" s="64"/>
      <c r="G385" s="41"/>
      <c r="H385" s="41"/>
      <c r="I385" s="123"/>
      <c r="J385" s="123"/>
      <c r="K385" s="123"/>
      <c r="L385" s="123"/>
      <c r="M385" s="41"/>
      <c r="N385" s="123"/>
      <c r="O385" s="65"/>
      <c r="P385" s="123"/>
      <c r="Q385" s="123"/>
      <c r="R385" s="123"/>
      <c r="S385" s="42"/>
      <c r="T385" s="42"/>
      <c r="U385" s="40" t="str">
        <f t="shared" si="9"/>
        <v/>
      </c>
      <c r="V385" s="41"/>
      <c r="W385" s="42"/>
      <c r="X385" s="42"/>
      <c r="Y385" s="43"/>
      <c r="Z385" s="44"/>
      <c r="AA385" s="45" t="str">
        <f t="shared" si="2"/>
        <v/>
      </c>
      <c r="AB385" s="42"/>
      <c r="AC385" s="41"/>
      <c r="AD385" s="41"/>
      <c r="AE385" s="46" t="str">
        <f t="shared" si="3"/>
        <v/>
      </c>
      <c r="AF385" s="46" t="str">
        <f t="shared" si="7"/>
        <v/>
      </c>
      <c r="AG385" s="40" t="str">
        <f t="shared" si="4"/>
        <v/>
      </c>
      <c r="AH385" s="40" t="str">
        <f t="shared" si="5"/>
        <v/>
      </c>
      <c r="AI385" s="40" t="str">
        <f t="shared" si="6"/>
        <v/>
      </c>
    </row>
    <row r="386" ht="15.75" customHeight="1">
      <c r="A386" s="126"/>
      <c r="B386" s="42"/>
      <c r="C386" s="41"/>
      <c r="D386" s="41"/>
      <c r="E386" s="64"/>
      <c r="F386" s="64"/>
      <c r="G386" s="41"/>
      <c r="H386" s="41"/>
      <c r="I386" s="123"/>
      <c r="J386" s="123"/>
      <c r="K386" s="123"/>
      <c r="L386" s="123"/>
      <c r="M386" s="41"/>
      <c r="N386" s="123"/>
      <c r="O386" s="65"/>
      <c r="P386" s="123"/>
      <c r="Q386" s="123"/>
      <c r="R386" s="123"/>
      <c r="S386" s="42"/>
      <c r="T386" s="42"/>
      <c r="U386" s="40" t="str">
        <f t="shared" si="9"/>
        <v/>
      </c>
      <c r="V386" s="41"/>
      <c r="W386" s="42"/>
      <c r="X386" s="42"/>
      <c r="Y386" s="43"/>
      <c r="Z386" s="44"/>
      <c r="AA386" s="45" t="str">
        <f t="shared" si="2"/>
        <v/>
      </c>
      <c r="AB386" s="42"/>
      <c r="AC386" s="41"/>
      <c r="AD386" s="41"/>
      <c r="AE386" s="46" t="str">
        <f t="shared" si="3"/>
        <v/>
      </c>
      <c r="AF386" s="46" t="str">
        <f t="shared" si="7"/>
        <v/>
      </c>
      <c r="AG386" s="40" t="str">
        <f t="shared" si="4"/>
        <v/>
      </c>
      <c r="AH386" s="40" t="str">
        <f t="shared" si="5"/>
        <v/>
      </c>
      <c r="AI386" s="40" t="str">
        <f t="shared" si="6"/>
        <v/>
      </c>
    </row>
    <row r="387" ht="15.75" customHeight="1">
      <c r="A387" s="126"/>
      <c r="B387" s="42"/>
      <c r="C387" s="41"/>
      <c r="D387" s="41"/>
      <c r="E387" s="64"/>
      <c r="F387" s="64"/>
      <c r="G387" s="41"/>
      <c r="H387" s="41"/>
      <c r="I387" s="123"/>
      <c r="J387" s="123"/>
      <c r="K387" s="123"/>
      <c r="L387" s="123"/>
      <c r="M387" s="41"/>
      <c r="N387" s="123"/>
      <c r="O387" s="65"/>
      <c r="P387" s="123"/>
      <c r="Q387" s="123"/>
      <c r="R387" s="123"/>
      <c r="S387" s="42"/>
      <c r="T387" s="42"/>
      <c r="U387" s="40" t="str">
        <f t="shared" si="9"/>
        <v/>
      </c>
      <c r="V387" s="41"/>
      <c r="W387" s="42"/>
      <c r="X387" s="42"/>
      <c r="Y387" s="43"/>
      <c r="Z387" s="44"/>
      <c r="AA387" s="45" t="str">
        <f t="shared" si="2"/>
        <v/>
      </c>
      <c r="AB387" s="42"/>
      <c r="AC387" s="41"/>
      <c r="AD387" s="41"/>
      <c r="AE387" s="46" t="str">
        <f t="shared" si="3"/>
        <v/>
      </c>
      <c r="AF387" s="46" t="str">
        <f t="shared" si="7"/>
        <v/>
      </c>
      <c r="AG387" s="40" t="str">
        <f t="shared" si="4"/>
        <v/>
      </c>
      <c r="AH387" s="40" t="str">
        <f t="shared" si="5"/>
        <v/>
      </c>
      <c r="AI387" s="40" t="str">
        <f t="shared" si="6"/>
        <v/>
      </c>
    </row>
    <row r="388" ht="15.75" customHeight="1">
      <c r="A388" s="126"/>
      <c r="B388" s="42"/>
      <c r="C388" s="41"/>
      <c r="D388" s="41"/>
      <c r="E388" s="64"/>
      <c r="F388" s="64"/>
      <c r="G388" s="41"/>
      <c r="H388" s="41"/>
      <c r="I388" s="123"/>
      <c r="J388" s="123"/>
      <c r="K388" s="123"/>
      <c r="L388" s="123"/>
      <c r="M388" s="41"/>
      <c r="N388" s="123"/>
      <c r="O388" s="65"/>
      <c r="P388" s="123"/>
      <c r="Q388" s="123"/>
      <c r="R388" s="123"/>
      <c r="S388" s="42"/>
      <c r="T388" s="42"/>
      <c r="U388" s="40" t="str">
        <f t="shared" si="9"/>
        <v/>
      </c>
      <c r="V388" s="41"/>
      <c r="W388" s="42"/>
      <c r="X388" s="42"/>
      <c r="Y388" s="43"/>
      <c r="Z388" s="44"/>
      <c r="AA388" s="45" t="str">
        <f t="shared" si="2"/>
        <v/>
      </c>
      <c r="AB388" s="42"/>
      <c r="AC388" s="41"/>
      <c r="AD388" s="41"/>
      <c r="AE388" s="46" t="str">
        <f t="shared" si="3"/>
        <v/>
      </c>
      <c r="AF388" s="46" t="str">
        <f t="shared" si="7"/>
        <v/>
      </c>
      <c r="AG388" s="40" t="str">
        <f t="shared" si="4"/>
        <v/>
      </c>
      <c r="AH388" s="40" t="str">
        <f t="shared" si="5"/>
        <v/>
      </c>
      <c r="AI388" s="40" t="str">
        <f t="shared" si="6"/>
        <v/>
      </c>
    </row>
    <row r="389" ht="15.75" customHeight="1">
      <c r="A389" s="126"/>
      <c r="B389" s="42"/>
      <c r="C389" s="41"/>
      <c r="D389" s="41"/>
      <c r="E389" s="64"/>
      <c r="F389" s="64"/>
      <c r="G389" s="41"/>
      <c r="H389" s="41"/>
      <c r="I389" s="123"/>
      <c r="J389" s="123"/>
      <c r="K389" s="123"/>
      <c r="L389" s="123"/>
      <c r="M389" s="41"/>
      <c r="N389" s="123"/>
      <c r="O389" s="65"/>
      <c r="P389" s="123"/>
      <c r="Q389" s="123"/>
      <c r="R389" s="123"/>
      <c r="S389" s="42"/>
      <c r="T389" s="42"/>
      <c r="U389" s="40" t="str">
        <f t="shared" si="9"/>
        <v/>
      </c>
      <c r="V389" s="41"/>
      <c r="W389" s="42"/>
      <c r="X389" s="42"/>
      <c r="Y389" s="43"/>
      <c r="Z389" s="44"/>
      <c r="AA389" s="45" t="str">
        <f t="shared" si="2"/>
        <v/>
      </c>
      <c r="AB389" s="42"/>
      <c r="AC389" s="41"/>
      <c r="AD389" s="41"/>
      <c r="AE389" s="46" t="str">
        <f t="shared" si="3"/>
        <v/>
      </c>
      <c r="AF389" s="46" t="str">
        <f t="shared" si="7"/>
        <v/>
      </c>
      <c r="AG389" s="40" t="str">
        <f t="shared" si="4"/>
        <v/>
      </c>
      <c r="AH389" s="40" t="str">
        <f t="shared" si="5"/>
        <v/>
      </c>
      <c r="AI389" s="40" t="str">
        <f t="shared" si="6"/>
        <v/>
      </c>
    </row>
    <row r="390" ht="15.75" customHeight="1">
      <c r="A390" s="126"/>
      <c r="B390" s="42"/>
      <c r="C390" s="41"/>
      <c r="D390" s="41"/>
      <c r="E390" s="64"/>
      <c r="F390" s="64"/>
      <c r="G390" s="41"/>
      <c r="H390" s="41"/>
      <c r="I390" s="123"/>
      <c r="J390" s="123"/>
      <c r="K390" s="123"/>
      <c r="L390" s="123"/>
      <c r="M390" s="41"/>
      <c r="N390" s="123"/>
      <c r="O390" s="65"/>
      <c r="P390" s="123"/>
      <c r="Q390" s="123"/>
      <c r="R390" s="123"/>
      <c r="S390" s="42"/>
      <c r="T390" s="42"/>
      <c r="U390" s="40" t="str">
        <f t="shared" si="9"/>
        <v/>
      </c>
      <c r="V390" s="41"/>
      <c r="W390" s="42"/>
      <c r="X390" s="42"/>
      <c r="Y390" s="43"/>
      <c r="Z390" s="44"/>
      <c r="AA390" s="45" t="str">
        <f t="shared" si="2"/>
        <v/>
      </c>
      <c r="AB390" s="42"/>
      <c r="AC390" s="41"/>
      <c r="AD390" s="41"/>
      <c r="AE390" s="46" t="str">
        <f t="shared" si="3"/>
        <v/>
      </c>
      <c r="AF390" s="46" t="str">
        <f t="shared" si="7"/>
        <v/>
      </c>
      <c r="AG390" s="40" t="str">
        <f t="shared" si="4"/>
        <v/>
      </c>
      <c r="AH390" s="40" t="str">
        <f t="shared" si="5"/>
        <v/>
      </c>
      <c r="AI390" s="40" t="str">
        <f t="shared" si="6"/>
        <v/>
      </c>
    </row>
    <row r="391" ht="15.75" customHeight="1">
      <c r="A391" s="126"/>
      <c r="B391" s="42"/>
      <c r="C391" s="41"/>
      <c r="D391" s="41"/>
      <c r="E391" s="64"/>
      <c r="F391" s="64"/>
      <c r="G391" s="41"/>
      <c r="H391" s="41"/>
      <c r="I391" s="123"/>
      <c r="J391" s="123"/>
      <c r="K391" s="123"/>
      <c r="L391" s="123"/>
      <c r="M391" s="41"/>
      <c r="N391" s="123"/>
      <c r="O391" s="65"/>
      <c r="P391" s="123"/>
      <c r="Q391" s="123"/>
      <c r="R391" s="123"/>
      <c r="S391" s="42"/>
      <c r="T391" s="42"/>
      <c r="U391" s="40" t="str">
        <f t="shared" si="9"/>
        <v/>
      </c>
      <c r="V391" s="41"/>
      <c r="W391" s="42"/>
      <c r="X391" s="42"/>
      <c r="Y391" s="43"/>
      <c r="Z391" s="44"/>
      <c r="AA391" s="45" t="str">
        <f t="shared" si="2"/>
        <v/>
      </c>
      <c r="AB391" s="42"/>
      <c r="AC391" s="41"/>
      <c r="AD391" s="41"/>
      <c r="AE391" s="46" t="str">
        <f t="shared" si="3"/>
        <v/>
      </c>
      <c r="AF391" s="46" t="str">
        <f t="shared" si="7"/>
        <v/>
      </c>
      <c r="AG391" s="40" t="str">
        <f t="shared" si="4"/>
        <v/>
      </c>
      <c r="AH391" s="40" t="str">
        <f t="shared" si="5"/>
        <v/>
      </c>
      <c r="AI391" s="40" t="str">
        <f t="shared" si="6"/>
        <v/>
      </c>
    </row>
    <row r="392" ht="15.75" customHeight="1">
      <c r="A392" s="126"/>
      <c r="B392" s="42"/>
      <c r="C392" s="41"/>
      <c r="D392" s="41"/>
      <c r="E392" s="64"/>
      <c r="F392" s="64"/>
      <c r="G392" s="41"/>
      <c r="H392" s="41"/>
      <c r="I392" s="123"/>
      <c r="J392" s="123"/>
      <c r="K392" s="123"/>
      <c r="L392" s="123"/>
      <c r="M392" s="41"/>
      <c r="N392" s="123"/>
      <c r="O392" s="65"/>
      <c r="P392" s="123"/>
      <c r="Q392" s="123"/>
      <c r="R392" s="123"/>
      <c r="S392" s="42"/>
      <c r="T392" s="42"/>
      <c r="U392" s="40" t="str">
        <f t="shared" si="9"/>
        <v/>
      </c>
      <c r="V392" s="41"/>
      <c r="W392" s="42"/>
      <c r="X392" s="42"/>
      <c r="Y392" s="43"/>
      <c r="Z392" s="44"/>
      <c r="AA392" s="45" t="str">
        <f t="shared" si="2"/>
        <v/>
      </c>
      <c r="AB392" s="42"/>
      <c r="AC392" s="41"/>
      <c r="AD392" s="41"/>
      <c r="AE392" s="46" t="str">
        <f t="shared" si="3"/>
        <v/>
      </c>
      <c r="AF392" s="46" t="str">
        <f t="shared" si="7"/>
        <v/>
      </c>
      <c r="AG392" s="40" t="str">
        <f t="shared" si="4"/>
        <v/>
      </c>
      <c r="AH392" s="40" t="str">
        <f t="shared" si="5"/>
        <v/>
      </c>
      <c r="AI392" s="40" t="str">
        <f t="shared" si="6"/>
        <v/>
      </c>
    </row>
    <row r="393" ht="15.75" customHeight="1">
      <c r="A393" s="126"/>
      <c r="B393" s="42"/>
      <c r="C393" s="41"/>
      <c r="D393" s="41"/>
      <c r="E393" s="64"/>
      <c r="F393" s="64"/>
      <c r="G393" s="41"/>
      <c r="H393" s="41"/>
      <c r="I393" s="123"/>
      <c r="J393" s="123"/>
      <c r="K393" s="123"/>
      <c r="L393" s="123"/>
      <c r="M393" s="41"/>
      <c r="N393" s="123"/>
      <c r="O393" s="65"/>
      <c r="P393" s="123"/>
      <c r="Q393" s="123"/>
      <c r="R393" s="123"/>
      <c r="S393" s="42"/>
      <c r="T393" s="42"/>
      <c r="U393" s="40" t="str">
        <f t="shared" si="9"/>
        <v/>
      </c>
      <c r="V393" s="41"/>
      <c r="W393" s="42"/>
      <c r="X393" s="42"/>
      <c r="Y393" s="43"/>
      <c r="Z393" s="44"/>
      <c r="AA393" s="45" t="str">
        <f t="shared" si="2"/>
        <v/>
      </c>
      <c r="AB393" s="42"/>
      <c r="AC393" s="41"/>
      <c r="AD393" s="41"/>
      <c r="AE393" s="46" t="str">
        <f t="shared" si="3"/>
        <v/>
      </c>
      <c r="AF393" s="46" t="str">
        <f t="shared" si="7"/>
        <v/>
      </c>
      <c r="AG393" s="40" t="str">
        <f t="shared" si="4"/>
        <v/>
      </c>
      <c r="AH393" s="40" t="str">
        <f t="shared" si="5"/>
        <v/>
      </c>
      <c r="AI393" s="40" t="str">
        <f t="shared" si="6"/>
        <v/>
      </c>
    </row>
    <row r="394" ht="15.75" customHeight="1">
      <c r="A394" s="126"/>
      <c r="B394" s="42"/>
      <c r="C394" s="41"/>
      <c r="D394" s="41"/>
      <c r="E394" s="64"/>
      <c r="F394" s="64"/>
      <c r="G394" s="41"/>
      <c r="H394" s="41"/>
      <c r="I394" s="123"/>
      <c r="J394" s="123"/>
      <c r="K394" s="123"/>
      <c r="L394" s="123"/>
      <c r="M394" s="41"/>
      <c r="N394" s="123"/>
      <c r="O394" s="65"/>
      <c r="P394" s="123"/>
      <c r="Q394" s="123"/>
      <c r="R394" s="123"/>
      <c r="S394" s="42"/>
      <c r="T394" s="42"/>
      <c r="U394" s="40" t="str">
        <f t="shared" si="9"/>
        <v/>
      </c>
      <c r="V394" s="41"/>
      <c r="W394" s="42"/>
      <c r="X394" s="42"/>
      <c r="Y394" s="43"/>
      <c r="Z394" s="44"/>
      <c r="AA394" s="45" t="str">
        <f t="shared" si="2"/>
        <v/>
      </c>
      <c r="AB394" s="42"/>
      <c r="AC394" s="41"/>
      <c r="AD394" s="41"/>
      <c r="AE394" s="46" t="str">
        <f t="shared" si="3"/>
        <v/>
      </c>
      <c r="AF394" s="46" t="str">
        <f t="shared" si="7"/>
        <v/>
      </c>
      <c r="AG394" s="40" t="str">
        <f t="shared" si="4"/>
        <v/>
      </c>
      <c r="AH394" s="40" t="str">
        <f t="shared" si="5"/>
        <v/>
      </c>
      <c r="AI394" s="40" t="str">
        <f t="shared" si="6"/>
        <v/>
      </c>
    </row>
    <row r="395" ht="15.75" customHeight="1">
      <c r="A395" s="126"/>
      <c r="B395" s="42"/>
      <c r="C395" s="41"/>
      <c r="D395" s="41"/>
      <c r="E395" s="64"/>
      <c r="F395" s="64"/>
      <c r="G395" s="41"/>
      <c r="H395" s="41"/>
      <c r="I395" s="123"/>
      <c r="J395" s="123"/>
      <c r="K395" s="123"/>
      <c r="L395" s="123"/>
      <c r="M395" s="41"/>
      <c r="N395" s="123"/>
      <c r="O395" s="65"/>
      <c r="P395" s="123"/>
      <c r="Q395" s="123"/>
      <c r="R395" s="123"/>
      <c r="S395" s="42"/>
      <c r="T395" s="42"/>
      <c r="U395" s="40" t="str">
        <f t="shared" si="9"/>
        <v/>
      </c>
      <c r="V395" s="41"/>
      <c r="W395" s="42"/>
      <c r="X395" s="42"/>
      <c r="Y395" s="43"/>
      <c r="Z395" s="44"/>
      <c r="AA395" s="45" t="str">
        <f t="shared" si="2"/>
        <v/>
      </c>
      <c r="AB395" s="42"/>
      <c r="AC395" s="41"/>
      <c r="AD395" s="41"/>
      <c r="AE395" s="46" t="str">
        <f t="shared" si="3"/>
        <v/>
      </c>
      <c r="AF395" s="46" t="str">
        <f t="shared" si="7"/>
        <v/>
      </c>
      <c r="AG395" s="40" t="str">
        <f t="shared" si="4"/>
        <v/>
      </c>
      <c r="AH395" s="40" t="str">
        <f t="shared" si="5"/>
        <v/>
      </c>
      <c r="AI395" s="40" t="str">
        <f t="shared" si="6"/>
        <v/>
      </c>
    </row>
    <row r="396" ht="15.75" customHeight="1">
      <c r="A396" s="126"/>
      <c r="B396" s="42"/>
      <c r="C396" s="41"/>
      <c r="D396" s="41"/>
      <c r="E396" s="64"/>
      <c r="F396" s="64"/>
      <c r="G396" s="41"/>
      <c r="H396" s="41"/>
      <c r="I396" s="123"/>
      <c r="J396" s="123"/>
      <c r="K396" s="123"/>
      <c r="L396" s="123"/>
      <c r="M396" s="41"/>
      <c r="N396" s="123"/>
      <c r="O396" s="65"/>
      <c r="P396" s="123"/>
      <c r="Q396" s="123"/>
      <c r="R396" s="123"/>
      <c r="S396" s="42"/>
      <c r="T396" s="42"/>
      <c r="U396" s="40" t="str">
        <f t="shared" si="9"/>
        <v/>
      </c>
      <c r="V396" s="41"/>
      <c r="W396" s="42"/>
      <c r="X396" s="42"/>
      <c r="Y396" s="43"/>
      <c r="Z396" s="44"/>
      <c r="AA396" s="45" t="str">
        <f t="shared" si="2"/>
        <v/>
      </c>
      <c r="AB396" s="42"/>
      <c r="AC396" s="41"/>
      <c r="AD396" s="41"/>
      <c r="AE396" s="46" t="str">
        <f t="shared" si="3"/>
        <v/>
      </c>
      <c r="AF396" s="46" t="str">
        <f t="shared" si="7"/>
        <v/>
      </c>
      <c r="AG396" s="40" t="str">
        <f t="shared" si="4"/>
        <v/>
      </c>
      <c r="AH396" s="40" t="str">
        <f t="shared" si="5"/>
        <v/>
      </c>
      <c r="AI396" s="40" t="str">
        <f t="shared" si="6"/>
        <v/>
      </c>
    </row>
    <row r="397" ht="15.75" customHeight="1">
      <c r="A397" s="126"/>
      <c r="B397" s="42"/>
      <c r="C397" s="41"/>
      <c r="D397" s="41"/>
      <c r="E397" s="64"/>
      <c r="F397" s="64"/>
      <c r="G397" s="41"/>
      <c r="H397" s="41"/>
      <c r="I397" s="123"/>
      <c r="J397" s="123"/>
      <c r="K397" s="123"/>
      <c r="L397" s="123"/>
      <c r="M397" s="41"/>
      <c r="N397" s="123"/>
      <c r="O397" s="65"/>
      <c r="P397" s="123"/>
      <c r="Q397" s="123"/>
      <c r="R397" s="123"/>
      <c r="S397" s="42"/>
      <c r="T397" s="42"/>
      <c r="U397" s="40" t="str">
        <f t="shared" si="9"/>
        <v/>
      </c>
      <c r="V397" s="41"/>
      <c r="W397" s="42"/>
      <c r="X397" s="42"/>
      <c r="Y397" s="43"/>
      <c r="Z397" s="44"/>
      <c r="AA397" s="45" t="str">
        <f t="shared" si="2"/>
        <v/>
      </c>
      <c r="AB397" s="42"/>
      <c r="AC397" s="41"/>
      <c r="AD397" s="41"/>
      <c r="AE397" s="46" t="str">
        <f t="shared" si="3"/>
        <v/>
      </c>
      <c r="AF397" s="46" t="str">
        <f t="shared" si="7"/>
        <v/>
      </c>
      <c r="AG397" s="40" t="str">
        <f t="shared" si="4"/>
        <v/>
      </c>
      <c r="AH397" s="40" t="str">
        <f t="shared" si="5"/>
        <v/>
      </c>
      <c r="AI397" s="40" t="str">
        <f t="shared" si="6"/>
        <v/>
      </c>
    </row>
    <row r="398" ht="15.75" customHeight="1">
      <c r="A398" s="126"/>
      <c r="B398" s="42"/>
      <c r="C398" s="41"/>
      <c r="D398" s="41"/>
      <c r="E398" s="64"/>
      <c r="F398" s="64"/>
      <c r="G398" s="41"/>
      <c r="H398" s="41"/>
      <c r="I398" s="123"/>
      <c r="J398" s="123"/>
      <c r="K398" s="123"/>
      <c r="L398" s="123"/>
      <c r="M398" s="41"/>
      <c r="N398" s="123"/>
      <c r="O398" s="65"/>
      <c r="P398" s="123"/>
      <c r="Q398" s="123"/>
      <c r="R398" s="123"/>
      <c r="S398" s="42"/>
      <c r="T398" s="42"/>
      <c r="U398" s="40" t="str">
        <f t="shared" si="9"/>
        <v/>
      </c>
      <c r="V398" s="41"/>
      <c r="W398" s="42"/>
      <c r="X398" s="42"/>
      <c r="Y398" s="43"/>
      <c r="Z398" s="44"/>
      <c r="AA398" s="45" t="str">
        <f t="shared" si="2"/>
        <v/>
      </c>
      <c r="AB398" s="42"/>
      <c r="AC398" s="41"/>
      <c r="AD398" s="41"/>
      <c r="AE398" s="46" t="str">
        <f t="shared" si="3"/>
        <v/>
      </c>
      <c r="AF398" s="46" t="str">
        <f t="shared" si="7"/>
        <v/>
      </c>
      <c r="AG398" s="40" t="str">
        <f t="shared" si="4"/>
        <v/>
      </c>
      <c r="AH398" s="40" t="str">
        <f t="shared" si="5"/>
        <v/>
      </c>
      <c r="AI398" s="40" t="str">
        <f t="shared" si="6"/>
        <v/>
      </c>
    </row>
    <row r="399" ht="15.75" customHeight="1">
      <c r="A399" s="126"/>
      <c r="B399" s="42"/>
      <c r="C399" s="41"/>
      <c r="D399" s="41"/>
      <c r="E399" s="64"/>
      <c r="F399" s="64"/>
      <c r="G399" s="41"/>
      <c r="H399" s="41"/>
      <c r="I399" s="123"/>
      <c r="J399" s="123"/>
      <c r="K399" s="123"/>
      <c r="L399" s="123"/>
      <c r="M399" s="41"/>
      <c r="N399" s="123"/>
      <c r="O399" s="65"/>
      <c r="P399" s="123"/>
      <c r="Q399" s="123"/>
      <c r="R399" s="123"/>
      <c r="S399" s="42"/>
      <c r="T399" s="42"/>
      <c r="U399" s="40" t="str">
        <f t="shared" si="9"/>
        <v/>
      </c>
      <c r="V399" s="41"/>
      <c r="W399" s="42"/>
      <c r="X399" s="42"/>
      <c r="Y399" s="43"/>
      <c r="Z399" s="44"/>
      <c r="AA399" s="45" t="str">
        <f t="shared" si="2"/>
        <v/>
      </c>
      <c r="AB399" s="42"/>
      <c r="AC399" s="41"/>
      <c r="AD399" s="41"/>
      <c r="AE399" s="46" t="str">
        <f t="shared" si="3"/>
        <v/>
      </c>
      <c r="AF399" s="46" t="str">
        <f t="shared" si="7"/>
        <v/>
      </c>
      <c r="AG399" s="40" t="str">
        <f t="shared" si="4"/>
        <v/>
      </c>
      <c r="AH399" s="40" t="str">
        <f t="shared" si="5"/>
        <v/>
      </c>
      <c r="AI399" s="40" t="str">
        <f t="shared" si="6"/>
        <v/>
      </c>
    </row>
    <row r="400" ht="15.75" customHeight="1">
      <c r="A400" s="126"/>
      <c r="B400" s="42"/>
      <c r="C400" s="41"/>
      <c r="D400" s="41"/>
      <c r="E400" s="64"/>
      <c r="F400" s="64"/>
      <c r="G400" s="41"/>
      <c r="H400" s="41"/>
      <c r="I400" s="123"/>
      <c r="J400" s="123"/>
      <c r="K400" s="123"/>
      <c r="L400" s="123"/>
      <c r="M400" s="41"/>
      <c r="N400" s="123"/>
      <c r="O400" s="65"/>
      <c r="P400" s="123"/>
      <c r="Q400" s="123"/>
      <c r="R400" s="123"/>
      <c r="S400" s="42"/>
      <c r="T400" s="42"/>
      <c r="U400" s="40" t="str">
        <f t="shared" si="9"/>
        <v/>
      </c>
      <c r="V400" s="41"/>
      <c r="W400" s="42"/>
      <c r="X400" s="42"/>
      <c r="Y400" s="43"/>
      <c r="Z400" s="44"/>
      <c r="AA400" s="45" t="str">
        <f t="shared" si="2"/>
        <v/>
      </c>
      <c r="AB400" s="42"/>
      <c r="AC400" s="41"/>
      <c r="AD400" s="41"/>
      <c r="AE400" s="46" t="str">
        <f t="shared" si="3"/>
        <v/>
      </c>
      <c r="AF400" s="46" t="str">
        <f t="shared" si="7"/>
        <v/>
      </c>
      <c r="AG400" s="40" t="str">
        <f t="shared" si="4"/>
        <v/>
      </c>
      <c r="AH400" s="40" t="str">
        <f t="shared" si="5"/>
        <v/>
      </c>
      <c r="AI400" s="40" t="str">
        <f t="shared" si="6"/>
        <v/>
      </c>
    </row>
    <row r="401" ht="15.75" customHeight="1">
      <c r="A401" s="126"/>
      <c r="B401" s="42"/>
      <c r="C401" s="41"/>
      <c r="D401" s="41"/>
      <c r="E401" s="64"/>
      <c r="F401" s="64"/>
      <c r="G401" s="41"/>
      <c r="H401" s="41"/>
      <c r="I401" s="123"/>
      <c r="J401" s="123"/>
      <c r="K401" s="123"/>
      <c r="L401" s="123"/>
      <c r="M401" s="41"/>
      <c r="N401" s="123"/>
      <c r="O401" s="65"/>
      <c r="P401" s="123"/>
      <c r="Q401" s="123"/>
      <c r="R401" s="123"/>
      <c r="S401" s="42"/>
      <c r="T401" s="42"/>
      <c r="U401" s="40" t="str">
        <f t="shared" si="9"/>
        <v/>
      </c>
      <c r="V401" s="41"/>
      <c r="W401" s="42"/>
      <c r="X401" s="42"/>
      <c r="Y401" s="43"/>
      <c r="Z401" s="44"/>
      <c r="AA401" s="45" t="str">
        <f t="shared" si="2"/>
        <v/>
      </c>
      <c r="AB401" s="42"/>
      <c r="AC401" s="41"/>
      <c r="AD401" s="41"/>
      <c r="AE401" s="46" t="str">
        <f t="shared" si="3"/>
        <v/>
      </c>
      <c r="AF401" s="46" t="str">
        <f t="shared" si="7"/>
        <v/>
      </c>
      <c r="AG401" s="40" t="str">
        <f t="shared" si="4"/>
        <v/>
      </c>
      <c r="AH401" s="40" t="str">
        <f t="shared" si="5"/>
        <v/>
      </c>
      <c r="AI401" s="40" t="str">
        <f t="shared" si="6"/>
        <v/>
      </c>
    </row>
    <row r="402" ht="15.75" customHeight="1">
      <c r="A402" s="126"/>
      <c r="B402" s="42"/>
      <c r="C402" s="41"/>
      <c r="D402" s="41"/>
      <c r="E402" s="64"/>
      <c r="F402" s="64"/>
      <c r="G402" s="41"/>
      <c r="H402" s="41"/>
      <c r="I402" s="123"/>
      <c r="J402" s="123"/>
      <c r="K402" s="123"/>
      <c r="L402" s="123"/>
      <c r="M402" s="41"/>
      <c r="N402" s="123"/>
      <c r="O402" s="65"/>
      <c r="P402" s="123"/>
      <c r="Q402" s="123"/>
      <c r="R402" s="123"/>
      <c r="S402" s="42"/>
      <c r="T402" s="42"/>
      <c r="U402" s="40" t="str">
        <f t="shared" si="9"/>
        <v/>
      </c>
      <c r="V402" s="41"/>
      <c r="W402" s="42"/>
      <c r="X402" s="42"/>
      <c r="Y402" s="43"/>
      <c r="Z402" s="44"/>
      <c r="AA402" s="45" t="str">
        <f t="shared" si="2"/>
        <v/>
      </c>
      <c r="AB402" s="42"/>
      <c r="AC402" s="41"/>
      <c r="AD402" s="41"/>
      <c r="AE402" s="46" t="str">
        <f t="shared" si="3"/>
        <v/>
      </c>
      <c r="AF402" s="46" t="str">
        <f t="shared" si="7"/>
        <v/>
      </c>
      <c r="AG402" s="40" t="str">
        <f t="shared" si="4"/>
        <v/>
      </c>
      <c r="AH402" s="40" t="str">
        <f t="shared" si="5"/>
        <v/>
      </c>
      <c r="AI402" s="40" t="str">
        <f t="shared" si="6"/>
        <v/>
      </c>
    </row>
    <row r="403" ht="15.75" customHeight="1">
      <c r="A403" s="126"/>
      <c r="B403" s="42"/>
      <c r="C403" s="41"/>
      <c r="D403" s="41"/>
      <c r="E403" s="64"/>
      <c r="F403" s="64"/>
      <c r="G403" s="41"/>
      <c r="H403" s="41"/>
      <c r="I403" s="123"/>
      <c r="J403" s="123"/>
      <c r="K403" s="123"/>
      <c r="L403" s="123"/>
      <c r="M403" s="41"/>
      <c r="N403" s="123"/>
      <c r="O403" s="65"/>
      <c r="P403" s="123"/>
      <c r="Q403" s="123"/>
      <c r="R403" s="123"/>
      <c r="S403" s="42"/>
      <c r="T403" s="42"/>
      <c r="U403" s="40" t="str">
        <f t="shared" si="9"/>
        <v/>
      </c>
      <c r="V403" s="41"/>
      <c r="W403" s="42"/>
      <c r="X403" s="42"/>
      <c r="Y403" s="43"/>
      <c r="Z403" s="44"/>
      <c r="AA403" s="45" t="str">
        <f t="shared" si="2"/>
        <v/>
      </c>
      <c r="AB403" s="42"/>
      <c r="AC403" s="41"/>
      <c r="AD403" s="41"/>
      <c r="AE403" s="46" t="str">
        <f t="shared" si="3"/>
        <v/>
      </c>
      <c r="AF403" s="46" t="str">
        <f t="shared" si="7"/>
        <v/>
      </c>
      <c r="AG403" s="40" t="str">
        <f t="shared" si="4"/>
        <v/>
      </c>
      <c r="AH403" s="40" t="str">
        <f t="shared" si="5"/>
        <v/>
      </c>
      <c r="AI403" s="40" t="str">
        <f t="shared" si="6"/>
        <v/>
      </c>
    </row>
    <row r="404" ht="15.75" customHeight="1">
      <c r="A404" s="126"/>
      <c r="B404" s="42"/>
      <c r="C404" s="41"/>
      <c r="D404" s="41"/>
      <c r="E404" s="64"/>
      <c r="F404" s="64"/>
      <c r="G404" s="41"/>
      <c r="H404" s="41"/>
      <c r="I404" s="123"/>
      <c r="J404" s="123"/>
      <c r="K404" s="123"/>
      <c r="L404" s="123"/>
      <c r="M404" s="41"/>
      <c r="N404" s="123"/>
      <c r="O404" s="65"/>
      <c r="P404" s="123"/>
      <c r="Q404" s="123"/>
      <c r="R404" s="123"/>
      <c r="S404" s="42"/>
      <c r="T404" s="42"/>
      <c r="U404" s="40" t="str">
        <f t="shared" si="9"/>
        <v/>
      </c>
      <c r="V404" s="41"/>
      <c r="W404" s="42"/>
      <c r="X404" s="42"/>
      <c r="Y404" s="43"/>
      <c r="Z404" s="44"/>
      <c r="AA404" s="45" t="str">
        <f t="shared" si="2"/>
        <v/>
      </c>
      <c r="AB404" s="42"/>
      <c r="AC404" s="41"/>
      <c r="AD404" s="41"/>
      <c r="AE404" s="46" t="str">
        <f t="shared" si="3"/>
        <v/>
      </c>
      <c r="AF404" s="46" t="str">
        <f t="shared" si="7"/>
        <v/>
      </c>
      <c r="AG404" s="40" t="str">
        <f t="shared" si="4"/>
        <v/>
      </c>
      <c r="AH404" s="40" t="str">
        <f t="shared" si="5"/>
        <v/>
      </c>
      <c r="AI404" s="40" t="str">
        <f t="shared" si="6"/>
        <v/>
      </c>
    </row>
    <row r="405" ht="15.75" customHeight="1">
      <c r="A405" s="126"/>
      <c r="B405" s="42"/>
      <c r="C405" s="41"/>
      <c r="D405" s="41"/>
      <c r="E405" s="64"/>
      <c r="F405" s="64"/>
      <c r="G405" s="41"/>
      <c r="H405" s="41"/>
      <c r="I405" s="123"/>
      <c r="J405" s="123"/>
      <c r="K405" s="123"/>
      <c r="L405" s="123"/>
      <c r="M405" s="41"/>
      <c r="N405" s="123"/>
      <c r="O405" s="65"/>
      <c r="P405" s="123"/>
      <c r="Q405" s="123"/>
      <c r="R405" s="123"/>
      <c r="S405" s="42"/>
      <c r="T405" s="42"/>
      <c r="U405" s="40" t="str">
        <f t="shared" si="9"/>
        <v/>
      </c>
      <c r="V405" s="41"/>
      <c r="W405" s="42"/>
      <c r="X405" s="42"/>
      <c r="Y405" s="43"/>
      <c r="Z405" s="44"/>
      <c r="AA405" s="45" t="str">
        <f t="shared" si="2"/>
        <v/>
      </c>
      <c r="AB405" s="42"/>
      <c r="AC405" s="41"/>
      <c r="AD405" s="41"/>
      <c r="AE405" s="46" t="str">
        <f t="shared" si="3"/>
        <v/>
      </c>
      <c r="AF405" s="46" t="str">
        <f t="shared" si="7"/>
        <v/>
      </c>
      <c r="AG405" s="40" t="str">
        <f t="shared" si="4"/>
        <v/>
      </c>
      <c r="AH405" s="40" t="str">
        <f t="shared" si="5"/>
        <v/>
      </c>
      <c r="AI405" s="40" t="str">
        <f t="shared" si="6"/>
        <v/>
      </c>
    </row>
    <row r="406" ht="15.75" customHeight="1">
      <c r="A406" s="126"/>
      <c r="B406" s="42"/>
      <c r="C406" s="41"/>
      <c r="D406" s="41"/>
      <c r="E406" s="64"/>
      <c r="F406" s="64"/>
      <c r="G406" s="41"/>
      <c r="H406" s="41"/>
      <c r="I406" s="123"/>
      <c r="J406" s="123"/>
      <c r="K406" s="123"/>
      <c r="L406" s="123"/>
      <c r="M406" s="41"/>
      <c r="N406" s="123"/>
      <c r="O406" s="65"/>
      <c r="P406" s="123"/>
      <c r="Q406" s="123"/>
      <c r="R406" s="123"/>
      <c r="S406" s="42"/>
      <c r="T406" s="42"/>
      <c r="U406" s="40" t="str">
        <f t="shared" si="9"/>
        <v/>
      </c>
      <c r="V406" s="41"/>
      <c r="W406" s="42"/>
      <c r="X406" s="42"/>
      <c r="Y406" s="43"/>
      <c r="Z406" s="44"/>
      <c r="AA406" s="45" t="str">
        <f t="shared" si="2"/>
        <v/>
      </c>
      <c r="AB406" s="42"/>
      <c r="AC406" s="41"/>
      <c r="AD406" s="41"/>
      <c r="AE406" s="46" t="str">
        <f t="shared" si="3"/>
        <v/>
      </c>
      <c r="AF406" s="46" t="str">
        <f t="shared" si="7"/>
        <v/>
      </c>
      <c r="AG406" s="40" t="str">
        <f t="shared" si="4"/>
        <v/>
      </c>
      <c r="AH406" s="40" t="str">
        <f t="shared" si="5"/>
        <v/>
      </c>
      <c r="AI406" s="40" t="str">
        <f t="shared" si="6"/>
        <v/>
      </c>
    </row>
    <row r="407" ht="15.75" customHeight="1">
      <c r="A407" s="126"/>
      <c r="B407" s="42"/>
      <c r="C407" s="41"/>
      <c r="D407" s="41"/>
      <c r="E407" s="64"/>
      <c r="F407" s="64"/>
      <c r="G407" s="41"/>
      <c r="H407" s="41"/>
      <c r="I407" s="123"/>
      <c r="J407" s="123"/>
      <c r="K407" s="123"/>
      <c r="L407" s="123"/>
      <c r="M407" s="41"/>
      <c r="N407" s="123"/>
      <c r="O407" s="65"/>
      <c r="P407" s="123"/>
      <c r="Q407" s="123"/>
      <c r="R407" s="123"/>
      <c r="S407" s="42"/>
      <c r="T407" s="42"/>
      <c r="U407" s="40" t="str">
        <f t="shared" si="9"/>
        <v/>
      </c>
      <c r="V407" s="41"/>
      <c r="W407" s="42"/>
      <c r="X407" s="42"/>
      <c r="Y407" s="43"/>
      <c r="Z407" s="44"/>
      <c r="AA407" s="45" t="str">
        <f t="shared" si="2"/>
        <v/>
      </c>
      <c r="AB407" s="42"/>
      <c r="AC407" s="41"/>
      <c r="AD407" s="41"/>
      <c r="AE407" s="46" t="str">
        <f t="shared" si="3"/>
        <v/>
      </c>
      <c r="AF407" s="46" t="str">
        <f t="shared" si="7"/>
        <v/>
      </c>
      <c r="AG407" s="40" t="str">
        <f t="shared" si="4"/>
        <v/>
      </c>
      <c r="AH407" s="40" t="str">
        <f t="shared" si="5"/>
        <v/>
      </c>
      <c r="AI407" s="40" t="str">
        <f t="shared" si="6"/>
        <v/>
      </c>
    </row>
    <row r="408" ht="15.75" customHeight="1">
      <c r="A408" s="126"/>
      <c r="B408" s="42"/>
      <c r="C408" s="41"/>
      <c r="D408" s="41"/>
      <c r="E408" s="64"/>
      <c r="F408" s="64"/>
      <c r="G408" s="41"/>
      <c r="H408" s="41"/>
      <c r="I408" s="123"/>
      <c r="J408" s="123"/>
      <c r="K408" s="123"/>
      <c r="L408" s="123"/>
      <c r="M408" s="41"/>
      <c r="N408" s="123"/>
      <c r="O408" s="65"/>
      <c r="P408" s="123"/>
      <c r="Q408" s="123"/>
      <c r="R408" s="123"/>
      <c r="S408" s="42"/>
      <c r="T408" s="42"/>
      <c r="U408" s="40" t="str">
        <f t="shared" si="9"/>
        <v/>
      </c>
      <c r="V408" s="41"/>
      <c r="W408" s="42"/>
      <c r="X408" s="42"/>
      <c r="Y408" s="43"/>
      <c r="Z408" s="44"/>
      <c r="AA408" s="45" t="str">
        <f t="shared" si="2"/>
        <v/>
      </c>
      <c r="AB408" s="42"/>
      <c r="AC408" s="41"/>
      <c r="AD408" s="41"/>
      <c r="AE408" s="46" t="str">
        <f t="shared" si="3"/>
        <v/>
      </c>
      <c r="AF408" s="46" t="str">
        <f t="shared" si="7"/>
        <v/>
      </c>
      <c r="AG408" s="40" t="str">
        <f t="shared" si="4"/>
        <v/>
      </c>
      <c r="AH408" s="40" t="str">
        <f t="shared" si="5"/>
        <v/>
      </c>
      <c r="AI408" s="40" t="str">
        <f t="shared" si="6"/>
        <v/>
      </c>
    </row>
    <row r="409" ht="15.75" customHeight="1">
      <c r="A409" s="126"/>
      <c r="B409" s="42"/>
      <c r="C409" s="41"/>
      <c r="D409" s="41"/>
      <c r="E409" s="64"/>
      <c r="F409" s="64"/>
      <c r="G409" s="41"/>
      <c r="H409" s="41"/>
      <c r="I409" s="123"/>
      <c r="J409" s="123"/>
      <c r="K409" s="123"/>
      <c r="L409" s="123"/>
      <c r="M409" s="41"/>
      <c r="N409" s="123"/>
      <c r="O409" s="65"/>
      <c r="P409" s="123"/>
      <c r="Q409" s="123"/>
      <c r="R409" s="123"/>
      <c r="S409" s="42"/>
      <c r="T409" s="42"/>
      <c r="U409" s="40" t="str">
        <f t="shared" si="9"/>
        <v/>
      </c>
      <c r="V409" s="41"/>
      <c r="W409" s="42"/>
      <c r="X409" s="42"/>
      <c r="Y409" s="43"/>
      <c r="Z409" s="44"/>
      <c r="AA409" s="45" t="str">
        <f t="shared" si="2"/>
        <v/>
      </c>
      <c r="AB409" s="42"/>
      <c r="AC409" s="41"/>
      <c r="AD409" s="41"/>
      <c r="AE409" s="46" t="str">
        <f t="shared" si="3"/>
        <v/>
      </c>
      <c r="AF409" s="46" t="str">
        <f t="shared" si="7"/>
        <v/>
      </c>
      <c r="AG409" s="40" t="str">
        <f t="shared" si="4"/>
        <v/>
      </c>
      <c r="AH409" s="40" t="str">
        <f t="shared" si="5"/>
        <v/>
      </c>
      <c r="AI409" s="40" t="str">
        <f t="shared" si="6"/>
        <v/>
      </c>
    </row>
    <row r="410" ht="15.75" customHeight="1">
      <c r="A410" s="126"/>
      <c r="B410" s="42"/>
      <c r="C410" s="41"/>
      <c r="D410" s="41"/>
      <c r="E410" s="64"/>
      <c r="F410" s="64"/>
      <c r="G410" s="41"/>
      <c r="H410" s="41"/>
      <c r="I410" s="123"/>
      <c r="J410" s="123"/>
      <c r="K410" s="123"/>
      <c r="L410" s="123"/>
      <c r="M410" s="41"/>
      <c r="N410" s="123"/>
      <c r="O410" s="65"/>
      <c r="P410" s="123"/>
      <c r="Q410" s="123"/>
      <c r="R410" s="123"/>
      <c r="S410" s="42"/>
      <c r="T410" s="42"/>
      <c r="U410" s="40" t="str">
        <f t="shared" si="9"/>
        <v/>
      </c>
      <c r="V410" s="41"/>
      <c r="W410" s="42"/>
      <c r="X410" s="42"/>
      <c r="Y410" s="43"/>
      <c r="Z410" s="44"/>
      <c r="AA410" s="45" t="str">
        <f t="shared" si="2"/>
        <v/>
      </c>
      <c r="AB410" s="42"/>
      <c r="AC410" s="41"/>
      <c r="AD410" s="41"/>
      <c r="AE410" s="46" t="str">
        <f t="shared" si="3"/>
        <v/>
      </c>
      <c r="AF410" s="46" t="str">
        <f t="shared" si="7"/>
        <v/>
      </c>
      <c r="AG410" s="40" t="str">
        <f t="shared" si="4"/>
        <v/>
      </c>
      <c r="AH410" s="40" t="str">
        <f t="shared" si="5"/>
        <v/>
      </c>
      <c r="AI410" s="40" t="str">
        <f t="shared" si="6"/>
        <v/>
      </c>
    </row>
    <row r="411" ht="15.75" customHeight="1">
      <c r="A411" s="126"/>
      <c r="B411" s="42"/>
      <c r="C411" s="41"/>
      <c r="D411" s="41"/>
      <c r="E411" s="64"/>
      <c r="F411" s="64"/>
      <c r="G411" s="41"/>
      <c r="H411" s="41"/>
      <c r="I411" s="123"/>
      <c r="J411" s="123"/>
      <c r="K411" s="123"/>
      <c r="L411" s="123"/>
      <c r="M411" s="41"/>
      <c r="N411" s="123"/>
      <c r="O411" s="65"/>
      <c r="P411" s="123"/>
      <c r="Q411" s="123"/>
      <c r="R411" s="123"/>
      <c r="S411" s="42"/>
      <c r="T411" s="42"/>
      <c r="U411" s="40" t="str">
        <f t="shared" si="9"/>
        <v/>
      </c>
      <c r="V411" s="41"/>
      <c r="W411" s="42"/>
      <c r="X411" s="42"/>
      <c r="Y411" s="43"/>
      <c r="Z411" s="44"/>
      <c r="AA411" s="45" t="str">
        <f t="shared" si="2"/>
        <v/>
      </c>
      <c r="AB411" s="42"/>
      <c r="AC411" s="41"/>
      <c r="AD411" s="41"/>
      <c r="AE411" s="46" t="str">
        <f t="shared" si="3"/>
        <v/>
      </c>
      <c r="AF411" s="46" t="str">
        <f t="shared" si="7"/>
        <v/>
      </c>
      <c r="AG411" s="40" t="str">
        <f t="shared" si="4"/>
        <v/>
      </c>
      <c r="AH411" s="40" t="str">
        <f t="shared" si="5"/>
        <v/>
      </c>
      <c r="AI411" s="40" t="str">
        <f t="shared" si="6"/>
        <v/>
      </c>
    </row>
    <row r="412" ht="15.75" customHeight="1">
      <c r="A412" s="126"/>
      <c r="B412" s="42"/>
      <c r="C412" s="41"/>
      <c r="D412" s="41"/>
      <c r="E412" s="64"/>
      <c r="F412" s="64"/>
      <c r="G412" s="41"/>
      <c r="H412" s="41"/>
      <c r="I412" s="123"/>
      <c r="J412" s="123"/>
      <c r="K412" s="123"/>
      <c r="L412" s="123"/>
      <c r="M412" s="41"/>
      <c r="N412" s="123"/>
      <c r="O412" s="65"/>
      <c r="P412" s="123"/>
      <c r="Q412" s="123"/>
      <c r="R412" s="123"/>
      <c r="S412" s="42"/>
      <c r="T412" s="42"/>
      <c r="U412" s="40" t="str">
        <f t="shared" si="9"/>
        <v/>
      </c>
      <c r="V412" s="41"/>
      <c r="W412" s="42"/>
      <c r="X412" s="42"/>
      <c r="Y412" s="43"/>
      <c r="Z412" s="44"/>
      <c r="AA412" s="45" t="str">
        <f t="shared" si="2"/>
        <v/>
      </c>
      <c r="AB412" s="42"/>
      <c r="AC412" s="41"/>
      <c r="AD412" s="41"/>
      <c r="AE412" s="46" t="str">
        <f t="shared" si="3"/>
        <v/>
      </c>
      <c r="AF412" s="46" t="str">
        <f t="shared" si="7"/>
        <v/>
      </c>
      <c r="AG412" s="40" t="str">
        <f t="shared" si="4"/>
        <v/>
      </c>
      <c r="AH412" s="40" t="str">
        <f t="shared" si="5"/>
        <v/>
      </c>
      <c r="AI412" s="40" t="str">
        <f t="shared" si="6"/>
        <v/>
      </c>
    </row>
    <row r="413" ht="15.75" customHeight="1">
      <c r="A413" s="126"/>
      <c r="B413" s="42"/>
      <c r="C413" s="41"/>
      <c r="D413" s="41"/>
      <c r="E413" s="64"/>
      <c r="F413" s="64"/>
      <c r="G413" s="41"/>
      <c r="H413" s="41"/>
      <c r="I413" s="123"/>
      <c r="J413" s="123"/>
      <c r="K413" s="123"/>
      <c r="L413" s="123"/>
      <c r="M413" s="41"/>
      <c r="N413" s="123"/>
      <c r="O413" s="65"/>
      <c r="P413" s="123"/>
      <c r="Q413" s="123"/>
      <c r="R413" s="123"/>
      <c r="S413" s="42"/>
      <c r="T413" s="42"/>
      <c r="U413" s="40" t="str">
        <f t="shared" si="9"/>
        <v/>
      </c>
      <c r="V413" s="41"/>
      <c r="W413" s="42"/>
      <c r="X413" s="42"/>
      <c r="Y413" s="43"/>
      <c r="Z413" s="44"/>
      <c r="AA413" s="45" t="str">
        <f t="shared" si="2"/>
        <v/>
      </c>
      <c r="AB413" s="42"/>
      <c r="AC413" s="41"/>
      <c r="AD413" s="41"/>
      <c r="AE413" s="46" t="str">
        <f t="shared" si="3"/>
        <v/>
      </c>
      <c r="AF413" s="46" t="str">
        <f t="shared" si="7"/>
        <v/>
      </c>
      <c r="AG413" s="40" t="str">
        <f t="shared" si="4"/>
        <v/>
      </c>
      <c r="AH413" s="40" t="str">
        <f t="shared" si="5"/>
        <v/>
      </c>
      <c r="AI413" s="40" t="str">
        <f t="shared" si="6"/>
        <v/>
      </c>
    </row>
    <row r="414" ht="15.75" customHeight="1">
      <c r="A414" s="126"/>
      <c r="B414" s="42"/>
      <c r="C414" s="41"/>
      <c r="D414" s="41"/>
      <c r="E414" s="64"/>
      <c r="F414" s="64"/>
      <c r="G414" s="41"/>
      <c r="H414" s="41"/>
      <c r="I414" s="123"/>
      <c r="J414" s="123"/>
      <c r="K414" s="123"/>
      <c r="L414" s="123"/>
      <c r="M414" s="41"/>
      <c r="N414" s="123"/>
      <c r="O414" s="65"/>
      <c r="P414" s="123"/>
      <c r="Q414" s="123"/>
      <c r="R414" s="123"/>
      <c r="S414" s="42"/>
      <c r="T414" s="42"/>
      <c r="U414" s="40" t="str">
        <f t="shared" si="9"/>
        <v/>
      </c>
      <c r="V414" s="41"/>
      <c r="W414" s="42"/>
      <c r="X414" s="42"/>
      <c r="Y414" s="43"/>
      <c r="Z414" s="44"/>
      <c r="AA414" s="45" t="str">
        <f t="shared" si="2"/>
        <v/>
      </c>
      <c r="AB414" s="42"/>
      <c r="AC414" s="41"/>
      <c r="AD414" s="41"/>
      <c r="AE414" s="46" t="str">
        <f t="shared" si="3"/>
        <v/>
      </c>
      <c r="AF414" s="46" t="str">
        <f t="shared" si="7"/>
        <v/>
      </c>
      <c r="AG414" s="40" t="str">
        <f t="shared" si="4"/>
        <v/>
      </c>
      <c r="AH414" s="40" t="str">
        <f t="shared" si="5"/>
        <v/>
      </c>
      <c r="AI414" s="40" t="str">
        <f t="shared" si="6"/>
        <v/>
      </c>
    </row>
    <row r="415" ht="15.75" customHeight="1">
      <c r="A415" s="126"/>
      <c r="B415" s="42"/>
      <c r="C415" s="41"/>
      <c r="D415" s="41"/>
      <c r="E415" s="64"/>
      <c r="F415" s="64"/>
      <c r="G415" s="41"/>
      <c r="H415" s="41"/>
      <c r="I415" s="123"/>
      <c r="J415" s="123"/>
      <c r="K415" s="123"/>
      <c r="L415" s="123"/>
      <c r="M415" s="41"/>
      <c r="N415" s="123"/>
      <c r="O415" s="65"/>
      <c r="P415" s="123"/>
      <c r="Q415" s="123"/>
      <c r="R415" s="123"/>
      <c r="S415" s="42"/>
      <c r="T415" s="42"/>
      <c r="U415" s="40" t="str">
        <f t="shared" si="9"/>
        <v/>
      </c>
      <c r="V415" s="41"/>
      <c r="W415" s="42"/>
      <c r="X415" s="42"/>
      <c r="Y415" s="43"/>
      <c r="Z415" s="44"/>
      <c r="AA415" s="45" t="str">
        <f t="shared" si="2"/>
        <v/>
      </c>
      <c r="AB415" s="42"/>
      <c r="AC415" s="41"/>
      <c r="AD415" s="41"/>
      <c r="AE415" s="46" t="str">
        <f t="shared" si="3"/>
        <v/>
      </c>
      <c r="AF415" s="46" t="str">
        <f t="shared" si="7"/>
        <v/>
      </c>
      <c r="AG415" s="40" t="str">
        <f t="shared" si="4"/>
        <v/>
      </c>
      <c r="AH415" s="40" t="str">
        <f t="shared" si="5"/>
        <v/>
      </c>
      <c r="AI415" s="40" t="str">
        <f t="shared" si="6"/>
        <v/>
      </c>
    </row>
    <row r="416" ht="15.75" customHeight="1">
      <c r="A416" s="126"/>
      <c r="B416" s="42"/>
      <c r="C416" s="41"/>
      <c r="D416" s="41"/>
      <c r="E416" s="64"/>
      <c r="F416" s="64"/>
      <c r="G416" s="41"/>
      <c r="H416" s="41"/>
      <c r="I416" s="123"/>
      <c r="J416" s="123"/>
      <c r="K416" s="123"/>
      <c r="L416" s="123"/>
      <c r="M416" s="41"/>
      <c r="N416" s="123"/>
      <c r="O416" s="65"/>
      <c r="P416" s="123"/>
      <c r="Q416" s="123"/>
      <c r="R416" s="123"/>
      <c r="S416" s="42"/>
      <c r="T416" s="42"/>
      <c r="U416" s="40" t="str">
        <f t="shared" si="9"/>
        <v/>
      </c>
      <c r="V416" s="41"/>
      <c r="W416" s="42"/>
      <c r="X416" s="42"/>
      <c r="Y416" s="43"/>
      <c r="Z416" s="44"/>
      <c r="AA416" s="45" t="str">
        <f t="shared" si="2"/>
        <v/>
      </c>
      <c r="AB416" s="42"/>
      <c r="AC416" s="41"/>
      <c r="AD416" s="41"/>
      <c r="AE416" s="46" t="str">
        <f t="shared" si="3"/>
        <v/>
      </c>
      <c r="AF416" s="46" t="str">
        <f t="shared" si="7"/>
        <v/>
      </c>
      <c r="AG416" s="40" t="str">
        <f t="shared" si="4"/>
        <v/>
      </c>
      <c r="AH416" s="40" t="str">
        <f t="shared" si="5"/>
        <v/>
      </c>
      <c r="AI416" s="40" t="str">
        <f t="shared" si="6"/>
        <v/>
      </c>
    </row>
    <row r="417" ht="15.75" customHeight="1">
      <c r="A417" s="126"/>
      <c r="B417" s="42"/>
      <c r="C417" s="41"/>
      <c r="D417" s="41"/>
      <c r="E417" s="64"/>
      <c r="F417" s="64"/>
      <c r="G417" s="41"/>
      <c r="H417" s="41"/>
      <c r="I417" s="123"/>
      <c r="J417" s="123"/>
      <c r="K417" s="123"/>
      <c r="L417" s="123"/>
      <c r="M417" s="41"/>
      <c r="N417" s="123"/>
      <c r="O417" s="65"/>
      <c r="P417" s="123"/>
      <c r="Q417" s="123"/>
      <c r="R417" s="123"/>
      <c r="S417" s="42"/>
      <c r="T417" s="42"/>
      <c r="U417" s="40" t="str">
        <f t="shared" si="9"/>
        <v/>
      </c>
      <c r="V417" s="41"/>
      <c r="W417" s="42"/>
      <c r="X417" s="42"/>
      <c r="Y417" s="43"/>
      <c r="Z417" s="44"/>
      <c r="AA417" s="45" t="str">
        <f t="shared" si="2"/>
        <v/>
      </c>
      <c r="AB417" s="42"/>
      <c r="AC417" s="41"/>
      <c r="AD417" s="41"/>
      <c r="AE417" s="46" t="str">
        <f t="shared" si="3"/>
        <v/>
      </c>
      <c r="AF417" s="46" t="str">
        <f t="shared" si="7"/>
        <v/>
      </c>
      <c r="AG417" s="40" t="str">
        <f t="shared" si="4"/>
        <v/>
      </c>
      <c r="AH417" s="40" t="str">
        <f t="shared" si="5"/>
        <v/>
      </c>
      <c r="AI417" s="40" t="str">
        <f t="shared" si="6"/>
        <v/>
      </c>
    </row>
    <row r="418" ht="15.75" customHeight="1">
      <c r="A418" s="126"/>
      <c r="B418" s="42"/>
      <c r="C418" s="41"/>
      <c r="D418" s="41"/>
      <c r="E418" s="64"/>
      <c r="F418" s="64"/>
      <c r="G418" s="41"/>
      <c r="H418" s="41"/>
      <c r="I418" s="123"/>
      <c r="J418" s="123"/>
      <c r="K418" s="123"/>
      <c r="L418" s="123"/>
      <c r="M418" s="41"/>
      <c r="N418" s="123"/>
      <c r="O418" s="65"/>
      <c r="P418" s="123"/>
      <c r="Q418" s="123"/>
      <c r="R418" s="123"/>
      <c r="S418" s="42"/>
      <c r="T418" s="42"/>
      <c r="U418" s="40" t="str">
        <f t="shared" si="9"/>
        <v/>
      </c>
      <c r="V418" s="41"/>
      <c r="W418" s="42"/>
      <c r="X418" s="42"/>
      <c r="Y418" s="43"/>
      <c r="Z418" s="44"/>
      <c r="AA418" s="45" t="str">
        <f t="shared" si="2"/>
        <v/>
      </c>
      <c r="AB418" s="42"/>
      <c r="AC418" s="41"/>
      <c r="AD418" s="41"/>
      <c r="AE418" s="46" t="str">
        <f t="shared" si="3"/>
        <v/>
      </c>
      <c r="AF418" s="46" t="str">
        <f t="shared" si="7"/>
        <v/>
      </c>
      <c r="AG418" s="40" t="str">
        <f t="shared" si="4"/>
        <v/>
      </c>
      <c r="AH418" s="40" t="str">
        <f t="shared" si="5"/>
        <v/>
      </c>
      <c r="AI418" s="40" t="str">
        <f t="shared" si="6"/>
        <v/>
      </c>
    </row>
    <row r="419" ht="15.75" customHeight="1">
      <c r="A419" s="126"/>
      <c r="B419" s="42"/>
      <c r="C419" s="41"/>
      <c r="D419" s="41"/>
      <c r="E419" s="64"/>
      <c r="F419" s="64"/>
      <c r="G419" s="41"/>
      <c r="H419" s="41"/>
      <c r="I419" s="123"/>
      <c r="J419" s="123"/>
      <c r="K419" s="123"/>
      <c r="L419" s="123"/>
      <c r="M419" s="41"/>
      <c r="N419" s="123"/>
      <c r="O419" s="65"/>
      <c r="P419" s="123"/>
      <c r="Q419" s="123"/>
      <c r="R419" s="123"/>
      <c r="S419" s="42"/>
      <c r="T419" s="42"/>
      <c r="U419" s="40" t="str">
        <f t="shared" si="9"/>
        <v/>
      </c>
      <c r="V419" s="41"/>
      <c r="W419" s="42"/>
      <c r="X419" s="42"/>
      <c r="Y419" s="43"/>
      <c r="Z419" s="44"/>
      <c r="AA419" s="45" t="str">
        <f t="shared" si="2"/>
        <v/>
      </c>
      <c r="AB419" s="42"/>
      <c r="AC419" s="41"/>
      <c r="AD419" s="41"/>
      <c r="AE419" s="46" t="str">
        <f t="shared" si="3"/>
        <v/>
      </c>
      <c r="AF419" s="46" t="str">
        <f t="shared" si="7"/>
        <v/>
      </c>
      <c r="AG419" s="40" t="str">
        <f t="shared" si="4"/>
        <v/>
      </c>
      <c r="AH419" s="40" t="str">
        <f t="shared" si="5"/>
        <v/>
      </c>
      <c r="AI419" s="40" t="str">
        <f t="shared" si="6"/>
        <v/>
      </c>
    </row>
    <row r="420" ht="15.75" customHeight="1">
      <c r="A420" s="126"/>
      <c r="B420" s="42"/>
      <c r="C420" s="41"/>
      <c r="D420" s="41"/>
      <c r="E420" s="64"/>
      <c r="F420" s="64"/>
      <c r="G420" s="41"/>
      <c r="H420" s="41"/>
      <c r="I420" s="123"/>
      <c r="J420" s="123"/>
      <c r="K420" s="123"/>
      <c r="L420" s="123"/>
      <c r="M420" s="41"/>
      <c r="N420" s="123"/>
      <c r="O420" s="65"/>
      <c r="P420" s="123"/>
      <c r="Q420" s="123"/>
      <c r="R420" s="123"/>
      <c r="S420" s="42"/>
      <c r="T420" s="42"/>
      <c r="U420" s="40" t="str">
        <f t="shared" si="9"/>
        <v/>
      </c>
      <c r="V420" s="41"/>
      <c r="W420" s="42"/>
      <c r="X420" s="42"/>
      <c r="Y420" s="43"/>
      <c r="Z420" s="44"/>
      <c r="AA420" s="45" t="str">
        <f t="shared" si="2"/>
        <v/>
      </c>
      <c r="AB420" s="42"/>
      <c r="AC420" s="41"/>
      <c r="AD420" s="41"/>
      <c r="AE420" s="46" t="str">
        <f t="shared" si="3"/>
        <v/>
      </c>
      <c r="AF420" s="46" t="str">
        <f t="shared" si="7"/>
        <v/>
      </c>
      <c r="AG420" s="40" t="str">
        <f t="shared" si="4"/>
        <v/>
      </c>
      <c r="AH420" s="40" t="str">
        <f t="shared" si="5"/>
        <v/>
      </c>
      <c r="AI420" s="40" t="str">
        <f t="shared" si="6"/>
        <v/>
      </c>
    </row>
    <row r="421" ht="15.75" customHeight="1">
      <c r="A421" s="126"/>
      <c r="B421" s="42"/>
      <c r="C421" s="41"/>
      <c r="D421" s="41"/>
      <c r="E421" s="64"/>
      <c r="F421" s="64"/>
      <c r="G421" s="41"/>
      <c r="H421" s="41"/>
      <c r="I421" s="123"/>
      <c r="J421" s="123"/>
      <c r="K421" s="123"/>
      <c r="L421" s="123"/>
      <c r="M421" s="41"/>
      <c r="N421" s="123"/>
      <c r="O421" s="65"/>
      <c r="P421" s="123"/>
      <c r="Q421" s="123"/>
      <c r="R421" s="123"/>
      <c r="S421" s="42"/>
      <c r="T421" s="42"/>
      <c r="U421" s="40" t="str">
        <f t="shared" si="9"/>
        <v/>
      </c>
      <c r="V421" s="41"/>
      <c r="W421" s="42"/>
      <c r="X421" s="42"/>
      <c r="Y421" s="43"/>
      <c r="Z421" s="44"/>
      <c r="AA421" s="45" t="str">
        <f t="shared" si="2"/>
        <v/>
      </c>
      <c r="AB421" s="42"/>
      <c r="AC421" s="41"/>
      <c r="AD421" s="41"/>
      <c r="AE421" s="46" t="str">
        <f t="shared" si="3"/>
        <v/>
      </c>
      <c r="AF421" s="46" t="str">
        <f t="shared" si="7"/>
        <v/>
      </c>
      <c r="AG421" s="40" t="str">
        <f t="shared" si="4"/>
        <v/>
      </c>
      <c r="AH421" s="40" t="str">
        <f t="shared" si="5"/>
        <v/>
      </c>
      <c r="AI421" s="40" t="str">
        <f t="shared" si="6"/>
        <v/>
      </c>
    </row>
    <row r="422" ht="15.75" customHeight="1">
      <c r="A422" s="126"/>
      <c r="B422" s="42"/>
      <c r="C422" s="41"/>
      <c r="D422" s="41"/>
      <c r="E422" s="64"/>
      <c r="F422" s="64"/>
      <c r="G422" s="41"/>
      <c r="H422" s="41"/>
      <c r="I422" s="123"/>
      <c r="J422" s="123"/>
      <c r="K422" s="123"/>
      <c r="L422" s="123"/>
      <c r="M422" s="41"/>
      <c r="N422" s="123"/>
      <c r="O422" s="65"/>
      <c r="P422" s="123"/>
      <c r="Q422" s="123"/>
      <c r="R422" s="123"/>
      <c r="S422" s="42"/>
      <c r="T422" s="42"/>
      <c r="U422" s="40" t="str">
        <f t="shared" si="9"/>
        <v/>
      </c>
      <c r="V422" s="41"/>
      <c r="W422" s="42"/>
      <c r="X422" s="42"/>
      <c r="Y422" s="43"/>
      <c r="Z422" s="44"/>
      <c r="AA422" s="45" t="str">
        <f t="shared" si="2"/>
        <v/>
      </c>
      <c r="AB422" s="42"/>
      <c r="AC422" s="41"/>
      <c r="AD422" s="41"/>
      <c r="AE422" s="46" t="str">
        <f t="shared" si="3"/>
        <v/>
      </c>
      <c r="AF422" s="46" t="str">
        <f t="shared" si="7"/>
        <v/>
      </c>
      <c r="AG422" s="40" t="str">
        <f t="shared" si="4"/>
        <v/>
      </c>
      <c r="AH422" s="40" t="str">
        <f t="shared" si="5"/>
        <v/>
      </c>
      <c r="AI422" s="40" t="str">
        <f t="shared" si="6"/>
        <v/>
      </c>
    </row>
    <row r="423" ht="15.75" customHeight="1">
      <c r="A423" s="126"/>
      <c r="B423" s="42"/>
      <c r="C423" s="41"/>
      <c r="D423" s="41"/>
      <c r="E423" s="64"/>
      <c r="F423" s="64"/>
      <c r="G423" s="41"/>
      <c r="H423" s="41"/>
      <c r="I423" s="123"/>
      <c r="J423" s="123"/>
      <c r="K423" s="123"/>
      <c r="L423" s="123"/>
      <c r="M423" s="41"/>
      <c r="N423" s="123"/>
      <c r="O423" s="65"/>
      <c r="P423" s="123"/>
      <c r="Q423" s="123"/>
      <c r="R423" s="123"/>
      <c r="S423" s="42"/>
      <c r="T423" s="42"/>
      <c r="U423" s="40" t="str">
        <f t="shared" si="9"/>
        <v/>
      </c>
      <c r="V423" s="41"/>
      <c r="W423" s="42"/>
      <c r="X423" s="42"/>
      <c r="Y423" s="43"/>
      <c r="Z423" s="44"/>
      <c r="AA423" s="45" t="str">
        <f t="shared" si="2"/>
        <v/>
      </c>
      <c r="AB423" s="42"/>
      <c r="AC423" s="41"/>
      <c r="AD423" s="41"/>
      <c r="AE423" s="46" t="str">
        <f t="shared" si="3"/>
        <v/>
      </c>
      <c r="AF423" s="46" t="str">
        <f t="shared" si="7"/>
        <v/>
      </c>
      <c r="AG423" s="40" t="str">
        <f t="shared" si="4"/>
        <v/>
      </c>
      <c r="AH423" s="40" t="str">
        <f t="shared" si="5"/>
        <v/>
      </c>
      <c r="AI423" s="40" t="str">
        <f t="shared" si="6"/>
        <v/>
      </c>
    </row>
    <row r="424" ht="15.75" customHeight="1">
      <c r="A424" s="126"/>
      <c r="B424" s="42"/>
      <c r="C424" s="41"/>
      <c r="D424" s="41"/>
      <c r="E424" s="64"/>
      <c r="F424" s="64"/>
      <c r="G424" s="41"/>
      <c r="H424" s="41"/>
      <c r="I424" s="123"/>
      <c r="J424" s="123"/>
      <c r="K424" s="123"/>
      <c r="L424" s="123"/>
      <c r="M424" s="41"/>
      <c r="N424" s="123"/>
      <c r="O424" s="65"/>
      <c r="P424" s="123"/>
      <c r="Q424" s="123"/>
      <c r="R424" s="123"/>
      <c r="S424" s="42"/>
      <c r="T424" s="42"/>
      <c r="U424" s="40" t="str">
        <f t="shared" si="9"/>
        <v/>
      </c>
      <c r="V424" s="41"/>
      <c r="W424" s="42"/>
      <c r="X424" s="42"/>
      <c r="Y424" s="43"/>
      <c r="Z424" s="44"/>
      <c r="AA424" s="45" t="str">
        <f t="shared" si="2"/>
        <v/>
      </c>
      <c r="AB424" s="42"/>
      <c r="AC424" s="41"/>
      <c r="AD424" s="41"/>
      <c r="AE424" s="46" t="str">
        <f t="shared" si="3"/>
        <v/>
      </c>
      <c r="AF424" s="46" t="str">
        <f t="shared" si="7"/>
        <v/>
      </c>
      <c r="AG424" s="40" t="str">
        <f t="shared" si="4"/>
        <v/>
      </c>
      <c r="AH424" s="40" t="str">
        <f t="shared" si="5"/>
        <v/>
      </c>
      <c r="AI424" s="40" t="str">
        <f t="shared" si="6"/>
        <v/>
      </c>
    </row>
    <row r="425" ht="15.75" customHeight="1">
      <c r="A425" s="126"/>
      <c r="B425" s="42"/>
      <c r="C425" s="41"/>
      <c r="D425" s="41"/>
      <c r="E425" s="64"/>
      <c r="F425" s="64"/>
      <c r="G425" s="41"/>
      <c r="H425" s="41"/>
      <c r="I425" s="123"/>
      <c r="J425" s="123"/>
      <c r="K425" s="123"/>
      <c r="L425" s="123"/>
      <c r="M425" s="41"/>
      <c r="N425" s="123"/>
      <c r="O425" s="65"/>
      <c r="P425" s="123"/>
      <c r="Q425" s="123"/>
      <c r="R425" s="123"/>
      <c r="S425" s="42"/>
      <c r="T425" s="42"/>
      <c r="U425" s="40" t="str">
        <f t="shared" si="9"/>
        <v/>
      </c>
      <c r="V425" s="41"/>
      <c r="W425" s="42"/>
      <c r="X425" s="42"/>
      <c r="Y425" s="43"/>
      <c r="Z425" s="44"/>
      <c r="AA425" s="45" t="str">
        <f t="shared" si="2"/>
        <v/>
      </c>
      <c r="AB425" s="42"/>
      <c r="AC425" s="41"/>
      <c r="AD425" s="41"/>
      <c r="AE425" s="46" t="str">
        <f t="shared" si="3"/>
        <v/>
      </c>
      <c r="AF425" s="46" t="str">
        <f t="shared" si="7"/>
        <v/>
      </c>
      <c r="AG425" s="40" t="str">
        <f t="shared" si="4"/>
        <v/>
      </c>
      <c r="AH425" s="40" t="str">
        <f t="shared" si="5"/>
        <v/>
      </c>
      <c r="AI425" s="40" t="str">
        <f t="shared" si="6"/>
        <v/>
      </c>
    </row>
    <row r="426" ht="15.75" customHeight="1">
      <c r="A426" s="126"/>
      <c r="B426" s="42"/>
      <c r="C426" s="41"/>
      <c r="D426" s="41"/>
      <c r="E426" s="64"/>
      <c r="F426" s="64"/>
      <c r="G426" s="41"/>
      <c r="H426" s="41"/>
      <c r="I426" s="123"/>
      <c r="J426" s="123"/>
      <c r="K426" s="123"/>
      <c r="L426" s="123"/>
      <c r="M426" s="41"/>
      <c r="N426" s="123"/>
      <c r="O426" s="65"/>
      <c r="P426" s="123"/>
      <c r="Q426" s="123"/>
      <c r="R426" s="123"/>
      <c r="S426" s="42"/>
      <c r="T426" s="42"/>
      <c r="U426" s="40" t="str">
        <f t="shared" si="9"/>
        <v/>
      </c>
      <c r="V426" s="41"/>
      <c r="W426" s="42"/>
      <c r="X426" s="42"/>
      <c r="Y426" s="43"/>
      <c r="Z426" s="44"/>
      <c r="AA426" s="45" t="str">
        <f t="shared" si="2"/>
        <v/>
      </c>
      <c r="AB426" s="42"/>
      <c r="AC426" s="41"/>
      <c r="AD426" s="41"/>
      <c r="AE426" s="46" t="str">
        <f t="shared" si="3"/>
        <v/>
      </c>
      <c r="AF426" s="46" t="str">
        <f t="shared" si="7"/>
        <v/>
      </c>
      <c r="AG426" s="40" t="str">
        <f t="shared" si="4"/>
        <v/>
      </c>
      <c r="AH426" s="40" t="str">
        <f t="shared" si="5"/>
        <v/>
      </c>
      <c r="AI426" s="40" t="str">
        <f t="shared" si="6"/>
        <v/>
      </c>
    </row>
    <row r="427" ht="15.75" customHeight="1">
      <c r="A427" s="126"/>
      <c r="B427" s="42"/>
      <c r="C427" s="41"/>
      <c r="D427" s="41"/>
      <c r="E427" s="64"/>
      <c r="F427" s="64"/>
      <c r="G427" s="41"/>
      <c r="H427" s="41"/>
      <c r="I427" s="123"/>
      <c r="J427" s="123"/>
      <c r="K427" s="123"/>
      <c r="L427" s="123"/>
      <c r="M427" s="41"/>
      <c r="N427" s="123"/>
      <c r="O427" s="65"/>
      <c r="P427" s="123"/>
      <c r="Q427" s="123"/>
      <c r="R427" s="123"/>
      <c r="S427" s="42"/>
      <c r="T427" s="42"/>
      <c r="U427" s="40" t="str">
        <f t="shared" si="9"/>
        <v/>
      </c>
      <c r="V427" s="41"/>
      <c r="W427" s="42"/>
      <c r="X427" s="42"/>
      <c r="Y427" s="43"/>
      <c r="Z427" s="44"/>
      <c r="AA427" s="45" t="str">
        <f t="shared" si="2"/>
        <v/>
      </c>
      <c r="AB427" s="42"/>
      <c r="AC427" s="41"/>
      <c r="AD427" s="41"/>
      <c r="AE427" s="46" t="str">
        <f t="shared" si="3"/>
        <v/>
      </c>
      <c r="AF427" s="46" t="str">
        <f t="shared" si="7"/>
        <v/>
      </c>
      <c r="AG427" s="40" t="str">
        <f t="shared" si="4"/>
        <v/>
      </c>
      <c r="AH427" s="40" t="str">
        <f t="shared" si="5"/>
        <v/>
      </c>
      <c r="AI427" s="40" t="str">
        <f t="shared" si="6"/>
        <v/>
      </c>
    </row>
    <row r="428" ht="15.75" customHeight="1">
      <c r="A428" s="126"/>
      <c r="B428" s="42"/>
      <c r="C428" s="41"/>
      <c r="D428" s="41"/>
      <c r="E428" s="64"/>
      <c r="F428" s="64"/>
      <c r="G428" s="41"/>
      <c r="H428" s="41"/>
      <c r="I428" s="123"/>
      <c r="J428" s="123"/>
      <c r="K428" s="123"/>
      <c r="L428" s="123"/>
      <c r="M428" s="41"/>
      <c r="N428" s="123"/>
      <c r="O428" s="65"/>
      <c r="P428" s="123"/>
      <c r="Q428" s="123"/>
      <c r="R428" s="123"/>
      <c r="S428" s="42"/>
      <c r="T428" s="42"/>
      <c r="U428" s="40" t="str">
        <f t="shared" si="9"/>
        <v/>
      </c>
      <c r="V428" s="41"/>
      <c r="W428" s="42"/>
      <c r="X428" s="42"/>
      <c r="Y428" s="43"/>
      <c r="Z428" s="44"/>
      <c r="AA428" s="45" t="str">
        <f t="shared" si="2"/>
        <v/>
      </c>
      <c r="AB428" s="42"/>
      <c r="AC428" s="41"/>
      <c r="AD428" s="41"/>
      <c r="AE428" s="46" t="str">
        <f t="shared" si="3"/>
        <v/>
      </c>
      <c r="AF428" s="46" t="str">
        <f t="shared" si="7"/>
        <v/>
      </c>
      <c r="AG428" s="40" t="str">
        <f t="shared" si="4"/>
        <v/>
      </c>
      <c r="AH428" s="40" t="str">
        <f t="shared" si="5"/>
        <v/>
      </c>
      <c r="AI428" s="40" t="str">
        <f t="shared" si="6"/>
        <v/>
      </c>
    </row>
    <row r="429" ht="15.75" customHeight="1">
      <c r="A429" s="126"/>
      <c r="B429" s="42"/>
      <c r="C429" s="41"/>
      <c r="D429" s="41"/>
      <c r="E429" s="64"/>
      <c r="F429" s="64"/>
      <c r="G429" s="41"/>
      <c r="H429" s="41"/>
      <c r="I429" s="123"/>
      <c r="J429" s="123"/>
      <c r="K429" s="123"/>
      <c r="L429" s="123"/>
      <c r="M429" s="41"/>
      <c r="N429" s="123"/>
      <c r="O429" s="65"/>
      <c r="P429" s="123"/>
      <c r="Q429" s="123"/>
      <c r="R429" s="123"/>
      <c r="S429" s="42"/>
      <c r="T429" s="42"/>
      <c r="U429" s="40" t="str">
        <f t="shared" si="9"/>
        <v/>
      </c>
      <c r="V429" s="41"/>
      <c r="W429" s="42"/>
      <c r="X429" s="42"/>
      <c r="Y429" s="43"/>
      <c r="Z429" s="44"/>
      <c r="AA429" s="45" t="str">
        <f t="shared" si="2"/>
        <v/>
      </c>
      <c r="AB429" s="42"/>
      <c r="AC429" s="41"/>
      <c r="AD429" s="41"/>
      <c r="AE429" s="46" t="str">
        <f t="shared" si="3"/>
        <v/>
      </c>
      <c r="AF429" s="46" t="str">
        <f t="shared" si="7"/>
        <v/>
      </c>
      <c r="AG429" s="40" t="str">
        <f t="shared" si="4"/>
        <v/>
      </c>
      <c r="AH429" s="40" t="str">
        <f t="shared" si="5"/>
        <v/>
      </c>
      <c r="AI429" s="40" t="str">
        <f t="shared" si="6"/>
        <v/>
      </c>
    </row>
    <row r="430" ht="15.75" customHeight="1">
      <c r="A430" s="126"/>
      <c r="B430" s="42"/>
      <c r="C430" s="41"/>
      <c r="D430" s="41"/>
      <c r="E430" s="64"/>
      <c r="F430" s="64"/>
      <c r="G430" s="41"/>
      <c r="H430" s="41"/>
      <c r="I430" s="123"/>
      <c r="J430" s="123"/>
      <c r="K430" s="123"/>
      <c r="L430" s="123"/>
      <c r="M430" s="41"/>
      <c r="N430" s="123"/>
      <c r="O430" s="65"/>
      <c r="P430" s="123"/>
      <c r="Q430" s="123"/>
      <c r="R430" s="123"/>
      <c r="S430" s="42"/>
      <c r="T430" s="42"/>
      <c r="U430" s="40" t="str">
        <f t="shared" si="9"/>
        <v/>
      </c>
      <c r="V430" s="41"/>
      <c r="W430" s="42"/>
      <c r="X430" s="42"/>
      <c r="Y430" s="43"/>
      <c r="Z430" s="44"/>
      <c r="AA430" s="45" t="str">
        <f t="shared" si="2"/>
        <v/>
      </c>
      <c r="AB430" s="42"/>
      <c r="AC430" s="41"/>
      <c r="AD430" s="41"/>
      <c r="AE430" s="46" t="str">
        <f t="shared" si="3"/>
        <v/>
      </c>
      <c r="AF430" s="46" t="str">
        <f t="shared" si="7"/>
        <v/>
      </c>
      <c r="AG430" s="40" t="str">
        <f t="shared" si="4"/>
        <v/>
      </c>
      <c r="AH430" s="40" t="str">
        <f t="shared" si="5"/>
        <v/>
      </c>
      <c r="AI430" s="40" t="str">
        <f t="shared" si="6"/>
        <v/>
      </c>
    </row>
    <row r="431" ht="15.75" customHeight="1">
      <c r="A431" s="126"/>
      <c r="B431" s="42"/>
      <c r="C431" s="41"/>
      <c r="D431" s="41"/>
      <c r="E431" s="64"/>
      <c r="F431" s="64"/>
      <c r="G431" s="41"/>
      <c r="H431" s="41"/>
      <c r="I431" s="123"/>
      <c r="J431" s="123"/>
      <c r="K431" s="123"/>
      <c r="L431" s="123"/>
      <c r="M431" s="41"/>
      <c r="N431" s="123"/>
      <c r="O431" s="65"/>
      <c r="P431" s="123"/>
      <c r="Q431" s="123"/>
      <c r="R431" s="123"/>
      <c r="S431" s="42"/>
      <c r="T431" s="42"/>
      <c r="U431" s="40" t="str">
        <f t="shared" si="9"/>
        <v/>
      </c>
      <c r="V431" s="41"/>
      <c r="W431" s="42"/>
      <c r="X431" s="42"/>
      <c r="Y431" s="43"/>
      <c r="Z431" s="44"/>
      <c r="AA431" s="45" t="str">
        <f t="shared" si="2"/>
        <v/>
      </c>
      <c r="AB431" s="42"/>
      <c r="AC431" s="41"/>
      <c r="AD431" s="41"/>
      <c r="AE431" s="46" t="str">
        <f t="shared" si="3"/>
        <v/>
      </c>
      <c r="AF431" s="46" t="str">
        <f t="shared" si="7"/>
        <v/>
      </c>
      <c r="AG431" s="40" t="str">
        <f t="shared" si="4"/>
        <v/>
      </c>
      <c r="AH431" s="40" t="str">
        <f t="shared" si="5"/>
        <v/>
      </c>
      <c r="AI431" s="40" t="str">
        <f t="shared" si="6"/>
        <v/>
      </c>
    </row>
    <row r="432" ht="15.75" customHeight="1">
      <c r="A432" s="126"/>
      <c r="B432" s="42"/>
      <c r="C432" s="41"/>
      <c r="D432" s="41"/>
      <c r="E432" s="64"/>
      <c r="F432" s="64"/>
      <c r="G432" s="41"/>
      <c r="H432" s="41"/>
      <c r="I432" s="123"/>
      <c r="J432" s="123"/>
      <c r="K432" s="123"/>
      <c r="L432" s="123"/>
      <c r="M432" s="41"/>
      <c r="N432" s="123"/>
      <c r="O432" s="65"/>
      <c r="P432" s="123"/>
      <c r="Q432" s="123"/>
      <c r="R432" s="123"/>
      <c r="S432" s="42"/>
      <c r="T432" s="42"/>
      <c r="U432" s="40" t="str">
        <f t="shared" si="9"/>
        <v/>
      </c>
      <c r="V432" s="41"/>
      <c r="W432" s="42"/>
      <c r="X432" s="42"/>
      <c r="Y432" s="43"/>
      <c r="Z432" s="44"/>
      <c r="AA432" s="45" t="str">
        <f t="shared" si="2"/>
        <v/>
      </c>
      <c r="AB432" s="42"/>
      <c r="AC432" s="41"/>
      <c r="AD432" s="41"/>
      <c r="AE432" s="46" t="str">
        <f t="shared" si="3"/>
        <v/>
      </c>
      <c r="AF432" s="46" t="str">
        <f t="shared" si="7"/>
        <v/>
      </c>
      <c r="AG432" s="40" t="str">
        <f t="shared" si="4"/>
        <v/>
      </c>
      <c r="AH432" s="40" t="str">
        <f t="shared" si="5"/>
        <v/>
      </c>
      <c r="AI432" s="40" t="str">
        <f t="shared" si="6"/>
        <v/>
      </c>
    </row>
    <row r="433" ht="15.75" customHeight="1">
      <c r="A433" s="126"/>
      <c r="B433" s="42"/>
      <c r="C433" s="41"/>
      <c r="D433" s="41"/>
      <c r="E433" s="64"/>
      <c r="F433" s="64"/>
      <c r="G433" s="41"/>
      <c r="H433" s="41"/>
      <c r="I433" s="123"/>
      <c r="J433" s="123"/>
      <c r="K433" s="123"/>
      <c r="L433" s="123"/>
      <c r="M433" s="41"/>
      <c r="N433" s="123"/>
      <c r="O433" s="65"/>
      <c r="P433" s="123"/>
      <c r="Q433" s="123"/>
      <c r="R433" s="123"/>
      <c r="S433" s="42"/>
      <c r="T433" s="42"/>
      <c r="U433" s="40" t="str">
        <f t="shared" si="9"/>
        <v/>
      </c>
      <c r="V433" s="41"/>
      <c r="W433" s="42"/>
      <c r="X433" s="42"/>
      <c r="Y433" s="43"/>
      <c r="Z433" s="44"/>
      <c r="AA433" s="45" t="str">
        <f t="shared" si="2"/>
        <v/>
      </c>
      <c r="AB433" s="42"/>
      <c r="AC433" s="41"/>
      <c r="AD433" s="41"/>
      <c r="AE433" s="46" t="str">
        <f t="shared" si="3"/>
        <v/>
      </c>
      <c r="AF433" s="46" t="str">
        <f t="shared" si="7"/>
        <v/>
      </c>
      <c r="AG433" s="40" t="str">
        <f t="shared" si="4"/>
        <v/>
      </c>
      <c r="AH433" s="40" t="str">
        <f t="shared" si="5"/>
        <v/>
      </c>
      <c r="AI433" s="40" t="str">
        <f t="shared" si="6"/>
        <v/>
      </c>
    </row>
    <row r="434" ht="15.75" customHeight="1">
      <c r="A434" s="126"/>
      <c r="B434" s="42"/>
      <c r="C434" s="41"/>
      <c r="D434" s="41"/>
      <c r="E434" s="64"/>
      <c r="F434" s="64"/>
      <c r="G434" s="41"/>
      <c r="H434" s="41"/>
      <c r="I434" s="123"/>
      <c r="J434" s="123"/>
      <c r="K434" s="123"/>
      <c r="L434" s="123"/>
      <c r="M434" s="41"/>
      <c r="N434" s="123"/>
      <c r="O434" s="65"/>
      <c r="P434" s="123"/>
      <c r="Q434" s="123"/>
      <c r="R434" s="123"/>
      <c r="S434" s="42"/>
      <c r="T434" s="42"/>
      <c r="U434" s="40" t="str">
        <f t="shared" si="9"/>
        <v/>
      </c>
      <c r="V434" s="41"/>
      <c r="W434" s="42"/>
      <c r="X434" s="42"/>
      <c r="Y434" s="43"/>
      <c r="Z434" s="44"/>
      <c r="AA434" s="45" t="str">
        <f t="shared" si="2"/>
        <v/>
      </c>
      <c r="AB434" s="42"/>
      <c r="AC434" s="41"/>
      <c r="AD434" s="41"/>
      <c r="AE434" s="46" t="str">
        <f t="shared" si="3"/>
        <v/>
      </c>
      <c r="AF434" s="46" t="str">
        <f t="shared" si="7"/>
        <v/>
      </c>
      <c r="AG434" s="40" t="str">
        <f t="shared" si="4"/>
        <v/>
      </c>
      <c r="AH434" s="40" t="str">
        <f t="shared" si="5"/>
        <v/>
      </c>
      <c r="AI434" s="40" t="str">
        <f t="shared" si="6"/>
        <v/>
      </c>
    </row>
    <row r="435" ht="15.75" customHeight="1">
      <c r="A435" s="126"/>
      <c r="B435" s="42"/>
      <c r="C435" s="41"/>
      <c r="D435" s="41"/>
      <c r="E435" s="64"/>
      <c r="F435" s="64"/>
      <c r="G435" s="41"/>
      <c r="H435" s="41"/>
      <c r="I435" s="123"/>
      <c r="J435" s="123"/>
      <c r="K435" s="123"/>
      <c r="L435" s="123"/>
      <c r="M435" s="41"/>
      <c r="N435" s="123"/>
      <c r="O435" s="65"/>
      <c r="P435" s="123"/>
      <c r="Q435" s="123"/>
      <c r="R435" s="123"/>
      <c r="S435" s="42"/>
      <c r="T435" s="42"/>
      <c r="U435" s="40" t="str">
        <f t="shared" si="9"/>
        <v/>
      </c>
      <c r="V435" s="41"/>
      <c r="W435" s="42"/>
      <c r="X435" s="42"/>
      <c r="Y435" s="43"/>
      <c r="Z435" s="44"/>
      <c r="AA435" s="45" t="str">
        <f t="shared" si="2"/>
        <v/>
      </c>
      <c r="AB435" s="42"/>
      <c r="AC435" s="41"/>
      <c r="AD435" s="41"/>
      <c r="AE435" s="46" t="str">
        <f t="shared" si="3"/>
        <v/>
      </c>
      <c r="AF435" s="46" t="str">
        <f t="shared" si="7"/>
        <v/>
      </c>
      <c r="AG435" s="40" t="str">
        <f t="shared" si="4"/>
        <v/>
      </c>
      <c r="AH435" s="40" t="str">
        <f t="shared" si="5"/>
        <v/>
      </c>
      <c r="AI435" s="40" t="str">
        <f t="shared" si="6"/>
        <v/>
      </c>
    </row>
    <row r="436" ht="15.75" customHeight="1">
      <c r="A436" s="126"/>
      <c r="B436" s="42"/>
      <c r="C436" s="41"/>
      <c r="D436" s="41"/>
      <c r="E436" s="64"/>
      <c r="F436" s="64"/>
      <c r="G436" s="41"/>
      <c r="H436" s="41"/>
      <c r="I436" s="123"/>
      <c r="J436" s="123"/>
      <c r="K436" s="123"/>
      <c r="L436" s="123"/>
      <c r="M436" s="41"/>
      <c r="N436" s="123"/>
      <c r="O436" s="65"/>
      <c r="P436" s="123"/>
      <c r="Q436" s="123"/>
      <c r="R436" s="123"/>
      <c r="S436" s="42"/>
      <c r="T436" s="42"/>
      <c r="U436" s="40" t="str">
        <f t="shared" si="9"/>
        <v/>
      </c>
      <c r="V436" s="41"/>
      <c r="W436" s="42"/>
      <c r="X436" s="42"/>
      <c r="Y436" s="43"/>
      <c r="Z436" s="44"/>
      <c r="AA436" s="45" t="str">
        <f t="shared" si="2"/>
        <v/>
      </c>
      <c r="AB436" s="42"/>
      <c r="AC436" s="41"/>
      <c r="AD436" s="41"/>
      <c r="AE436" s="46" t="str">
        <f t="shared" si="3"/>
        <v/>
      </c>
      <c r="AF436" s="46" t="str">
        <f t="shared" si="7"/>
        <v/>
      </c>
      <c r="AG436" s="40" t="str">
        <f t="shared" si="4"/>
        <v/>
      </c>
      <c r="AH436" s="40" t="str">
        <f t="shared" si="5"/>
        <v/>
      </c>
      <c r="AI436" s="40" t="str">
        <f t="shared" si="6"/>
        <v/>
      </c>
    </row>
    <row r="437" ht="15.75" customHeight="1">
      <c r="A437" s="126"/>
      <c r="B437" s="42"/>
      <c r="C437" s="41"/>
      <c r="D437" s="41"/>
      <c r="E437" s="64"/>
      <c r="F437" s="64"/>
      <c r="G437" s="41"/>
      <c r="H437" s="41"/>
      <c r="I437" s="123"/>
      <c r="J437" s="123"/>
      <c r="K437" s="123"/>
      <c r="L437" s="123"/>
      <c r="M437" s="41"/>
      <c r="N437" s="123"/>
      <c r="O437" s="65"/>
      <c r="P437" s="123"/>
      <c r="Q437" s="123"/>
      <c r="R437" s="123"/>
      <c r="S437" s="42"/>
      <c r="T437" s="42"/>
      <c r="U437" s="40" t="str">
        <f t="shared" si="9"/>
        <v/>
      </c>
      <c r="V437" s="41"/>
      <c r="W437" s="42"/>
      <c r="X437" s="42"/>
      <c r="Y437" s="43"/>
      <c r="Z437" s="44"/>
      <c r="AA437" s="45" t="str">
        <f t="shared" si="2"/>
        <v/>
      </c>
      <c r="AB437" s="42"/>
      <c r="AC437" s="41"/>
      <c r="AD437" s="41"/>
      <c r="AE437" s="46" t="str">
        <f t="shared" si="3"/>
        <v/>
      </c>
      <c r="AF437" s="46" t="str">
        <f t="shared" si="7"/>
        <v/>
      </c>
      <c r="AG437" s="40" t="str">
        <f t="shared" si="4"/>
        <v/>
      </c>
      <c r="AH437" s="40" t="str">
        <f t="shared" si="5"/>
        <v/>
      </c>
      <c r="AI437" s="40" t="str">
        <f t="shared" si="6"/>
        <v/>
      </c>
    </row>
    <row r="438" ht="15.75" customHeight="1">
      <c r="A438" s="126"/>
      <c r="B438" s="42"/>
      <c r="C438" s="41"/>
      <c r="D438" s="41"/>
      <c r="E438" s="64"/>
      <c r="F438" s="64"/>
      <c r="G438" s="41"/>
      <c r="H438" s="41"/>
      <c r="I438" s="123"/>
      <c r="J438" s="123"/>
      <c r="K438" s="123"/>
      <c r="L438" s="123"/>
      <c r="M438" s="41"/>
      <c r="N438" s="123"/>
      <c r="O438" s="65"/>
      <c r="P438" s="123"/>
      <c r="Q438" s="123"/>
      <c r="R438" s="123"/>
      <c r="S438" s="42"/>
      <c r="T438" s="42"/>
      <c r="U438" s="40" t="str">
        <f t="shared" si="9"/>
        <v/>
      </c>
      <c r="V438" s="41"/>
      <c r="W438" s="42"/>
      <c r="X438" s="42"/>
      <c r="Y438" s="43"/>
      <c r="Z438" s="44"/>
      <c r="AA438" s="45" t="str">
        <f t="shared" si="2"/>
        <v/>
      </c>
      <c r="AB438" s="42"/>
      <c r="AC438" s="41"/>
      <c r="AD438" s="41"/>
      <c r="AE438" s="46" t="str">
        <f t="shared" si="3"/>
        <v/>
      </c>
      <c r="AF438" s="46" t="str">
        <f t="shared" si="7"/>
        <v/>
      </c>
      <c r="AG438" s="40" t="str">
        <f t="shared" si="4"/>
        <v/>
      </c>
      <c r="AH438" s="40" t="str">
        <f t="shared" si="5"/>
        <v/>
      </c>
      <c r="AI438" s="40" t="str">
        <f t="shared" si="6"/>
        <v/>
      </c>
    </row>
    <row r="439" ht="15.75" customHeight="1">
      <c r="A439" s="126"/>
      <c r="B439" s="42"/>
      <c r="C439" s="41"/>
      <c r="D439" s="41"/>
      <c r="E439" s="64"/>
      <c r="F439" s="64"/>
      <c r="G439" s="41"/>
      <c r="H439" s="41"/>
      <c r="I439" s="123"/>
      <c r="J439" s="123"/>
      <c r="K439" s="123"/>
      <c r="L439" s="123"/>
      <c r="M439" s="41"/>
      <c r="N439" s="123"/>
      <c r="O439" s="65"/>
      <c r="P439" s="123"/>
      <c r="Q439" s="123"/>
      <c r="R439" s="123"/>
      <c r="S439" s="42"/>
      <c r="T439" s="42"/>
      <c r="U439" s="40" t="str">
        <f t="shared" si="9"/>
        <v/>
      </c>
      <c r="V439" s="41"/>
      <c r="W439" s="42"/>
      <c r="X439" s="42"/>
      <c r="Y439" s="43"/>
      <c r="Z439" s="44"/>
      <c r="AA439" s="45" t="str">
        <f t="shared" si="2"/>
        <v/>
      </c>
      <c r="AB439" s="42"/>
      <c r="AC439" s="41"/>
      <c r="AD439" s="41"/>
      <c r="AE439" s="46" t="str">
        <f t="shared" si="3"/>
        <v/>
      </c>
      <c r="AF439" s="46" t="str">
        <f t="shared" si="7"/>
        <v/>
      </c>
      <c r="AG439" s="40" t="str">
        <f t="shared" si="4"/>
        <v/>
      </c>
      <c r="AH439" s="40" t="str">
        <f t="shared" si="5"/>
        <v/>
      </c>
      <c r="AI439" s="40" t="str">
        <f t="shared" si="6"/>
        <v/>
      </c>
    </row>
    <row r="440" ht="15.75" customHeight="1">
      <c r="A440" s="126"/>
      <c r="B440" s="42"/>
      <c r="C440" s="41"/>
      <c r="D440" s="41"/>
      <c r="E440" s="64"/>
      <c r="F440" s="64"/>
      <c r="G440" s="41"/>
      <c r="H440" s="41"/>
      <c r="I440" s="123"/>
      <c r="J440" s="123"/>
      <c r="K440" s="123"/>
      <c r="L440" s="123"/>
      <c r="M440" s="41"/>
      <c r="N440" s="123"/>
      <c r="O440" s="65"/>
      <c r="P440" s="123"/>
      <c r="Q440" s="123"/>
      <c r="R440" s="123"/>
      <c r="S440" s="42"/>
      <c r="T440" s="42"/>
      <c r="U440" s="40" t="str">
        <f t="shared" si="9"/>
        <v/>
      </c>
      <c r="V440" s="41"/>
      <c r="W440" s="42"/>
      <c r="X440" s="42"/>
      <c r="Y440" s="43"/>
      <c r="Z440" s="44"/>
      <c r="AA440" s="45" t="str">
        <f t="shared" si="2"/>
        <v/>
      </c>
      <c r="AB440" s="42"/>
      <c r="AC440" s="41"/>
      <c r="AD440" s="41"/>
      <c r="AE440" s="46" t="str">
        <f t="shared" si="3"/>
        <v/>
      </c>
      <c r="AF440" s="46" t="str">
        <f t="shared" si="7"/>
        <v/>
      </c>
      <c r="AG440" s="40" t="str">
        <f t="shared" si="4"/>
        <v/>
      </c>
      <c r="AH440" s="40" t="str">
        <f t="shared" si="5"/>
        <v/>
      </c>
      <c r="AI440" s="40" t="str">
        <f t="shared" si="6"/>
        <v/>
      </c>
    </row>
    <row r="441" ht="15.75" customHeight="1">
      <c r="A441" s="126"/>
      <c r="B441" s="42"/>
      <c r="C441" s="41"/>
      <c r="D441" s="41"/>
      <c r="E441" s="64"/>
      <c r="F441" s="64"/>
      <c r="G441" s="41"/>
      <c r="H441" s="41"/>
      <c r="I441" s="123"/>
      <c r="J441" s="123"/>
      <c r="K441" s="123"/>
      <c r="L441" s="123"/>
      <c r="M441" s="41"/>
      <c r="N441" s="123"/>
      <c r="O441" s="65"/>
      <c r="P441" s="123"/>
      <c r="Q441" s="123"/>
      <c r="R441" s="123"/>
      <c r="S441" s="42"/>
      <c r="T441" s="42"/>
      <c r="U441" s="40" t="str">
        <f t="shared" si="9"/>
        <v/>
      </c>
      <c r="V441" s="41"/>
      <c r="W441" s="42"/>
      <c r="X441" s="42"/>
      <c r="Y441" s="43"/>
      <c r="Z441" s="44"/>
      <c r="AA441" s="45" t="str">
        <f t="shared" si="2"/>
        <v/>
      </c>
      <c r="AB441" s="42"/>
      <c r="AC441" s="41"/>
      <c r="AD441" s="41"/>
      <c r="AE441" s="46" t="str">
        <f t="shared" si="3"/>
        <v/>
      </c>
      <c r="AF441" s="46" t="str">
        <f t="shared" si="7"/>
        <v/>
      </c>
      <c r="AG441" s="40" t="str">
        <f t="shared" si="4"/>
        <v/>
      </c>
      <c r="AH441" s="40" t="str">
        <f t="shared" si="5"/>
        <v/>
      </c>
      <c r="AI441" s="40" t="str">
        <f t="shared" si="6"/>
        <v/>
      </c>
    </row>
    <row r="442" ht="15.75" customHeight="1">
      <c r="A442" s="126"/>
      <c r="B442" s="42"/>
      <c r="C442" s="41"/>
      <c r="D442" s="41"/>
      <c r="E442" s="64"/>
      <c r="F442" s="64"/>
      <c r="G442" s="41"/>
      <c r="H442" s="41"/>
      <c r="I442" s="123"/>
      <c r="J442" s="123"/>
      <c r="K442" s="123"/>
      <c r="L442" s="123"/>
      <c r="M442" s="41"/>
      <c r="N442" s="123"/>
      <c r="O442" s="65"/>
      <c r="P442" s="123"/>
      <c r="Q442" s="123"/>
      <c r="R442" s="123"/>
      <c r="S442" s="42"/>
      <c r="T442" s="42"/>
      <c r="U442" s="40" t="str">
        <f t="shared" si="9"/>
        <v/>
      </c>
      <c r="V442" s="41"/>
      <c r="W442" s="42"/>
      <c r="X442" s="42"/>
      <c r="Y442" s="43"/>
      <c r="Z442" s="44"/>
      <c r="AA442" s="45" t="str">
        <f t="shared" si="2"/>
        <v/>
      </c>
      <c r="AB442" s="42"/>
      <c r="AC442" s="41"/>
      <c r="AD442" s="41"/>
      <c r="AE442" s="46" t="str">
        <f t="shared" si="3"/>
        <v/>
      </c>
      <c r="AF442" s="46" t="str">
        <f t="shared" si="7"/>
        <v/>
      </c>
      <c r="AG442" s="40" t="str">
        <f t="shared" si="4"/>
        <v/>
      </c>
      <c r="AH442" s="40" t="str">
        <f t="shared" si="5"/>
        <v/>
      </c>
      <c r="AI442" s="40" t="str">
        <f t="shared" si="6"/>
        <v/>
      </c>
    </row>
    <row r="443" ht="15.75" customHeight="1">
      <c r="A443" s="126"/>
      <c r="B443" s="42"/>
      <c r="C443" s="41"/>
      <c r="D443" s="41"/>
      <c r="E443" s="64"/>
      <c r="F443" s="64"/>
      <c r="G443" s="41"/>
      <c r="H443" s="41"/>
      <c r="I443" s="123"/>
      <c r="J443" s="123"/>
      <c r="K443" s="123"/>
      <c r="L443" s="123"/>
      <c r="M443" s="41"/>
      <c r="N443" s="123"/>
      <c r="O443" s="65"/>
      <c r="P443" s="123"/>
      <c r="Q443" s="123"/>
      <c r="R443" s="123"/>
      <c r="S443" s="42"/>
      <c r="T443" s="42"/>
      <c r="U443" s="40" t="str">
        <f t="shared" si="9"/>
        <v/>
      </c>
      <c r="V443" s="41"/>
      <c r="W443" s="42"/>
      <c r="X443" s="42"/>
      <c r="Y443" s="43"/>
      <c r="Z443" s="44"/>
      <c r="AA443" s="45" t="str">
        <f t="shared" si="2"/>
        <v/>
      </c>
      <c r="AB443" s="42"/>
      <c r="AC443" s="41"/>
      <c r="AD443" s="41"/>
      <c r="AE443" s="46" t="str">
        <f t="shared" si="3"/>
        <v/>
      </c>
      <c r="AF443" s="46" t="str">
        <f t="shared" si="7"/>
        <v/>
      </c>
      <c r="AG443" s="40" t="str">
        <f t="shared" si="4"/>
        <v/>
      </c>
      <c r="AH443" s="40" t="str">
        <f t="shared" si="5"/>
        <v/>
      </c>
      <c r="AI443" s="40" t="str">
        <f t="shared" si="6"/>
        <v/>
      </c>
    </row>
    <row r="444" ht="15.75" customHeight="1">
      <c r="A444" s="126"/>
      <c r="B444" s="42"/>
      <c r="C444" s="41"/>
      <c r="D444" s="41"/>
      <c r="E444" s="64"/>
      <c r="F444" s="64"/>
      <c r="G444" s="41"/>
      <c r="H444" s="41"/>
      <c r="I444" s="123"/>
      <c r="J444" s="123"/>
      <c r="K444" s="123"/>
      <c r="L444" s="123"/>
      <c r="M444" s="41"/>
      <c r="N444" s="123"/>
      <c r="O444" s="65"/>
      <c r="P444" s="123"/>
      <c r="Q444" s="123"/>
      <c r="R444" s="123"/>
      <c r="S444" s="42"/>
      <c r="T444" s="42"/>
      <c r="U444" s="40" t="str">
        <f t="shared" si="9"/>
        <v/>
      </c>
      <c r="V444" s="41"/>
      <c r="W444" s="42"/>
      <c r="X444" s="42"/>
      <c r="Y444" s="43"/>
      <c r="Z444" s="44"/>
      <c r="AA444" s="45" t="str">
        <f t="shared" si="2"/>
        <v/>
      </c>
      <c r="AB444" s="42"/>
      <c r="AC444" s="41"/>
      <c r="AD444" s="41"/>
      <c r="AE444" s="46" t="str">
        <f t="shared" si="3"/>
        <v/>
      </c>
      <c r="AF444" s="46" t="str">
        <f t="shared" si="7"/>
        <v/>
      </c>
      <c r="AG444" s="40" t="str">
        <f t="shared" si="4"/>
        <v/>
      </c>
      <c r="AH444" s="40" t="str">
        <f t="shared" si="5"/>
        <v/>
      </c>
      <c r="AI444" s="40" t="str">
        <f t="shared" si="6"/>
        <v/>
      </c>
    </row>
    <row r="445" ht="15.75" customHeight="1">
      <c r="A445" s="126"/>
      <c r="B445" s="42"/>
      <c r="C445" s="41"/>
      <c r="D445" s="41"/>
      <c r="E445" s="64"/>
      <c r="F445" s="64"/>
      <c r="G445" s="41"/>
      <c r="H445" s="41"/>
      <c r="I445" s="123"/>
      <c r="J445" s="123"/>
      <c r="K445" s="123"/>
      <c r="L445" s="123"/>
      <c r="M445" s="41"/>
      <c r="N445" s="123"/>
      <c r="O445" s="65"/>
      <c r="P445" s="123"/>
      <c r="Q445" s="123"/>
      <c r="R445" s="123"/>
      <c r="S445" s="42"/>
      <c r="T445" s="42"/>
      <c r="U445" s="40" t="str">
        <f t="shared" si="9"/>
        <v/>
      </c>
      <c r="V445" s="41"/>
      <c r="W445" s="42"/>
      <c r="X445" s="42"/>
      <c r="Y445" s="43"/>
      <c r="Z445" s="44"/>
      <c r="AA445" s="45" t="str">
        <f t="shared" si="2"/>
        <v/>
      </c>
      <c r="AB445" s="42"/>
      <c r="AC445" s="41"/>
      <c r="AD445" s="41"/>
      <c r="AE445" s="46" t="str">
        <f t="shared" si="3"/>
        <v/>
      </c>
      <c r="AF445" s="46" t="str">
        <f t="shared" si="7"/>
        <v/>
      </c>
      <c r="AG445" s="40" t="str">
        <f t="shared" si="4"/>
        <v/>
      </c>
      <c r="AH445" s="40" t="str">
        <f t="shared" si="5"/>
        <v/>
      </c>
      <c r="AI445" s="40" t="str">
        <f t="shared" si="6"/>
        <v/>
      </c>
    </row>
    <row r="446" ht="15.75" customHeight="1">
      <c r="A446" s="126"/>
      <c r="B446" s="42"/>
      <c r="C446" s="41"/>
      <c r="D446" s="41"/>
      <c r="E446" s="64"/>
      <c r="F446" s="64"/>
      <c r="G446" s="41"/>
      <c r="H446" s="41"/>
      <c r="I446" s="123"/>
      <c r="J446" s="123"/>
      <c r="K446" s="123"/>
      <c r="L446" s="123"/>
      <c r="M446" s="41"/>
      <c r="N446" s="123"/>
      <c r="O446" s="65"/>
      <c r="P446" s="123"/>
      <c r="Q446" s="123"/>
      <c r="R446" s="123"/>
      <c r="S446" s="42"/>
      <c r="T446" s="42"/>
      <c r="U446" s="40" t="str">
        <f t="shared" si="9"/>
        <v/>
      </c>
      <c r="V446" s="41"/>
      <c r="W446" s="42"/>
      <c r="X446" s="42"/>
      <c r="Y446" s="43"/>
      <c r="Z446" s="44"/>
      <c r="AA446" s="45" t="str">
        <f t="shared" si="2"/>
        <v/>
      </c>
      <c r="AB446" s="42"/>
      <c r="AC446" s="41"/>
      <c r="AD446" s="41"/>
      <c r="AE446" s="46" t="str">
        <f t="shared" si="3"/>
        <v/>
      </c>
      <c r="AF446" s="46" t="str">
        <f t="shared" si="7"/>
        <v/>
      </c>
      <c r="AG446" s="40" t="str">
        <f t="shared" si="4"/>
        <v/>
      </c>
      <c r="AH446" s="40" t="str">
        <f t="shared" si="5"/>
        <v/>
      </c>
      <c r="AI446" s="40" t="str">
        <f t="shared" si="6"/>
        <v/>
      </c>
    </row>
    <row r="447" ht="15.75" customHeight="1">
      <c r="A447" s="126"/>
      <c r="B447" s="42"/>
      <c r="C447" s="41"/>
      <c r="D447" s="41"/>
      <c r="E447" s="64"/>
      <c r="F447" s="64"/>
      <c r="G447" s="41"/>
      <c r="H447" s="41"/>
      <c r="I447" s="123"/>
      <c r="J447" s="123"/>
      <c r="K447" s="123"/>
      <c r="L447" s="123"/>
      <c r="M447" s="41"/>
      <c r="N447" s="123"/>
      <c r="O447" s="65"/>
      <c r="P447" s="123"/>
      <c r="Q447" s="123"/>
      <c r="R447" s="123"/>
      <c r="S447" s="42"/>
      <c r="T447" s="42"/>
      <c r="U447" s="40" t="str">
        <f t="shared" si="9"/>
        <v/>
      </c>
      <c r="V447" s="41"/>
      <c r="W447" s="42"/>
      <c r="X447" s="42"/>
      <c r="Y447" s="43"/>
      <c r="Z447" s="44"/>
      <c r="AA447" s="45" t="str">
        <f t="shared" si="2"/>
        <v/>
      </c>
      <c r="AB447" s="42"/>
      <c r="AC447" s="41"/>
      <c r="AD447" s="41"/>
      <c r="AE447" s="46" t="str">
        <f t="shared" si="3"/>
        <v/>
      </c>
      <c r="AF447" s="46" t="str">
        <f t="shared" si="7"/>
        <v/>
      </c>
      <c r="AG447" s="40" t="str">
        <f t="shared" si="4"/>
        <v/>
      </c>
      <c r="AH447" s="40" t="str">
        <f t="shared" si="5"/>
        <v/>
      </c>
      <c r="AI447" s="40" t="str">
        <f t="shared" si="6"/>
        <v/>
      </c>
    </row>
    <row r="448" ht="15.75" customHeight="1">
      <c r="A448" s="126"/>
      <c r="B448" s="42"/>
      <c r="C448" s="41"/>
      <c r="D448" s="41"/>
      <c r="E448" s="64"/>
      <c r="F448" s="64"/>
      <c r="G448" s="41"/>
      <c r="H448" s="41"/>
      <c r="I448" s="123"/>
      <c r="J448" s="123"/>
      <c r="K448" s="123"/>
      <c r="L448" s="123"/>
      <c r="M448" s="41"/>
      <c r="N448" s="123"/>
      <c r="O448" s="65"/>
      <c r="P448" s="123"/>
      <c r="Q448" s="123"/>
      <c r="R448" s="123"/>
      <c r="S448" s="42"/>
      <c r="T448" s="42"/>
      <c r="U448" s="40" t="str">
        <f t="shared" si="9"/>
        <v/>
      </c>
      <c r="V448" s="41"/>
      <c r="W448" s="42"/>
      <c r="X448" s="42"/>
      <c r="Y448" s="43"/>
      <c r="Z448" s="44"/>
      <c r="AA448" s="45" t="str">
        <f t="shared" si="2"/>
        <v/>
      </c>
      <c r="AB448" s="42"/>
      <c r="AC448" s="41"/>
      <c r="AD448" s="41"/>
      <c r="AE448" s="46" t="str">
        <f t="shared" si="3"/>
        <v/>
      </c>
      <c r="AF448" s="46" t="str">
        <f t="shared" si="7"/>
        <v/>
      </c>
      <c r="AG448" s="40" t="str">
        <f t="shared" si="4"/>
        <v/>
      </c>
      <c r="AH448" s="40" t="str">
        <f t="shared" si="5"/>
        <v/>
      </c>
      <c r="AI448" s="40" t="str">
        <f t="shared" si="6"/>
        <v/>
      </c>
    </row>
    <row r="449" ht="15.75" customHeight="1">
      <c r="A449" s="126"/>
      <c r="B449" s="42"/>
      <c r="C449" s="41"/>
      <c r="D449" s="41"/>
      <c r="E449" s="64"/>
      <c r="F449" s="64"/>
      <c r="G449" s="41"/>
      <c r="H449" s="41"/>
      <c r="I449" s="123"/>
      <c r="J449" s="123"/>
      <c r="K449" s="123"/>
      <c r="L449" s="123"/>
      <c r="M449" s="41"/>
      <c r="N449" s="123"/>
      <c r="O449" s="65"/>
      <c r="P449" s="123"/>
      <c r="Q449" s="123"/>
      <c r="R449" s="123"/>
      <c r="S449" s="42"/>
      <c r="T449" s="42"/>
      <c r="U449" s="40" t="str">
        <f t="shared" si="9"/>
        <v/>
      </c>
      <c r="V449" s="41"/>
      <c r="W449" s="42"/>
      <c r="X449" s="42"/>
      <c r="Y449" s="43"/>
      <c r="Z449" s="44"/>
      <c r="AA449" s="45" t="str">
        <f t="shared" si="2"/>
        <v/>
      </c>
      <c r="AB449" s="42"/>
      <c r="AC449" s="41"/>
      <c r="AD449" s="41"/>
      <c r="AE449" s="46" t="str">
        <f t="shared" si="3"/>
        <v/>
      </c>
      <c r="AF449" s="46" t="str">
        <f t="shared" si="7"/>
        <v/>
      </c>
      <c r="AG449" s="40" t="str">
        <f t="shared" si="4"/>
        <v/>
      </c>
      <c r="AH449" s="40" t="str">
        <f t="shared" si="5"/>
        <v/>
      </c>
      <c r="AI449" s="40" t="str">
        <f t="shared" si="6"/>
        <v/>
      </c>
    </row>
    <row r="450" ht="15.75" customHeight="1">
      <c r="A450" s="126"/>
      <c r="B450" s="42"/>
      <c r="C450" s="41"/>
      <c r="D450" s="41"/>
      <c r="E450" s="64"/>
      <c r="F450" s="64"/>
      <c r="G450" s="41"/>
      <c r="H450" s="41"/>
      <c r="I450" s="123"/>
      <c r="J450" s="123"/>
      <c r="K450" s="123"/>
      <c r="L450" s="123"/>
      <c r="M450" s="41"/>
      <c r="N450" s="123"/>
      <c r="O450" s="65"/>
      <c r="P450" s="123"/>
      <c r="Q450" s="123"/>
      <c r="R450" s="123"/>
      <c r="S450" s="42"/>
      <c r="T450" s="42"/>
      <c r="U450" s="40" t="str">
        <f t="shared" si="9"/>
        <v/>
      </c>
      <c r="V450" s="41"/>
      <c r="W450" s="42"/>
      <c r="X450" s="42"/>
      <c r="Y450" s="43"/>
      <c r="Z450" s="44"/>
      <c r="AA450" s="45" t="str">
        <f t="shared" si="2"/>
        <v/>
      </c>
      <c r="AB450" s="42"/>
      <c r="AC450" s="41"/>
      <c r="AD450" s="41"/>
      <c r="AE450" s="46" t="str">
        <f t="shared" si="3"/>
        <v/>
      </c>
      <c r="AF450" s="46" t="str">
        <f t="shared" si="7"/>
        <v/>
      </c>
      <c r="AG450" s="40" t="str">
        <f t="shared" si="4"/>
        <v/>
      </c>
      <c r="AH450" s="40" t="str">
        <f t="shared" si="5"/>
        <v/>
      </c>
      <c r="AI450" s="40" t="str">
        <f t="shared" si="6"/>
        <v/>
      </c>
    </row>
    <row r="451" ht="15.75" customHeight="1">
      <c r="A451" s="126"/>
      <c r="B451" s="42"/>
      <c r="C451" s="41"/>
      <c r="D451" s="41"/>
      <c r="E451" s="64"/>
      <c r="F451" s="64"/>
      <c r="G451" s="41"/>
      <c r="H451" s="41"/>
      <c r="I451" s="123"/>
      <c r="J451" s="123"/>
      <c r="K451" s="123"/>
      <c r="L451" s="123"/>
      <c r="M451" s="41"/>
      <c r="N451" s="123"/>
      <c r="O451" s="65"/>
      <c r="P451" s="123"/>
      <c r="Q451" s="123"/>
      <c r="R451" s="123"/>
      <c r="S451" s="42"/>
      <c r="T451" s="42"/>
      <c r="U451" s="40" t="str">
        <f t="shared" si="9"/>
        <v/>
      </c>
      <c r="V451" s="41"/>
      <c r="W451" s="42"/>
      <c r="X451" s="42"/>
      <c r="Y451" s="43"/>
      <c r="Z451" s="44"/>
      <c r="AA451" s="45" t="str">
        <f t="shared" si="2"/>
        <v/>
      </c>
      <c r="AB451" s="42"/>
      <c r="AC451" s="41"/>
      <c r="AD451" s="41"/>
      <c r="AE451" s="46" t="str">
        <f t="shared" si="3"/>
        <v/>
      </c>
      <c r="AF451" s="46" t="str">
        <f t="shared" si="7"/>
        <v/>
      </c>
      <c r="AG451" s="40" t="str">
        <f t="shared" si="4"/>
        <v/>
      </c>
      <c r="AH451" s="40" t="str">
        <f t="shared" si="5"/>
        <v/>
      </c>
      <c r="AI451" s="40" t="str">
        <f t="shared" si="6"/>
        <v/>
      </c>
    </row>
    <row r="452" ht="15.75" customHeight="1">
      <c r="A452" s="126"/>
      <c r="B452" s="42"/>
      <c r="C452" s="41"/>
      <c r="D452" s="41"/>
      <c r="E452" s="64"/>
      <c r="F452" s="64"/>
      <c r="G452" s="41"/>
      <c r="H452" s="41"/>
      <c r="I452" s="123"/>
      <c r="J452" s="123"/>
      <c r="K452" s="123"/>
      <c r="L452" s="123"/>
      <c r="M452" s="41"/>
      <c r="N452" s="123"/>
      <c r="O452" s="65"/>
      <c r="P452" s="123"/>
      <c r="Q452" s="123"/>
      <c r="R452" s="123"/>
      <c r="S452" s="42"/>
      <c r="T452" s="42"/>
      <c r="U452" s="40" t="str">
        <f t="shared" si="9"/>
        <v/>
      </c>
      <c r="V452" s="41"/>
      <c r="W452" s="42"/>
      <c r="X452" s="42"/>
      <c r="Y452" s="43"/>
      <c r="Z452" s="44"/>
      <c r="AA452" s="45" t="str">
        <f t="shared" si="2"/>
        <v/>
      </c>
      <c r="AB452" s="42"/>
      <c r="AC452" s="41"/>
      <c r="AD452" s="41"/>
      <c r="AE452" s="46" t="str">
        <f t="shared" si="3"/>
        <v/>
      </c>
      <c r="AF452" s="46" t="str">
        <f t="shared" si="7"/>
        <v/>
      </c>
      <c r="AG452" s="40" t="str">
        <f t="shared" si="4"/>
        <v/>
      </c>
      <c r="AH452" s="40" t="str">
        <f t="shared" si="5"/>
        <v/>
      </c>
      <c r="AI452" s="40" t="str">
        <f t="shared" si="6"/>
        <v/>
      </c>
    </row>
    <row r="453" ht="15.75" customHeight="1">
      <c r="A453" s="126"/>
      <c r="B453" s="42"/>
      <c r="C453" s="41"/>
      <c r="D453" s="41"/>
      <c r="E453" s="64"/>
      <c r="F453" s="64"/>
      <c r="G453" s="41"/>
      <c r="H453" s="41"/>
      <c r="I453" s="123"/>
      <c r="J453" s="123"/>
      <c r="K453" s="123"/>
      <c r="L453" s="123"/>
      <c r="M453" s="41"/>
      <c r="N453" s="123"/>
      <c r="O453" s="65"/>
      <c r="P453" s="123"/>
      <c r="Q453" s="123"/>
      <c r="R453" s="123"/>
      <c r="S453" s="42"/>
      <c r="T453" s="42"/>
      <c r="U453" s="40" t="str">
        <f t="shared" si="9"/>
        <v/>
      </c>
      <c r="V453" s="41"/>
      <c r="W453" s="42"/>
      <c r="X453" s="42"/>
      <c r="Y453" s="43"/>
      <c r="Z453" s="44"/>
      <c r="AA453" s="45" t="str">
        <f t="shared" si="2"/>
        <v/>
      </c>
      <c r="AB453" s="42"/>
      <c r="AC453" s="41"/>
      <c r="AD453" s="41"/>
      <c r="AE453" s="46" t="str">
        <f t="shared" si="3"/>
        <v/>
      </c>
      <c r="AF453" s="46" t="str">
        <f t="shared" si="7"/>
        <v/>
      </c>
      <c r="AG453" s="40" t="str">
        <f t="shared" si="4"/>
        <v/>
      </c>
      <c r="AH453" s="40" t="str">
        <f t="shared" si="5"/>
        <v/>
      </c>
      <c r="AI453" s="40" t="str">
        <f t="shared" si="6"/>
        <v/>
      </c>
    </row>
    <row r="454" ht="15.75" customHeight="1">
      <c r="A454" s="126"/>
      <c r="B454" s="42"/>
      <c r="C454" s="41"/>
      <c r="D454" s="41"/>
      <c r="E454" s="64"/>
      <c r="F454" s="64"/>
      <c r="G454" s="41"/>
      <c r="H454" s="41"/>
      <c r="I454" s="123"/>
      <c r="J454" s="123"/>
      <c r="K454" s="123"/>
      <c r="L454" s="123"/>
      <c r="M454" s="41"/>
      <c r="N454" s="123"/>
      <c r="O454" s="65"/>
      <c r="P454" s="123"/>
      <c r="Q454" s="123"/>
      <c r="R454" s="123"/>
      <c r="S454" s="42"/>
      <c r="T454" s="42"/>
      <c r="U454" s="40" t="str">
        <f t="shared" si="9"/>
        <v/>
      </c>
      <c r="V454" s="41"/>
      <c r="W454" s="42"/>
      <c r="X454" s="42"/>
      <c r="Y454" s="43"/>
      <c r="Z454" s="44"/>
      <c r="AA454" s="45" t="str">
        <f t="shared" si="2"/>
        <v/>
      </c>
      <c r="AB454" s="42"/>
      <c r="AC454" s="41"/>
      <c r="AD454" s="41"/>
      <c r="AE454" s="46" t="str">
        <f t="shared" si="3"/>
        <v/>
      </c>
      <c r="AF454" s="46" t="str">
        <f t="shared" si="7"/>
        <v/>
      </c>
      <c r="AG454" s="40" t="str">
        <f t="shared" si="4"/>
        <v/>
      </c>
      <c r="AH454" s="40" t="str">
        <f t="shared" si="5"/>
        <v/>
      </c>
      <c r="AI454" s="40" t="str">
        <f t="shared" si="6"/>
        <v/>
      </c>
    </row>
    <row r="455" ht="15.75" customHeight="1">
      <c r="A455" s="126"/>
      <c r="B455" s="42"/>
      <c r="C455" s="41"/>
      <c r="D455" s="41"/>
      <c r="E455" s="64"/>
      <c r="F455" s="64"/>
      <c r="G455" s="41"/>
      <c r="H455" s="41"/>
      <c r="I455" s="123"/>
      <c r="J455" s="123"/>
      <c r="K455" s="123"/>
      <c r="L455" s="123"/>
      <c r="M455" s="41"/>
      <c r="N455" s="123"/>
      <c r="O455" s="65"/>
      <c r="P455" s="123"/>
      <c r="Q455" s="123"/>
      <c r="R455" s="123"/>
      <c r="S455" s="42"/>
      <c r="T455" s="42"/>
      <c r="U455" s="40" t="str">
        <f t="shared" si="9"/>
        <v/>
      </c>
      <c r="V455" s="41"/>
      <c r="W455" s="42"/>
      <c r="X455" s="42"/>
      <c r="Y455" s="43"/>
      <c r="Z455" s="44"/>
      <c r="AA455" s="45" t="str">
        <f t="shared" si="2"/>
        <v/>
      </c>
      <c r="AB455" s="42"/>
      <c r="AC455" s="41"/>
      <c r="AD455" s="41"/>
      <c r="AE455" s="46" t="str">
        <f t="shared" si="3"/>
        <v/>
      </c>
      <c r="AF455" s="46" t="str">
        <f t="shared" si="7"/>
        <v/>
      </c>
      <c r="AG455" s="40" t="str">
        <f t="shared" si="4"/>
        <v/>
      </c>
      <c r="AH455" s="40" t="str">
        <f t="shared" si="5"/>
        <v/>
      </c>
      <c r="AI455" s="40" t="str">
        <f t="shared" si="6"/>
        <v/>
      </c>
    </row>
    <row r="456" ht="15.75" customHeight="1">
      <c r="A456" s="126"/>
      <c r="B456" s="42"/>
      <c r="C456" s="41"/>
      <c r="D456" s="41"/>
      <c r="E456" s="64"/>
      <c r="F456" s="64"/>
      <c r="G456" s="41"/>
      <c r="H456" s="41"/>
      <c r="I456" s="123"/>
      <c r="J456" s="123"/>
      <c r="K456" s="123"/>
      <c r="L456" s="123"/>
      <c r="M456" s="41"/>
      <c r="N456" s="123"/>
      <c r="O456" s="65"/>
      <c r="P456" s="123"/>
      <c r="Q456" s="123"/>
      <c r="R456" s="123"/>
      <c r="S456" s="42"/>
      <c r="T456" s="42"/>
      <c r="U456" s="40" t="str">
        <f t="shared" si="9"/>
        <v/>
      </c>
      <c r="V456" s="41"/>
      <c r="W456" s="42"/>
      <c r="X456" s="42"/>
      <c r="Y456" s="43"/>
      <c r="Z456" s="44"/>
      <c r="AA456" s="45" t="str">
        <f t="shared" si="2"/>
        <v/>
      </c>
      <c r="AB456" s="42"/>
      <c r="AC456" s="41"/>
      <c r="AD456" s="41"/>
      <c r="AE456" s="46" t="str">
        <f t="shared" si="3"/>
        <v/>
      </c>
      <c r="AF456" s="46" t="str">
        <f t="shared" si="7"/>
        <v/>
      </c>
      <c r="AG456" s="40" t="str">
        <f t="shared" si="4"/>
        <v/>
      </c>
      <c r="AH456" s="40" t="str">
        <f t="shared" si="5"/>
        <v/>
      </c>
      <c r="AI456" s="40" t="str">
        <f t="shared" si="6"/>
        <v/>
      </c>
    </row>
    <row r="457" ht="15.75" customHeight="1">
      <c r="A457" s="126"/>
      <c r="B457" s="42"/>
      <c r="C457" s="41"/>
      <c r="D457" s="41"/>
      <c r="E457" s="64"/>
      <c r="F457" s="64"/>
      <c r="G457" s="41"/>
      <c r="H457" s="41"/>
      <c r="I457" s="123"/>
      <c r="J457" s="123"/>
      <c r="K457" s="123"/>
      <c r="L457" s="123"/>
      <c r="M457" s="41"/>
      <c r="N457" s="123"/>
      <c r="O457" s="65"/>
      <c r="P457" s="123"/>
      <c r="Q457" s="123"/>
      <c r="R457" s="123"/>
      <c r="S457" s="42"/>
      <c r="T457" s="42"/>
      <c r="U457" s="40" t="str">
        <f t="shared" si="9"/>
        <v/>
      </c>
      <c r="V457" s="41"/>
      <c r="W457" s="42"/>
      <c r="X457" s="42"/>
      <c r="Y457" s="43"/>
      <c r="Z457" s="44"/>
      <c r="AA457" s="45" t="str">
        <f t="shared" si="2"/>
        <v/>
      </c>
      <c r="AB457" s="42"/>
      <c r="AC457" s="41"/>
      <c r="AD457" s="41"/>
      <c r="AE457" s="46" t="str">
        <f t="shared" si="3"/>
        <v/>
      </c>
      <c r="AF457" s="46" t="str">
        <f t="shared" si="7"/>
        <v/>
      </c>
      <c r="AG457" s="40" t="str">
        <f t="shared" si="4"/>
        <v/>
      </c>
      <c r="AH457" s="40" t="str">
        <f t="shared" si="5"/>
        <v/>
      </c>
      <c r="AI457" s="40" t="str">
        <f t="shared" si="6"/>
        <v/>
      </c>
    </row>
    <row r="458" ht="15.75" customHeight="1">
      <c r="A458" s="126"/>
      <c r="B458" s="42"/>
      <c r="C458" s="41"/>
      <c r="D458" s="41"/>
      <c r="E458" s="64"/>
      <c r="F458" s="64"/>
      <c r="G458" s="41"/>
      <c r="H458" s="41"/>
      <c r="I458" s="123"/>
      <c r="J458" s="123"/>
      <c r="K458" s="123"/>
      <c r="L458" s="123"/>
      <c r="M458" s="41"/>
      <c r="N458" s="123"/>
      <c r="O458" s="65"/>
      <c r="P458" s="123"/>
      <c r="Q458" s="123"/>
      <c r="R458" s="123"/>
      <c r="S458" s="42"/>
      <c r="T458" s="42"/>
      <c r="U458" s="40" t="str">
        <f t="shared" si="9"/>
        <v/>
      </c>
      <c r="V458" s="41"/>
      <c r="W458" s="42"/>
      <c r="X458" s="42"/>
      <c r="Y458" s="43"/>
      <c r="Z458" s="44"/>
      <c r="AA458" s="45" t="str">
        <f t="shared" si="2"/>
        <v/>
      </c>
      <c r="AB458" s="42"/>
      <c r="AC458" s="41"/>
      <c r="AD458" s="41"/>
      <c r="AE458" s="46" t="str">
        <f t="shared" si="3"/>
        <v/>
      </c>
      <c r="AF458" s="46" t="str">
        <f t="shared" si="7"/>
        <v/>
      </c>
      <c r="AG458" s="40" t="str">
        <f t="shared" si="4"/>
        <v/>
      </c>
      <c r="AH458" s="40" t="str">
        <f t="shared" si="5"/>
        <v/>
      </c>
      <c r="AI458" s="40" t="str">
        <f t="shared" si="6"/>
        <v/>
      </c>
    </row>
    <row r="459" ht="15.75" customHeight="1">
      <c r="A459" s="126"/>
      <c r="B459" s="42"/>
      <c r="C459" s="41"/>
      <c r="D459" s="41"/>
      <c r="E459" s="64"/>
      <c r="F459" s="64"/>
      <c r="G459" s="41"/>
      <c r="H459" s="41"/>
      <c r="I459" s="123"/>
      <c r="J459" s="123"/>
      <c r="K459" s="123"/>
      <c r="L459" s="123"/>
      <c r="M459" s="41"/>
      <c r="N459" s="123"/>
      <c r="O459" s="65"/>
      <c r="P459" s="123"/>
      <c r="Q459" s="123"/>
      <c r="R459" s="123"/>
      <c r="S459" s="42"/>
      <c r="T459" s="42"/>
      <c r="U459" s="40" t="str">
        <f t="shared" si="9"/>
        <v/>
      </c>
      <c r="V459" s="41"/>
      <c r="W459" s="42"/>
      <c r="X459" s="42"/>
      <c r="Y459" s="43"/>
      <c r="Z459" s="44"/>
      <c r="AA459" s="45" t="str">
        <f t="shared" si="2"/>
        <v/>
      </c>
      <c r="AB459" s="42"/>
      <c r="AC459" s="41"/>
      <c r="AD459" s="41"/>
      <c r="AE459" s="46" t="str">
        <f t="shared" si="3"/>
        <v/>
      </c>
      <c r="AF459" s="46" t="str">
        <f t="shared" si="7"/>
        <v/>
      </c>
      <c r="AG459" s="40" t="str">
        <f t="shared" si="4"/>
        <v/>
      </c>
      <c r="AH459" s="40" t="str">
        <f t="shared" si="5"/>
        <v/>
      </c>
      <c r="AI459" s="40" t="str">
        <f t="shared" si="6"/>
        <v/>
      </c>
    </row>
    <row r="460" ht="15.75" customHeight="1">
      <c r="A460" s="126"/>
      <c r="B460" s="42"/>
      <c r="C460" s="41"/>
      <c r="D460" s="41"/>
      <c r="E460" s="64"/>
      <c r="F460" s="64"/>
      <c r="G460" s="41"/>
      <c r="H460" s="41"/>
      <c r="I460" s="123"/>
      <c r="J460" s="123"/>
      <c r="K460" s="123"/>
      <c r="L460" s="123"/>
      <c r="M460" s="41"/>
      <c r="N460" s="123"/>
      <c r="O460" s="65"/>
      <c r="P460" s="123"/>
      <c r="Q460" s="123"/>
      <c r="R460" s="123"/>
      <c r="S460" s="42"/>
      <c r="T460" s="42"/>
      <c r="U460" s="40" t="str">
        <f t="shared" si="9"/>
        <v/>
      </c>
      <c r="V460" s="41"/>
      <c r="W460" s="42"/>
      <c r="X460" s="42"/>
      <c r="Y460" s="43"/>
      <c r="Z460" s="44"/>
      <c r="AA460" s="45" t="str">
        <f t="shared" si="2"/>
        <v/>
      </c>
      <c r="AB460" s="42"/>
      <c r="AC460" s="41"/>
      <c r="AD460" s="41"/>
      <c r="AE460" s="46" t="str">
        <f t="shared" si="3"/>
        <v/>
      </c>
      <c r="AF460" s="46" t="str">
        <f t="shared" si="7"/>
        <v/>
      </c>
      <c r="AG460" s="40" t="str">
        <f t="shared" si="4"/>
        <v/>
      </c>
      <c r="AH460" s="40" t="str">
        <f t="shared" si="5"/>
        <v/>
      </c>
      <c r="AI460" s="40" t="str">
        <f t="shared" si="6"/>
        <v/>
      </c>
    </row>
    <row r="461" ht="15.75" customHeight="1">
      <c r="A461" s="126"/>
      <c r="B461" s="42"/>
      <c r="C461" s="41"/>
      <c r="D461" s="41"/>
      <c r="E461" s="64"/>
      <c r="F461" s="64"/>
      <c r="G461" s="41"/>
      <c r="H461" s="41"/>
      <c r="I461" s="123"/>
      <c r="J461" s="123"/>
      <c r="K461" s="123"/>
      <c r="L461" s="123"/>
      <c r="M461" s="41"/>
      <c r="N461" s="123"/>
      <c r="O461" s="65"/>
      <c r="P461" s="123"/>
      <c r="Q461" s="123"/>
      <c r="R461" s="123"/>
      <c r="S461" s="42"/>
      <c r="T461" s="42"/>
      <c r="U461" s="40" t="str">
        <f t="shared" si="9"/>
        <v/>
      </c>
      <c r="V461" s="41"/>
      <c r="W461" s="42"/>
      <c r="X461" s="42"/>
      <c r="Y461" s="43"/>
      <c r="Z461" s="44"/>
      <c r="AA461" s="45" t="str">
        <f t="shared" si="2"/>
        <v/>
      </c>
      <c r="AB461" s="42"/>
      <c r="AC461" s="41"/>
      <c r="AD461" s="41"/>
      <c r="AE461" s="46" t="str">
        <f t="shared" si="3"/>
        <v/>
      </c>
      <c r="AF461" s="46" t="str">
        <f t="shared" si="7"/>
        <v/>
      </c>
      <c r="AG461" s="40" t="str">
        <f t="shared" si="4"/>
        <v/>
      </c>
      <c r="AH461" s="40" t="str">
        <f t="shared" si="5"/>
        <v/>
      </c>
      <c r="AI461" s="40" t="str">
        <f t="shared" si="6"/>
        <v/>
      </c>
    </row>
    <row r="462" ht="15.75" customHeight="1">
      <c r="A462" s="126"/>
      <c r="B462" s="42"/>
      <c r="C462" s="41"/>
      <c r="D462" s="41"/>
      <c r="E462" s="64"/>
      <c r="F462" s="64"/>
      <c r="G462" s="41"/>
      <c r="H462" s="41"/>
      <c r="I462" s="123"/>
      <c r="J462" s="123"/>
      <c r="K462" s="123"/>
      <c r="L462" s="123"/>
      <c r="M462" s="41"/>
      <c r="N462" s="123"/>
      <c r="O462" s="65"/>
      <c r="P462" s="123"/>
      <c r="Q462" s="123"/>
      <c r="R462" s="123"/>
      <c r="S462" s="42"/>
      <c r="T462" s="42"/>
      <c r="U462" s="40" t="str">
        <f t="shared" si="9"/>
        <v/>
      </c>
      <c r="V462" s="41"/>
      <c r="W462" s="42"/>
      <c r="X462" s="42"/>
      <c r="Y462" s="43"/>
      <c r="Z462" s="44"/>
      <c r="AA462" s="45" t="str">
        <f t="shared" si="2"/>
        <v/>
      </c>
      <c r="AB462" s="42"/>
      <c r="AC462" s="41"/>
      <c r="AD462" s="41"/>
      <c r="AE462" s="46" t="str">
        <f t="shared" si="3"/>
        <v/>
      </c>
      <c r="AF462" s="46" t="str">
        <f t="shared" si="7"/>
        <v/>
      </c>
      <c r="AG462" s="40" t="str">
        <f t="shared" si="4"/>
        <v/>
      </c>
      <c r="AH462" s="40" t="str">
        <f t="shared" si="5"/>
        <v/>
      </c>
      <c r="AI462" s="40" t="str">
        <f t="shared" si="6"/>
        <v/>
      </c>
    </row>
    <row r="463" ht="15.75" customHeight="1">
      <c r="A463" s="126"/>
      <c r="B463" s="42"/>
      <c r="C463" s="41"/>
      <c r="D463" s="41"/>
      <c r="E463" s="64"/>
      <c r="F463" s="64"/>
      <c r="G463" s="41"/>
      <c r="H463" s="41"/>
      <c r="I463" s="123"/>
      <c r="J463" s="123"/>
      <c r="K463" s="123"/>
      <c r="L463" s="123"/>
      <c r="M463" s="41"/>
      <c r="N463" s="123"/>
      <c r="O463" s="65"/>
      <c r="P463" s="123"/>
      <c r="Q463" s="123"/>
      <c r="R463" s="123"/>
      <c r="S463" s="42"/>
      <c r="T463" s="42"/>
      <c r="U463" s="40" t="str">
        <f t="shared" si="9"/>
        <v/>
      </c>
      <c r="V463" s="41"/>
      <c r="W463" s="42"/>
      <c r="X463" s="42"/>
      <c r="Y463" s="43"/>
      <c r="Z463" s="44"/>
      <c r="AA463" s="45" t="str">
        <f t="shared" si="2"/>
        <v/>
      </c>
      <c r="AB463" s="42"/>
      <c r="AC463" s="41"/>
      <c r="AD463" s="41"/>
      <c r="AE463" s="46" t="str">
        <f t="shared" si="3"/>
        <v/>
      </c>
      <c r="AF463" s="46" t="str">
        <f t="shared" si="7"/>
        <v/>
      </c>
      <c r="AG463" s="40" t="str">
        <f t="shared" si="4"/>
        <v/>
      </c>
      <c r="AH463" s="40" t="str">
        <f t="shared" si="5"/>
        <v/>
      </c>
      <c r="AI463" s="40" t="str">
        <f t="shared" si="6"/>
        <v/>
      </c>
    </row>
    <row r="464" ht="15.75" customHeight="1">
      <c r="A464" s="126"/>
      <c r="B464" s="42"/>
      <c r="C464" s="41"/>
      <c r="D464" s="41"/>
      <c r="E464" s="64"/>
      <c r="F464" s="64"/>
      <c r="G464" s="41"/>
      <c r="H464" s="41"/>
      <c r="I464" s="123"/>
      <c r="J464" s="123"/>
      <c r="K464" s="123"/>
      <c r="L464" s="123"/>
      <c r="M464" s="41"/>
      <c r="N464" s="123"/>
      <c r="O464" s="65"/>
      <c r="P464" s="123"/>
      <c r="Q464" s="123"/>
      <c r="R464" s="123"/>
      <c r="S464" s="42"/>
      <c r="T464" s="42"/>
      <c r="U464" s="40" t="str">
        <f t="shared" si="9"/>
        <v/>
      </c>
      <c r="V464" s="41"/>
      <c r="W464" s="42"/>
      <c r="X464" s="42"/>
      <c r="Y464" s="43"/>
      <c r="Z464" s="44"/>
      <c r="AA464" s="45" t="str">
        <f t="shared" si="2"/>
        <v/>
      </c>
      <c r="AB464" s="42"/>
      <c r="AC464" s="41"/>
      <c r="AD464" s="41"/>
      <c r="AE464" s="46" t="str">
        <f t="shared" si="3"/>
        <v/>
      </c>
      <c r="AF464" s="46" t="str">
        <f t="shared" si="7"/>
        <v/>
      </c>
      <c r="AG464" s="40" t="str">
        <f t="shared" si="4"/>
        <v/>
      </c>
      <c r="AH464" s="40" t="str">
        <f t="shared" si="5"/>
        <v/>
      </c>
      <c r="AI464" s="40" t="str">
        <f t="shared" si="6"/>
        <v/>
      </c>
    </row>
    <row r="465" ht="15.75" customHeight="1">
      <c r="A465" s="126"/>
      <c r="B465" s="42"/>
      <c r="C465" s="41"/>
      <c r="D465" s="41"/>
      <c r="E465" s="64"/>
      <c r="F465" s="64"/>
      <c r="G465" s="41"/>
      <c r="H465" s="41"/>
      <c r="I465" s="123"/>
      <c r="J465" s="123"/>
      <c r="K465" s="123"/>
      <c r="L465" s="123"/>
      <c r="M465" s="41"/>
      <c r="N465" s="123"/>
      <c r="O465" s="65"/>
      <c r="P465" s="123"/>
      <c r="Q465" s="123"/>
      <c r="R465" s="123"/>
      <c r="S465" s="42"/>
      <c r="T465" s="42"/>
      <c r="U465" s="40" t="str">
        <f t="shared" si="9"/>
        <v/>
      </c>
      <c r="V465" s="41"/>
      <c r="W465" s="42"/>
      <c r="X465" s="42"/>
      <c r="Y465" s="43"/>
      <c r="Z465" s="44"/>
      <c r="AA465" s="45" t="str">
        <f t="shared" si="2"/>
        <v/>
      </c>
      <c r="AB465" s="42"/>
      <c r="AC465" s="41"/>
      <c r="AD465" s="41"/>
      <c r="AE465" s="46" t="str">
        <f t="shared" si="3"/>
        <v/>
      </c>
      <c r="AF465" s="46" t="str">
        <f t="shared" si="7"/>
        <v/>
      </c>
      <c r="AG465" s="40" t="str">
        <f t="shared" si="4"/>
        <v/>
      </c>
      <c r="AH465" s="40" t="str">
        <f t="shared" si="5"/>
        <v/>
      </c>
      <c r="AI465" s="40" t="str">
        <f t="shared" si="6"/>
        <v/>
      </c>
    </row>
    <row r="466" ht="15.75" customHeight="1">
      <c r="A466" s="126"/>
      <c r="B466" s="42"/>
      <c r="C466" s="41"/>
      <c r="D466" s="41"/>
      <c r="E466" s="64"/>
      <c r="F466" s="64"/>
      <c r="G466" s="41"/>
      <c r="H466" s="41"/>
      <c r="I466" s="123"/>
      <c r="J466" s="123"/>
      <c r="K466" s="123"/>
      <c r="L466" s="123"/>
      <c r="M466" s="41"/>
      <c r="N466" s="123"/>
      <c r="O466" s="65"/>
      <c r="P466" s="123"/>
      <c r="Q466" s="123"/>
      <c r="R466" s="123"/>
      <c r="S466" s="42"/>
      <c r="T466" s="42"/>
      <c r="U466" s="40" t="str">
        <f t="shared" si="9"/>
        <v/>
      </c>
      <c r="V466" s="41"/>
      <c r="W466" s="42"/>
      <c r="X466" s="42"/>
      <c r="Y466" s="43"/>
      <c r="Z466" s="44"/>
      <c r="AA466" s="45" t="str">
        <f t="shared" si="2"/>
        <v/>
      </c>
      <c r="AB466" s="42"/>
      <c r="AC466" s="41"/>
      <c r="AD466" s="41"/>
      <c r="AE466" s="46" t="str">
        <f t="shared" si="3"/>
        <v/>
      </c>
      <c r="AF466" s="46" t="str">
        <f t="shared" si="7"/>
        <v/>
      </c>
      <c r="AG466" s="40" t="str">
        <f t="shared" si="4"/>
        <v/>
      </c>
      <c r="AH466" s="40" t="str">
        <f t="shared" si="5"/>
        <v/>
      </c>
      <c r="AI466" s="40" t="str">
        <f t="shared" si="6"/>
        <v/>
      </c>
    </row>
    <row r="467" ht="15.75" customHeight="1">
      <c r="A467" s="126"/>
      <c r="B467" s="42"/>
      <c r="C467" s="41"/>
      <c r="D467" s="41"/>
      <c r="E467" s="64"/>
      <c r="F467" s="64"/>
      <c r="G467" s="41"/>
      <c r="H467" s="41"/>
      <c r="I467" s="123"/>
      <c r="J467" s="123"/>
      <c r="K467" s="123"/>
      <c r="L467" s="123"/>
      <c r="M467" s="41"/>
      <c r="N467" s="123"/>
      <c r="O467" s="65"/>
      <c r="P467" s="123"/>
      <c r="Q467" s="123"/>
      <c r="R467" s="123"/>
      <c r="S467" s="42"/>
      <c r="T467" s="42"/>
      <c r="U467" s="40" t="str">
        <f t="shared" si="9"/>
        <v/>
      </c>
      <c r="V467" s="41"/>
      <c r="W467" s="42"/>
      <c r="X467" s="42"/>
      <c r="Y467" s="43"/>
      <c r="Z467" s="44"/>
      <c r="AA467" s="45" t="str">
        <f t="shared" si="2"/>
        <v/>
      </c>
      <c r="AB467" s="42"/>
      <c r="AC467" s="41"/>
      <c r="AD467" s="41"/>
      <c r="AE467" s="46" t="str">
        <f t="shared" si="3"/>
        <v/>
      </c>
      <c r="AF467" s="46" t="str">
        <f t="shared" si="7"/>
        <v/>
      </c>
      <c r="AG467" s="40" t="str">
        <f t="shared" si="4"/>
        <v/>
      </c>
      <c r="AH467" s="40" t="str">
        <f t="shared" si="5"/>
        <v/>
      </c>
      <c r="AI467" s="40" t="str">
        <f t="shared" si="6"/>
        <v/>
      </c>
    </row>
    <row r="468" ht="15.75" customHeight="1">
      <c r="A468" s="126"/>
      <c r="B468" s="42"/>
      <c r="C468" s="41"/>
      <c r="D468" s="41"/>
      <c r="E468" s="64"/>
      <c r="F468" s="64"/>
      <c r="G468" s="41"/>
      <c r="H468" s="41"/>
      <c r="I468" s="123"/>
      <c r="J468" s="123"/>
      <c r="K468" s="123"/>
      <c r="L468" s="123"/>
      <c r="M468" s="41"/>
      <c r="N468" s="123"/>
      <c r="O468" s="65"/>
      <c r="P468" s="123"/>
      <c r="Q468" s="123"/>
      <c r="R468" s="123"/>
      <c r="S468" s="42"/>
      <c r="T468" s="42"/>
      <c r="U468" s="40" t="str">
        <f t="shared" si="9"/>
        <v/>
      </c>
      <c r="V468" s="41"/>
      <c r="W468" s="42"/>
      <c r="X468" s="42"/>
      <c r="Y468" s="43"/>
      <c r="Z468" s="44"/>
      <c r="AA468" s="45" t="str">
        <f t="shared" si="2"/>
        <v/>
      </c>
      <c r="AB468" s="42"/>
      <c r="AC468" s="41"/>
      <c r="AD468" s="41"/>
      <c r="AE468" s="46" t="str">
        <f t="shared" si="3"/>
        <v/>
      </c>
      <c r="AF468" s="46" t="str">
        <f t="shared" si="7"/>
        <v/>
      </c>
      <c r="AG468" s="40" t="str">
        <f t="shared" si="4"/>
        <v/>
      </c>
      <c r="AH468" s="40" t="str">
        <f t="shared" si="5"/>
        <v/>
      </c>
      <c r="AI468" s="40" t="str">
        <f t="shared" si="6"/>
        <v/>
      </c>
    </row>
    <row r="469" ht="15.75" customHeight="1">
      <c r="A469" s="126"/>
      <c r="B469" s="42"/>
      <c r="C469" s="41"/>
      <c r="D469" s="41"/>
      <c r="E469" s="64"/>
      <c r="F469" s="64"/>
      <c r="G469" s="41"/>
      <c r="H469" s="41"/>
      <c r="I469" s="123"/>
      <c r="J469" s="123"/>
      <c r="K469" s="123"/>
      <c r="L469" s="123"/>
      <c r="M469" s="41"/>
      <c r="N469" s="123"/>
      <c r="O469" s="65"/>
      <c r="P469" s="123"/>
      <c r="Q469" s="123"/>
      <c r="R469" s="123"/>
      <c r="S469" s="42"/>
      <c r="T469" s="42"/>
      <c r="U469" s="40" t="str">
        <f t="shared" si="9"/>
        <v/>
      </c>
      <c r="V469" s="41"/>
      <c r="W469" s="42"/>
      <c r="X469" s="42"/>
      <c r="Y469" s="43"/>
      <c r="Z469" s="44"/>
      <c r="AA469" s="45" t="str">
        <f t="shared" si="2"/>
        <v/>
      </c>
      <c r="AB469" s="42"/>
      <c r="AC469" s="41"/>
      <c r="AD469" s="41"/>
      <c r="AE469" s="46" t="str">
        <f t="shared" si="3"/>
        <v/>
      </c>
      <c r="AF469" s="46" t="str">
        <f t="shared" si="7"/>
        <v/>
      </c>
      <c r="AG469" s="40" t="str">
        <f t="shared" si="4"/>
        <v/>
      </c>
      <c r="AH469" s="40" t="str">
        <f t="shared" si="5"/>
        <v/>
      </c>
      <c r="AI469" s="40" t="str">
        <f t="shared" si="6"/>
        <v/>
      </c>
    </row>
    <row r="470" ht="15.75" customHeight="1">
      <c r="A470" s="126"/>
      <c r="B470" s="42"/>
      <c r="C470" s="41"/>
      <c r="D470" s="41"/>
      <c r="E470" s="64"/>
      <c r="F470" s="64"/>
      <c r="G470" s="41"/>
      <c r="H470" s="41"/>
      <c r="I470" s="123"/>
      <c r="J470" s="123"/>
      <c r="K470" s="123"/>
      <c r="L470" s="123"/>
      <c r="M470" s="41"/>
      <c r="N470" s="123"/>
      <c r="O470" s="65"/>
      <c r="P470" s="123"/>
      <c r="Q470" s="123"/>
      <c r="R470" s="123"/>
      <c r="S470" s="42"/>
      <c r="T470" s="42"/>
      <c r="U470" s="40" t="str">
        <f t="shared" si="9"/>
        <v/>
      </c>
      <c r="V470" s="41"/>
      <c r="W470" s="42"/>
      <c r="X470" s="42"/>
      <c r="Y470" s="43"/>
      <c r="Z470" s="44"/>
      <c r="AA470" s="45" t="str">
        <f t="shared" si="2"/>
        <v/>
      </c>
      <c r="AB470" s="42"/>
      <c r="AC470" s="41"/>
      <c r="AD470" s="41"/>
      <c r="AE470" s="46" t="str">
        <f t="shared" si="3"/>
        <v/>
      </c>
      <c r="AF470" s="46" t="str">
        <f t="shared" si="7"/>
        <v/>
      </c>
      <c r="AG470" s="40" t="str">
        <f t="shared" si="4"/>
        <v/>
      </c>
      <c r="AH470" s="40" t="str">
        <f t="shared" si="5"/>
        <v/>
      </c>
      <c r="AI470" s="40" t="str">
        <f t="shared" si="6"/>
        <v/>
      </c>
    </row>
    <row r="471" ht="15.75" customHeight="1">
      <c r="A471" s="126"/>
      <c r="B471" s="42"/>
      <c r="C471" s="41"/>
      <c r="D471" s="41"/>
      <c r="E471" s="64"/>
      <c r="F471" s="64"/>
      <c r="G471" s="41"/>
      <c r="H471" s="41"/>
      <c r="I471" s="123"/>
      <c r="J471" s="123"/>
      <c r="K471" s="123"/>
      <c r="L471" s="123"/>
      <c r="M471" s="41"/>
      <c r="N471" s="123"/>
      <c r="O471" s="65"/>
      <c r="P471" s="123"/>
      <c r="Q471" s="123"/>
      <c r="R471" s="123"/>
      <c r="S471" s="42"/>
      <c r="T471" s="42"/>
      <c r="U471" s="40" t="str">
        <f t="shared" si="9"/>
        <v/>
      </c>
      <c r="V471" s="41"/>
      <c r="W471" s="42"/>
      <c r="X471" s="42"/>
      <c r="Y471" s="43"/>
      <c r="Z471" s="44"/>
      <c r="AA471" s="45" t="str">
        <f t="shared" si="2"/>
        <v/>
      </c>
      <c r="AB471" s="42"/>
      <c r="AC471" s="41"/>
      <c r="AD471" s="41"/>
      <c r="AE471" s="46" t="str">
        <f t="shared" si="3"/>
        <v/>
      </c>
      <c r="AF471" s="46" t="str">
        <f t="shared" si="7"/>
        <v/>
      </c>
      <c r="AG471" s="40" t="str">
        <f t="shared" si="4"/>
        <v/>
      </c>
      <c r="AH471" s="40" t="str">
        <f t="shared" si="5"/>
        <v/>
      </c>
      <c r="AI471" s="40" t="str">
        <f t="shared" si="6"/>
        <v/>
      </c>
    </row>
    <row r="472" ht="15.75" customHeight="1">
      <c r="A472" s="126"/>
      <c r="B472" s="42"/>
      <c r="C472" s="41"/>
      <c r="D472" s="41"/>
      <c r="E472" s="64"/>
      <c r="F472" s="64"/>
      <c r="G472" s="41"/>
      <c r="H472" s="41"/>
      <c r="I472" s="123"/>
      <c r="J472" s="123"/>
      <c r="K472" s="123"/>
      <c r="L472" s="123"/>
      <c r="M472" s="41"/>
      <c r="N472" s="123"/>
      <c r="O472" s="65"/>
      <c r="P472" s="123"/>
      <c r="Q472" s="123"/>
      <c r="R472" s="123"/>
      <c r="S472" s="42"/>
      <c r="T472" s="42"/>
      <c r="U472" s="40" t="str">
        <f t="shared" si="9"/>
        <v/>
      </c>
      <c r="V472" s="41"/>
      <c r="W472" s="42"/>
      <c r="X472" s="42"/>
      <c r="Y472" s="43"/>
      <c r="Z472" s="44"/>
      <c r="AA472" s="45" t="str">
        <f t="shared" si="2"/>
        <v/>
      </c>
      <c r="AB472" s="42"/>
      <c r="AC472" s="41"/>
      <c r="AD472" s="41"/>
      <c r="AE472" s="46" t="str">
        <f t="shared" si="3"/>
        <v/>
      </c>
      <c r="AF472" s="46" t="str">
        <f t="shared" si="7"/>
        <v/>
      </c>
      <c r="AG472" s="40" t="str">
        <f t="shared" si="4"/>
        <v/>
      </c>
      <c r="AH472" s="40" t="str">
        <f t="shared" si="5"/>
        <v/>
      </c>
      <c r="AI472" s="40" t="str">
        <f t="shared" si="6"/>
        <v/>
      </c>
    </row>
    <row r="473" ht="15.75" customHeight="1">
      <c r="A473" s="126"/>
      <c r="B473" s="42"/>
      <c r="C473" s="41"/>
      <c r="D473" s="41"/>
      <c r="E473" s="64"/>
      <c r="F473" s="64"/>
      <c r="G473" s="41"/>
      <c r="H473" s="41"/>
      <c r="I473" s="123"/>
      <c r="J473" s="123"/>
      <c r="K473" s="123"/>
      <c r="L473" s="123"/>
      <c r="M473" s="41"/>
      <c r="N473" s="123"/>
      <c r="O473" s="65"/>
      <c r="P473" s="123"/>
      <c r="Q473" s="123"/>
      <c r="R473" s="123"/>
      <c r="S473" s="42"/>
      <c r="T473" s="42"/>
      <c r="U473" s="40" t="str">
        <f t="shared" si="9"/>
        <v/>
      </c>
      <c r="V473" s="41"/>
      <c r="W473" s="42"/>
      <c r="X473" s="42"/>
      <c r="Y473" s="43"/>
      <c r="Z473" s="44"/>
      <c r="AA473" s="45" t="str">
        <f t="shared" si="2"/>
        <v/>
      </c>
      <c r="AB473" s="42"/>
      <c r="AC473" s="41"/>
      <c r="AD473" s="41"/>
      <c r="AE473" s="46" t="str">
        <f t="shared" si="3"/>
        <v/>
      </c>
      <c r="AF473" s="46" t="str">
        <f t="shared" si="7"/>
        <v/>
      </c>
      <c r="AG473" s="40" t="str">
        <f t="shared" si="4"/>
        <v/>
      </c>
      <c r="AH473" s="40" t="str">
        <f t="shared" si="5"/>
        <v/>
      </c>
      <c r="AI473" s="40" t="str">
        <f t="shared" si="6"/>
        <v/>
      </c>
    </row>
    <row r="474" ht="15.75" customHeight="1">
      <c r="A474" s="126"/>
      <c r="B474" s="42"/>
      <c r="C474" s="41"/>
      <c r="D474" s="41"/>
      <c r="E474" s="64"/>
      <c r="F474" s="64"/>
      <c r="G474" s="41"/>
      <c r="H474" s="41"/>
      <c r="I474" s="123"/>
      <c r="J474" s="123"/>
      <c r="K474" s="123"/>
      <c r="L474" s="123"/>
      <c r="M474" s="41"/>
      <c r="N474" s="123"/>
      <c r="O474" s="65"/>
      <c r="P474" s="123"/>
      <c r="Q474" s="123"/>
      <c r="R474" s="123"/>
      <c r="S474" s="42"/>
      <c r="T474" s="42"/>
      <c r="U474" s="40" t="str">
        <f t="shared" si="9"/>
        <v/>
      </c>
      <c r="V474" s="41"/>
      <c r="W474" s="42"/>
      <c r="X474" s="42"/>
      <c r="Y474" s="43"/>
      <c r="Z474" s="44"/>
      <c r="AA474" s="45" t="str">
        <f t="shared" si="2"/>
        <v/>
      </c>
      <c r="AB474" s="42"/>
      <c r="AC474" s="41"/>
      <c r="AD474" s="41"/>
      <c r="AE474" s="46" t="str">
        <f t="shared" si="3"/>
        <v/>
      </c>
      <c r="AF474" s="46" t="str">
        <f t="shared" si="7"/>
        <v/>
      </c>
      <c r="AG474" s="40" t="str">
        <f t="shared" si="4"/>
        <v/>
      </c>
      <c r="AH474" s="40" t="str">
        <f t="shared" si="5"/>
        <v/>
      </c>
      <c r="AI474" s="40" t="str">
        <f t="shared" si="6"/>
        <v/>
      </c>
    </row>
    <row r="475" ht="15.75" customHeight="1">
      <c r="A475" s="126"/>
      <c r="B475" s="42"/>
      <c r="C475" s="41"/>
      <c r="D475" s="41"/>
      <c r="E475" s="64"/>
      <c r="F475" s="64"/>
      <c r="G475" s="41"/>
      <c r="H475" s="41"/>
      <c r="I475" s="123"/>
      <c r="J475" s="123"/>
      <c r="K475" s="123"/>
      <c r="L475" s="123"/>
      <c r="M475" s="41"/>
      <c r="N475" s="123"/>
      <c r="O475" s="65"/>
      <c r="P475" s="123"/>
      <c r="Q475" s="123"/>
      <c r="R475" s="123"/>
      <c r="S475" s="42"/>
      <c r="T475" s="42"/>
      <c r="U475" s="40" t="str">
        <f t="shared" si="9"/>
        <v/>
      </c>
      <c r="V475" s="41"/>
      <c r="W475" s="42"/>
      <c r="X475" s="42"/>
      <c r="Y475" s="43"/>
      <c r="Z475" s="44"/>
      <c r="AA475" s="45" t="str">
        <f t="shared" si="2"/>
        <v/>
      </c>
      <c r="AB475" s="42"/>
      <c r="AC475" s="41"/>
      <c r="AD475" s="41"/>
      <c r="AE475" s="46" t="str">
        <f t="shared" si="3"/>
        <v/>
      </c>
      <c r="AF475" s="46" t="str">
        <f t="shared" si="7"/>
        <v/>
      </c>
      <c r="AG475" s="40" t="str">
        <f t="shared" si="4"/>
        <v/>
      </c>
      <c r="AH475" s="40" t="str">
        <f t="shared" si="5"/>
        <v/>
      </c>
      <c r="AI475" s="40" t="str">
        <f t="shared" si="6"/>
        <v/>
      </c>
    </row>
    <row r="476" ht="15.75" customHeight="1">
      <c r="A476" s="126"/>
      <c r="B476" s="42"/>
      <c r="C476" s="41"/>
      <c r="D476" s="41"/>
      <c r="E476" s="64"/>
      <c r="F476" s="64"/>
      <c r="G476" s="41"/>
      <c r="H476" s="41"/>
      <c r="I476" s="123"/>
      <c r="J476" s="123"/>
      <c r="K476" s="123"/>
      <c r="L476" s="123"/>
      <c r="M476" s="41"/>
      <c r="N476" s="123"/>
      <c r="O476" s="65"/>
      <c r="P476" s="123"/>
      <c r="Q476" s="123"/>
      <c r="R476" s="123"/>
      <c r="S476" s="42"/>
      <c r="T476" s="42"/>
      <c r="U476" s="40" t="str">
        <f t="shared" si="9"/>
        <v/>
      </c>
      <c r="V476" s="41"/>
      <c r="W476" s="42"/>
      <c r="X476" s="42"/>
      <c r="Y476" s="43"/>
      <c r="Z476" s="44"/>
      <c r="AA476" s="45" t="str">
        <f t="shared" si="2"/>
        <v/>
      </c>
      <c r="AB476" s="42"/>
      <c r="AC476" s="41"/>
      <c r="AD476" s="41"/>
      <c r="AE476" s="46" t="str">
        <f t="shared" si="3"/>
        <v/>
      </c>
      <c r="AF476" s="46" t="str">
        <f t="shared" si="7"/>
        <v/>
      </c>
      <c r="AG476" s="40" t="str">
        <f t="shared" si="4"/>
        <v/>
      </c>
      <c r="AH476" s="40" t="str">
        <f t="shared" si="5"/>
        <v/>
      </c>
      <c r="AI476" s="40" t="str">
        <f t="shared" si="6"/>
        <v/>
      </c>
    </row>
    <row r="477" ht="15.75" customHeight="1">
      <c r="A477" s="126"/>
      <c r="B477" s="42"/>
      <c r="C477" s="41"/>
      <c r="D477" s="41"/>
      <c r="E477" s="64"/>
      <c r="F477" s="64"/>
      <c r="G477" s="41"/>
      <c r="H477" s="41"/>
      <c r="I477" s="123"/>
      <c r="J477" s="123"/>
      <c r="K477" s="123"/>
      <c r="L477" s="123"/>
      <c r="M477" s="41"/>
      <c r="N477" s="123"/>
      <c r="O477" s="65"/>
      <c r="P477" s="123"/>
      <c r="Q477" s="123"/>
      <c r="R477" s="123"/>
      <c r="S477" s="42"/>
      <c r="T477" s="42"/>
      <c r="U477" s="40" t="str">
        <f t="shared" si="9"/>
        <v/>
      </c>
      <c r="V477" s="41"/>
      <c r="W477" s="42"/>
      <c r="X477" s="42"/>
      <c r="Y477" s="43"/>
      <c r="Z477" s="44"/>
      <c r="AA477" s="45" t="str">
        <f t="shared" si="2"/>
        <v/>
      </c>
      <c r="AB477" s="42"/>
      <c r="AC477" s="41"/>
      <c r="AD477" s="41"/>
      <c r="AE477" s="46" t="str">
        <f t="shared" si="3"/>
        <v/>
      </c>
      <c r="AF477" s="46" t="str">
        <f t="shared" si="7"/>
        <v/>
      </c>
      <c r="AG477" s="40" t="str">
        <f t="shared" si="4"/>
        <v/>
      </c>
      <c r="AH477" s="40" t="str">
        <f t="shared" si="5"/>
        <v/>
      </c>
      <c r="AI477" s="40" t="str">
        <f t="shared" si="6"/>
        <v/>
      </c>
    </row>
    <row r="478" ht="15.75" customHeight="1">
      <c r="A478" s="126"/>
      <c r="B478" s="42"/>
      <c r="C478" s="41"/>
      <c r="D478" s="41"/>
      <c r="E478" s="64"/>
      <c r="F478" s="64"/>
      <c r="G478" s="41"/>
      <c r="H478" s="41"/>
      <c r="I478" s="123"/>
      <c r="J478" s="123"/>
      <c r="K478" s="123"/>
      <c r="L478" s="123"/>
      <c r="M478" s="41"/>
      <c r="N478" s="123"/>
      <c r="O478" s="65"/>
      <c r="P478" s="123"/>
      <c r="Q478" s="123"/>
      <c r="R478" s="123"/>
      <c r="S478" s="42"/>
      <c r="T478" s="42"/>
      <c r="U478" s="40" t="str">
        <f t="shared" si="9"/>
        <v/>
      </c>
      <c r="V478" s="41"/>
      <c r="W478" s="42"/>
      <c r="X478" s="42"/>
      <c r="Y478" s="43"/>
      <c r="Z478" s="44"/>
      <c r="AA478" s="45" t="str">
        <f t="shared" si="2"/>
        <v/>
      </c>
      <c r="AB478" s="42"/>
      <c r="AC478" s="41"/>
      <c r="AD478" s="41"/>
      <c r="AE478" s="46" t="str">
        <f t="shared" si="3"/>
        <v/>
      </c>
      <c r="AF478" s="46" t="str">
        <f t="shared" si="7"/>
        <v/>
      </c>
      <c r="AG478" s="40" t="str">
        <f t="shared" si="4"/>
        <v/>
      </c>
      <c r="AH478" s="40" t="str">
        <f t="shared" si="5"/>
        <v/>
      </c>
      <c r="AI478" s="40" t="str">
        <f t="shared" si="6"/>
        <v/>
      </c>
    </row>
    <row r="479" ht="15.75" customHeight="1">
      <c r="A479" s="126"/>
      <c r="B479" s="42"/>
      <c r="C479" s="41"/>
      <c r="D479" s="41"/>
      <c r="E479" s="64"/>
      <c r="F479" s="64"/>
      <c r="G479" s="41"/>
      <c r="H479" s="41"/>
      <c r="I479" s="123"/>
      <c r="J479" s="123"/>
      <c r="K479" s="123"/>
      <c r="L479" s="123"/>
      <c r="M479" s="41"/>
      <c r="N479" s="123"/>
      <c r="O479" s="65"/>
      <c r="P479" s="123"/>
      <c r="Q479" s="123"/>
      <c r="R479" s="123"/>
      <c r="S479" s="42"/>
      <c r="T479" s="42"/>
      <c r="U479" s="40" t="str">
        <f t="shared" si="9"/>
        <v/>
      </c>
      <c r="V479" s="41"/>
      <c r="W479" s="42"/>
      <c r="X479" s="42"/>
      <c r="Y479" s="43"/>
      <c r="Z479" s="44"/>
      <c r="AA479" s="45" t="str">
        <f t="shared" si="2"/>
        <v/>
      </c>
      <c r="AB479" s="42"/>
      <c r="AC479" s="41"/>
      <c r="AD479" s="41"/>
      <c r="AE479" s="46" t="str">
        <f t="shared" si="3"/>
        <v/>
      </c>
      <c r="AF479" s="46" t="str">
        <f t="shared" si="7"/>
        <v/>
      </c>
      <c r="AG479" s="40" t="str">
        <f t="shared" si="4"/>
        <v/>
      </c>
      <c r="AH479" s="40" t="str">
        <f t="shared" si="5"/>
        <v/>
      </c>
      <c r="AI479" s="40" t="str">
        <f t="shared" si="6"/>
        <v/>
      </c>
    </row>
    <row r="480" ht="15.75" customHeight="1">
      <c r="A480" s="126"/>
      <c r="B480" s="42"/>
      <c r="C480" s="41"/>
      <c r="D480" s="41"/>
      <c r="E480" s="64"/>
      <c r="F480" s="64"/>
      <c r="G480" s="41"/>
      <c r="H480" s="41"/>
      <c r="I480" s="123"/>
      <c r="J480" s="123"/>
      <c r="K480" s="123"/>
      <c r="L480" s="123"/>
      <c r="M480" s="41"/>
      <c r="N480" s="123"/>
      <c r="O480" s="65"/>
      <c r="P480" s="123"/>
      <c r="Q480" s="123"/>
      <c r="R480" s="123"/>
      <c r="S480" s="42"/>
      <c r="T480" s="42"/>
      <c r="U480" s="40" t="str">
        <f t="shared" si="9"/>
        <v/>
      </c>
      <c r="V480" s="41"/>
      <c r="W480" s="42"/>
      <c r="X480" s="42"/>
      <c r="Y480" s="43"/>
      <c r="Z480" s="44"/>
      <c r="AA480" s="45" t="str">
        <f t="shared" si="2"/>
        <v/>
      </c>
      <c r="AB480" s="42"/>
      <c r="AC480" s="41"/>
      <c r="AD480" s="41"/>
      <c r="AE480" s="46" t="str">
        <f t="shared" si="3"/>
        <v/>
      </c>
      <c r="AF480" s="46" t="str">
        <f t="shared" si="7"/>
        <v/>
      </c>
      <c r="AG480" s="40" t="str">
        <f t="shared" si="4"/>
        <v/>
      </c>
      <c r="AH480" s="40" t="str">
        <f t="shared" si="5"/>
        <v/>
      </c>
      <c r="AI480" s="40" t="str">
        <f t="shared" si="6"/>
        <v/>
      </c>
    </row>
    <row r="481" ht="15.75" customHeight="1">
      <c r="A481" s="126"/>
      <c r="B481" s="42"/>
      <c r="C481" s="41"/>
      <c r="D481" s="41"/>
      <c r="E481" s="64"/>
      <c r="F481" s="64"/>
      <c r="G481" s="41"/>
      <c r="H481" s="41"/>
      <c r="I481" s="123"/>
      <c r="J481" s="123"/>
      <c r="K481" s="123"/>
      <c r="L481" s="123"/>
      <c r="M481" s="41"/>
      <c r="N481" s="123"/>
      <c r="O481" s="65"/>
      <c r="P481" s="123"/>
      <c r="Q481" s="123"/>
      <c r="R481" s="123"/>
      <c r="S481" s="42"/>
      <c r="T481" s="42"/>
      <c r="U481" s="40" t="str">
        <f t="shared" si="9"/>
        <v/>
      </c>
      <c r="V481" s="41"/>
      <c r="W481" s="42"/>
      <c r="X481" s="42"/>
      <c r="Y481" s="43"/>
      <c r="Z481" s="44"/>
      <c r="AA481" s="45" t="str">
        <f t="shared" si="2"/>
        <v/>
      </c>
      <c r="AB481" s="42"/>
      <c r="AC481" s="41"/>
      <c r="AD481" s="41"/>
      <c r="AE481" s="46" t="str">
        <f t="shared" si="3"/>
        <v/>
      </c>
      <c r="AF481" s="46" t="str">
        <f t="shared" si="7"/>
        <v/>
      </c>
      <c r="AG481" s="40" t="str">
        <f t="shared" si="4"/>
        <v/>
      </c>
      <c r="AH481" s="40" t="str">
        <f t="shared" si="5"/>
        <v/>
      </c>
      <c r="AI481" s="40" t="str">
        <f t="shared" si="6"/>
        <v/>
      </c>
    </row>
    <row r="482" ht="15.75" customHeight="1">
      <c r="A482" s="126"/>
      <c r="B482" s="42"/>
      <c r="C482" s="41"/>
      <c r="D482" s="41"/>
      <c r="E482" s="64"/>
      <c r="F482" s="64"/>
      <c r="G482" s="41"/>
      <c r="H482" s="41"/>
      <c r="I482" s="123"/>
      <c r="J482" s="123"/>
      <c r="K482" s="123"/>
      <c r="L482" s="123"/>
      <c r="M482" s="41"/>
      <c r="N482" s="123"/>
      <c r="O482" s="65"/>
      <c r="P482" s="123"/>
      <c r="Q482" s="123"/>
      <c r="R482" s="123"/>
      <c r="S482" s="42"/>
      <c r="T482" s="42"/>
      <c r="U482" s="40" t="str">
        <f t="shared" si="9"/>
        <v/>
      </c>
      <c r="V482" s="41"/>
      <c r="W482" s="42"/>
      <c r="X482" s="42"/>
      <c r="Y482" s="43"/>
      <c r="Z482" s="44"/>
      <c r="AA482" s="45" t="str">
        <f t="shared" si="2"/>
        <v/>
      </c>
      <c r="AB482" s="42"/>
      <c r="AC482" s="41"/>
      <c r="AD482" s="41"/>
      <c r="AE482" s="46" t="str">
        <f t="shared" si="3"/>
        <v/>
      </c>
      <c r="AF482" s="46" t="str">
        <f t="shared" si="7"/>
        <v/>
      </c>
      <c r="AG482" s="40" t="str">
        <f t="shared" si="4"/>
        <v/>
      </c>
      <c r="AH482" s="40" t="str">
        <f t="shared" si="5"/>
        <v/>
      </c>
      <c r="AI482" s="40" t="str">
        <f t="shared" si="6"/>
        <v/>
      </c>
    </row>
    <row r="483" ht="15.75" customHeight="1">
      <c r="A483" s="126"/>
      <c r="B483" s="42"/>
      <c r="C483" s="41"/>
      <c r="D483" s="41"/>
      <c r="E483" s="64"/>
      <c r="F483" s="64"/>
      <c r="G483" s="41"/>
      <c r="H483" s="41"/>
      <c r="I483" s="123"/>
      <c r="J483" s="123"/>
      <c r="K483" s="123"/>
      <c r="L483" s="123"/>
      <c r="M483" s="41"/>
      <c r="N483" s="123"/>
      <c r="O483" s="65"/>
      <c r="P483" s="123"/>
      <c r="Q483" s="123"/>
      <c r="R483" s="123"/>
      <c r="S483" s="42"/>
      <c r="T483" s="42"/>
      <c r="U483" s="40" t="str">
        <f t="shared" si="9"/>
        <v/>
      </c>
      <c r="V483" s="41"/>
      <c r="W483" s="42"/>
      <c r="X483" s="42"/>
      <c r="Y483" s="43"/>
      <c r="Z483" s="44"/>
      <c r="AA483" s="45" t="str">
        <f t="shared" si="2"/>
        <v/>
      </c>
      <c r="AB483" s="42"/>
      <c r="AC483" s="41"/>
      <c r="AD483" s="41"/>
      <c r="AE483" s="46" t="str">
        <f t="shared" si="3"/>
        <v/>
      </c>
      <c r="AF483" s="46" t="str">
        <f t="shared" si="7"/>
        <v/>
      </c>
      <c r="AG483" s="40" t="str">
        <f t="shared" si="4"/>
        <v/>
      </c>
      <c r="AH483" s="40" t="str">
        <f t="shared" si="5"/>
        <v/>
      </c>
      <c r="AI483" s="40" t="str">
        <f t="shared" si="6"/>
        <v/>
      </c>
    </row>
    <row r="484" ht="15.75" customHeight="1">
      <c r="A484" s="126"/>
      <c r="B484" s="42"/>
      <c r="C484" s="41"/>
      <c r="D484" s="41"/>
      <c r="E484" s="64"/>
      <c r="F484" s="64"/>
      <c r="G484" s="41"/>
      <c r="H484" s="41"/>
      <c r="I484" s="123"/>
      <c r="J484" s="123"/>
      <c r="K484" s="123"/>
      <c r="L484" s="123"/>
      <c r="M484" s="41"/>
      <c r="N484" s="123"/>
      <c r="O484" s="65"/>
      <c r="P484" s="123"/>
      <c r="Q484" s="123"/>
      <c r="R484" s="123"/>
      <c r="S484" s="42"/>
      <c r="T484" s="42"/>
      <c r="U484" s="40" t="str">
        <f t="shared" si="9"/>
        <v/>
      </c>
      <c r="V484" s="41"/>
      <c r="W484" s="42"/>
      <c r="X484" s="42"/>
      <c r="Y484" s="43"/>
      <c r="Z484" s="44"/>
      <c r="AA484" s="45" t="str">
        <f t="shared" si="2"/>
        <v/>
      </c>
      <c r="AB484" s="42"/>
      <c r="AC484" s="41"/>
      <c r="AD484" s="41"/>
      <c r="AE484" s="46" t="str">
        <f t="shared" si="3"/>
        <v/>
      </c>
      <c r="AF484" s="46" t="str">
        <f t="shared" si="7"/>
        <v/>
      </c>
      <c r="AG484" s="40" t="str">
        <f t="shared" si="4"/>
        <v/>
      </c>
      <c r="AH484" s="40" t="str">
        <f t="shared" si="5"/>
        <v/>
      </c>
      <c r="AI484" s="40" t="str">
        <f t="shared" si="6"/>
        <v/>
      </c>
    </row>
    <row r="485" ht="15.75" customHeight="1">
      <c r="A485" s="126"/>
      <c r="B485" s="42"/>
      <c r="C485" s="41"/>
      <c r="D485" s="41"/>
      <c r="E485" s="64"/>
      <c r="F485" s="64"/>
      <c r="G485" s="41"/>
      <c r="H485" s="41"/>
      <c r="I485" s="123"/>
      <c r="J485" s="123"/>
      <c r="K485" s="123"/>
      <c r="L485" s="123"/>
      <c r="M485" s="41"/>
      <c r="N485" s="123"/>
      <c r="O485" s="65"/>
      <c r="P485" s="123"/>
      <c r="Q485" s="123"/>
      <c r="R485" s="123"/>
      <c r="S485" s="42"/>
      <c r="T485" s="42"/>
      <c r="U485" s="40" t="str">
        <f t="shared" si="9"/>
        <v/>
      </c>
      <c r="V485" s="41"/>
      <c r="W485" s="42"/>
      <c r="X485" s="42"/>
      <c r="Y485" s="43"/>
      <c r="Z485" s="44"/>
      <c r="AA485" s="45" t="str">
        <f t="shared" si="2"/>
        <v/>
      </c>
      <c r="AB485" s="42"/>
      <c r="AC485" s="41"/>
      <c r="AD485" s="41"/>
      <c r="AE485" s="46" t="str">
        <f t="shared" si="3"/>
        <v/>
      </c>
      <c r="AF485" s="46" t="str">
        <f t="shared" si="7"/>
        <v/>
      </c>
      <c r="AG485" s="40" t="str">
        <f t="shared" si="4"/>
        <v/>
      </c>
      <c r="AH485" s="40" t="str">
        <f t="shared" si="5"/>
        <v/>
      </c>
      <c r="AI485" s="40" t="str">
        <f t="shared" si="6"/>
        <v/>
      </c>
    </row>
    <row r="486" ht="15.75" customHeight="1">
      <c r="A486" s="126"/>
      <c r="B486" s="42"/>
      <c r="C486" s="41"/>
      <c r="D486" s="41"/>
      <c r="E486" s="64"/>
      <c r="F486" s="64"/>
      <c r="G486" s="41"/>
      <c r="H486" s="41"/>
      <c r="I486" s="123"/>
      <c r="J486" s="123"/>
      <c r="K486" s="123"/>
      <c r="L486" s="123"/>
      <c r="M486" s="41"/>
      <c r="N486" s="123"/>
      <c r="O486" s="65"/>
      <c r="P486" s="123"/>
      <c r="Q486" s="123"/>
      <c r="R486" s="123"/>
      <c r="S486" s="42"/>
      <c r="T486" s="42"/>
      <c r="U486" s="40" t="str">
        <f t="shared" si="9"/>
        <v/>
      </c>
      <c r="V486" s="41"/>
      <c r="W486" s="42"/>
      <c r="X486" s="42"/>
      <c r="Y486" s="43"/>
      <c r="Z486" s="44"/>
      <c r="AA486" s="45" t="str">
        <f t="shared" si="2"/>
        <v/>
      </c>
      <c r="AB486" s="42"/>
      <c r="AC486" s="41"/>
      <c r="AD486" s="41"/>
      <c r="AE486" s="46" t="str">
        <f t="shared" si="3"/>
        <v/>
      </c>
      <c r="AF486" s="46" t="str">
        <f t="shared" si="7"/>
        <v/>
      </c>
      <c r="AG486" s="40" t="str">
        <f t="shared" si="4"/>
        <v/>
      </c>
      <c r="AH486" s="40" t="str">
        <f t="shared" si="5"/>
        <v/>
      </c>
      <c r="AI486" s="40" t="str">
        <f t="shared" si="6"/>
        <v/>
      </c>
    </row>
    <row r="487" ht="15.75" customHeight="1">
      <c r="A487" s="126"/>
      <c r="B487" s="42"/>
      <c r="C487" s="41"/>
      <c r="D487" s="41"/>
      <c r="E487" s="64"/>
      <c r="F487" s="64"/>
      <c r="G487" s="41"/>
      <c r="H487" s="41"/>
      <c r="I487" s="123"/>
      <c r="J487" s="123"/>
      <c r="K487" s="123"/>
      <c r="L487" s="123"/>
      <c r="M487" s="41"/>
      <c r="N487" s="123"/>
      <c r="O487" s="65"/>
      <c r="P487" s="123"/>
      <c r="Q487" s="123"/>
      <c r="R487" s="123"/>
      <c r="S487" s="42"/>
      <c r="T487" s="42"/>
      <c r="U487" s="40" t="str">
        <f t="shared" si="9"/>
        <v/>
      </c>
      <c r="V487" s="41"/>
      <c r="W487" s="42"/>
      <c r="X487" s="42"/>
      <c r="Y487" s="43"/>
      <c r="Z487" s="44"/>
      <c r="AA487" s="45" t="str">
        <f t="shared" si="2"/>
        <v/>
      </c>
      <c r="AB487" s="42"/>
      <c r="AC487" s="41"/>
      <c r="AD487" s="41"/>
      <c r="AE487" s="46" t="str">
        <f t="shared" si="3"/>
        <v/>
      </c>
      <c r="AF487" s="46" t="str">
        <f t="shared" si="7"/>
        <v/>
      </c>
      <c r="AG487" s="40" t="str">
        <f t="shared" si="4"/>
        <v/>
      </c>
      <c r="AH487" s="40" t="str">
        <f t="shared" si="5"/>
        <v/>
      </c>
      <c r="AI487" s="40" t="str">
        <f t="shared" si="6"/>
        <v/>
      </c>
    </row>
    <row r="488" ht="15.75" customHeight="1">
      <c r="A488" s="126"/>
      <c r="B488" s="42"/>
      <c r="C488" s="41"/>
      <c r="D488" s="41"/>
      <c r="E488" s="64"/>
      <c r="F488" s="64"/>
      <c r="G488" s="41"/>
      <c r="H488" s="41"/>
      <c r="I488" s="123"/>
      <c r="J488" s="123"/>
      <c r="K488" s="123"/>
      <c r="L488" s="123"/>
      <c r="M488" s="41"/>
      <c r="N488" s="123"/>
      <c r="O488" s="65"/>
      <c r="P488" s="123"/>
      <c r="Q488" s="123"/>
      <c r="R488" s="123"/>
      <c r="S488" s="42"/>
      <c r="T488" s="42"/>
      <c r="U488" s="40" t="str">
        <f t="shared" si="9"/>
        <v/>
      </c>
      <c r="V488" s="41"/>
      <c r="W488" s="42"/>
      <c r="X488" s="42"/>
      <c r="Y488" s="43"/>
      <c r="Z488" s="44"/>
      <c r="AA488" s="45" t="str">
        <f t="shared" si="2"/>
        <v/>
      </c>
      <c r="AB488" s="42"/>
      <c r="AC488" s="41"/>
      <c r="AD488" s="41"/>
      <c r="AE488" s="46" t="str">
        <f t="shared" si="3"/>
        <v/>
      </c>
      <c r="AF488" s="46" t="str">
        <f t="shared" si="7"/>
        <v/>
      </c>
      <c r="AG488" s="40" t="str">
        <f t="shared" si="4"/>
        <v/>
      </c>
      <c r="AH488" s="40" t="str">
        <f t="shared" si="5"/>
        <v/>
      </c>
      <c r="AI488" s="40" t="str">
        <f t="shared" si="6"/>
        <v/>
      </c>
    </row>
    <row r="489" ht="15.75" customHeight="1">
      <c r="A489" s="126"/>
      <c r="B489" s="42"/>
      <c r="C489" s="41"/>
      <c r="D489" s="41"/>
      <c r="E489" s="64"/>
      <c r="F489" s="64"/>
      <c r="G489" s="41"/>
      <c r="H489" s="41"/>
      <c r="I489" s="123"/>
      <c r="J489" s="123"/>
      <c r="K489" s="123"/>
      <c r="L489" s="123"/>
      <c r="M489" s="41"/>
      <c r="N489" s="123"/>
      <c r="O489" s="65"/>
      <c r="P489" s="123"/>
      <c r="Q489" s="123"/>
      <c r="R489" s="123"/>
      <c r="S489" s="42"/>
      <c r="T489" s="42"/>
      <c r="U489" s="40" t="str">
        <f t="shared" si="9"/>
        <v/>
      </c>
      <c r="V489" s="41"/>
      <c r="W489" s="42"/>
      <c r="X489" s="42"/>
      <c r="Y489" s="43"/>
      <c r="Z489" s="44"/>
      <c r="AA489" s="45" t="str">
        <f t="shared" si="2"/>
        <v/>
      </c>
      <c r="AB489" s="42"/>
      <c r="AC489" s="41"/>
      <c r="AD489" s="41"/>
      <c r="AE489" s="46" t="str">
        <f t="shared" si="3"/>
        <v/>
      </c>
      <c r="AF489" s="46" t="str">
        <f t="shared" si="7"/>
        <v/>
      </c>
      <c r="AG489" s="40" t="str">
        <f t="shared" si="4"/>
        <v/>
      </c>
      <c r="AH489" s="40" t="str">
        <f t="shared" si="5"/>
        <v/>
      </c>
      <c r="AI489" s="40" t="str">
        <f t="shared" si="6"/>
        <v/>
      </c>
    </row>
    <row r="490" ht="15.75" customHeight="1">
      <c r="A490" s="126"/>
      <c r="B490" s="42"/>
      <c r="C490" s="41"/>
      <c r="D490" s="41"/>
      <c r="E490" s="64"/>
      <c r="F490" s="64"/>
      <c r="G490" s="41"/>
      <c r="H490" s="41"/>
      <c r="I490" s="123"/>
      <c r="J490" s="123"/>
      <c r="K490" s="123"/>
      <c r="L490" s="123"/>
      <c r="M490" s="41"/>
      <c r="N490" s="123"/>
      <c r="O490" s="65"/>
      <c r="P490" s="123"/>
      <c r="Q490" s="123"/>
      <c r="R490" s="123"/>
      <c r="S490" s="42"/>
      <c r="T490" s="42"/>
      <c r="U490" s="40" t="str">
        <f t="shared" si="9"/>
        <v/>
      </c>
      <c r="V490" s="41"/>
      <c r="W490" s="42"/>
      <c r="X490" s="42"/>
      <c r="Y490" s="43"/>
      <c r="Z490" s="44"/>
      <c r="AA490" s="45" t="str">
        <f t="shared" si="2"/>
        <v/>
      </c>
      <c r="AB490" s="42"/>
      <c r="AC490" s="41"/>
      <c r="AD490" s="41"/>
      <c r="AE490" s="46" t="str">
        <f t="shared" si="3"/>
        <v/>
      </c>
      <c r="AF490" s="46" t="str">
        <f t="shared" si="7"/>
        <v/>
      </c>
      <c r="AG490" s="40" t="str">
        <f t="shared" si="4"/>
        <v/>
      </c>
      <c r="AH490" s="40" t="str">
        <f t="shared" si="5"/>
        <v/>
      </c>
      <c r="AI490" s="40" t="str">
        <f t="shared" si="6"/>
        <v/>
      </c>
    </row>
    <row r="491" ht="15.75" customHeight="1">
      <c r="A491" s="126"/>
      <c r="B491" s="42"/>
      <c r="C491" s="41"/>
      <c r="D491" s="41"/>
      <c r="E491" s="64"/>
      <c r="F491" s="64"/>
      <c r="G491" s="41"/>
      <c r="H491" s="41"/>
      <c r="I491" s="123"/>
      <c r="J491" s="123"/>
      <c r="K491" s="123"/>
      <c r="L491" s="123"/>
      <c r="M491" s="41"/>
      <c r="N491" s="123"/>
      <c r="O491" s="65"/>
      <c r="P491" s="123"/>
      <c r="Q491" s="123"/>
      <c r="R491" s="123"/>
      <c r="S491" s="42"/>
      <c r="T491" s="42"/>
      <c r="U491" s="40" t="str">
        <f t="shared" si="9"/>
        <v/>
      </c>
      <c r="V491" s="41"/>
      <c r="W491" s="42"/>
      <c r="X491" s="42"/>
      <c r="Y491" s="43"/>
      <c r="Z491" s="44"/>
      <c r="AA491" s="45" t="str">
        <f t="shared" si="2"/>
        <v/>
      </c>
      <c r="AB491" s="42"/>
      <c r="AC491" s="41"/>
      <c r="AD491" s="41"/>
      <c r="AE491" s="46" t="str">
        <f t="shared" si="3"/>
        <v/>
      </c>
      <c r="AF491" s="46" t="str">
        <f t="shared" si="7"/>
        <v/>
      </c>
      <c r="AG491" s="40" t="str">
        <f t="shared" si="4"/>
        <v/>
      </c>
      <c r="AH491" s="40" t="str">
        <f t="shared" si="5"/>
        <v/>
      </c>
      <c r="AI491" s="40" t="str">
        <f t="shared" si="6"/>
        <v/>
      </c>
    </row>
    <row r="492" ht="15.75" customHeight="1">
      <c r="A492" s="126"/>
      <c r="B492" s="42"/>
      <c r="C492" s="41"/>
      <c r="D492" s="41"/>
      <c r="E492" s="64"/>
      <c r="F492" s="64"/>
      <c r="G492" s="41"/>
      <c r="H492" s="41"/>
      <c r="I492" s="123"/>
      <c r="J492" s="123"/>
      <c r="K492" s="123"/>
      <c r="L492" s="123"/>
      <c r="M492" s="41"/>
      <c r="N492" s="123"/>
      <c r="O492" s="65"/>
      <c r="P492" s="123"/>
      <c r="Q492" s="123"/>
      <c r="R492" s="123"/>
      <c r="S492" s="42"/>
      <c r="T492" s="42"/>
      <c r="U492" s="40" t="str">
        <f t="shared" si="9"/>
        <v/>
      </c>
      <c r="V492" s="41"/>
      <c r="W492" s="42"/>
      <c r="X492" s="42"/>
      <c r="Y492" s="43"/>
      <c r="Z492" s="44"/>
      <c r="AA492" s="45" t="str">
        <f t="shared" si="2"/>
        <v/>
      </c>
      <c r="AB492" s="42"/>
      <c r="AC492" s="41"/>
      <c r="AD492" s="41"/>
      <c r="AE492" s="46" t="str">
        <f t="shared" si="3"/>
        <v/>
      </c>
      <c r="AF492" s="46" t="str">
        <f t="shared" si="7"/>
        <v/>
      </c>
      <c r="AG492" s="40" t="str">
        <f t="shared" si="4"/>
        <v/>
      </c>
      <c r="AH492" s="40" t="str">
        <f t="shared" si="5"/>
        <v/>
      </c>
      <c r="AI492" s="40" t="str">
        <f t="shared" si="6"/>
        <v/>
      </c>
    </row>
    <row r="493" ht="15.75" customHeight="1">
      <c r="A493" s="126"/>
      <c r="B493" s="42"/>
      <c r="C493" s="41"/>
      <c r="D493" s="41"/>
      <c r="E493" s="64"/>
      <c r="F493" s="64"/>
      <c r="G493" s="41"/>
      <c r="H493" s="41"/>
      <c r="I493" s="123"/>
      <c r="J493" s="123"/>
      <c r="K493" s="123"/>
      <c r="L493" s="123"/>
      <c r="M493" s="41"/>
      <c r="N493" s="123"/>
      <c r="O493" s="65"/>
      <c r="P493" s="123"/>
      <c r="Q493" s="123"/>
      <c r="R493" s="123"/>
      <c r="S493" s="42"/>
      <c r="T493" s="42"/>
      <c r="U493" s="40" t="str">
        <f t="shared" si="9"/>
        <v/>
      </c>
      <c r="V493" s="41"/>
      <c r="W493" s="42"/>
      <c r="X493" s="42"/>
      <c r="Y493" s="43"/>
      <c r="Z493" s="44"/>
      <c r="AA493" s="45" t="str">
        <f t="shared" si="2"/>
        <v/>
      </c>
      <c r="AB493" s="42"/>
      <c r="AC493" s="41"/>
      <c r="AD493" s="41"/>
      <c r="AE493" s="46" t="str">
        <f t="shared" si="3"/>
        <v/>
      </c>
      <c r="AF493" s="46" t="str">
        <f t="shared" si="7"/>
        <v/>
      </c>
      <c r="AG493" s="40" t="str">
        <f t="shared" si="4"/>
        <v/>
      </c>
      <c r="AH493" s="40" t="str">
        <f t="shared" si="5"/>
        <v/>
      </c>
      <c r="AI493" s="40" t="str">
        <f t="shared" si="6"/>
        <v/>
      </c>
    </row>
    <row r="494" ht="15.75" customHeight="1">
      <c r="A494" s="126"/>
      <c r="B494" s="42"/>
      <c r="C494" s="41"/>
      <c r="D494" s="41"/>
      <c r="E494" s="64"/>
      <c r="F494" s="64"/>
      <c r="G494" s="41"/>
      <c r="H494" s="41"/>
      <c r="I494" s="123"/>
      <c r="J494" s="123"/>
      <c r="K494" s="123"/>
      <c r="L494" s="123"/>
      <c r="M494" s="41"/>
      <c r="N494" s="123"/>
      <c r="O494" s="65"/>
      <c r="P494" s="123"/>
      <c r="Q494" s="123"/>
      <c r="R494" s="123"/>
      <c r="S494" s="42"/>
      <c r="T494" s="42"/>
      <c r="U494" s="40" t="str">
        <f t="shared" si="9"/>
        <v/>
      </c>
      <c r="V494" s="41"/>
      <c r="W494" s="42"/>
      <c r="X494" s="42"/>
      <c r="Y494" s="43"/>
      <c r="Z494" s="44"/>
      <c r="AA494" s="45" t="str">
        <f t="shared" si="2"/>
        <v/>
      </c>
      <c r="AB494" s="42"/>
      <c r="AC494" s="41"/>
      <c r="AD494" s="41"/>
      <c r="AE494" s="46" t="str">
        <f t="shared" si="3"/>
        <v/>
      </c>
      <c r="AF494" s="46" t="str">
        <f t="shared" si="7"/>
        <v/>
      </c>
      <c r="AG494" s="40" t="str">
        <f t="shared" si="4"/>
        <v/>
      </c>
      <c r="AH494" s="40" t="str">
        <f t="shared" si="5"/>
        <v/>
      </c>
      <c r="AI494" s="40" t="str">
        <f t="shared" si="6"/>
        <v/>
      </c>
    </row>
    <row r="495" ht="15.75" customHeight="1">
      <c r="A495" s="126"/>
      <c r="B495" s="36"/>
      <c r="C495" s="41"/>
      <c r="D495" s="41"/>
      <c r="E495" s="64"/>
      <c r="F495" s="64"/>
      <c r="G495" s="41"/>
      <c r="H495" s="41"/>
      <c r="I495" s="123"/>
      <c r="J495" s="123"/>
      <c r="K495" s="123"/>
      <c r="L495" s="123"/>
      <c r="M495" s="41"/>
      <c r="N495" s="123"/>
      <c r="O495" s="65"/>
      <c r="P495" s="123"/>
      <c r="Q495" s="123"/>
      <c r="R495" s="123"/>
      <c r="S495" s="42"/>
      <c r="T495" s="42"/>
      <c r="U495" s="40" t="str">
        <f t="shared" si="9"/>
        <v/>
      </c>
      <c r="V495" s="41"/>
      <c r="W495" s="42"/>
      <c r="X495" s="42"/>
      <c r="Y495" s="43"/>
      <c r="Z495" s="44"/>
      <c r="AA495" s="45" t="str">
        <f t="shared" si="2"/>
        <v/>
      </c>
      <c r="AB495" s="42"/>
      <c r="AC495" s="41"/>
      <c r="AD495" s="41"/>
      <c r="AE495" s="46" t="str">
        <f t="shared" si="3"/>
        <v/>
      </c>
      <c r="AF495" s="46" t="str">
        <f t="shared" si="7"/>
        <v/>
      </c>
      <c r="AG495" s="40" t="str">
        <f t="shared" si="4"/>
        <v/>
      </c>
      <c r="AH495" s="40" t="str">
        <f t="shared" si="5"/>
        <v/>
      </c>
      <c r="AI495" s="40" t="str">
        <f t="shared" si="6"/>
        <v/>
      </c>
    </row>
    <row r="496" ht="15.75" customHeight="1">
      <c r="A496" s="127"/>
      <c r="B496" s="128"/>
      <c r="C496" s="129"/>
      <c r="D496" s="129"/>
      <c r="E496" s="130"/>
      <c r="F496" s="130"/>
      <c r="G496" s="129"/>
      <c r="H496" s="129"/>
      <c r="I496" s="131"/>
      <c r="J496" s="131"/>
      <c r="K496" s="131"/>
      <c r="L496" s="131"/>
      <c r="M496" s="129"/>
      <c r="N496" s="131"/>
      <c r="O496" s="132"/>
      <c r="P496" s="131"/>
      <c r="Q496" s="131"/>
      <c r="R496" s="131"/>
      <c r="S496" s="133"/>
      <c r="T496" s="133"/>
      <c r="U496" s="134" t="str">
        <f t="shared" si="9"/>
        <v/>
      </c>
      <c r="V496" s="129"/>
      <c r="W496" s="133"/>
      <c r="X496" s="133"/>
      <c r="Y496" s="135"/>
      <c r="Z496" s="136"/>
      <c r="AA496" s="137" t="str">
        <f t="shared" si="2"/>
        <v/>
      </c>
      <c r="AB496" s="133"/>
      <c r="AC496" s="129"/>
      <c r="AD496" s="129"/>
      <c r="AE496" s="138" t="str">
        <f t="shared" si="3"/>
        <v/>
      </c>
      <c r="AF496" s="138" t="str">
        <f t="shared" si="7"/>
        <v/>
      </c>
      <c r="AG496" s="134" t="str">
        <f t="shared" si="4"/>
        <v/>
      </c>
      <c r="AH496" s="134" t="str">
        <f t="shared" si="5"/>
        <v/>
      </c>
      <c r="AI496" s="134" t="str">
        <f t="shared" si="6"/>
        <v/>
      </c>
    </row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3">
    <mergeCell ref="A1:U1"/>
    <mergeCell ref="A2:U2"/>
    <mergeCell ref="A3:U3"/>
  </mergeCells>
  <conditionalFormatting sqref="P6:P498">
    <cfRule type="containsText" dxfId="5" priority="1" operator="containsText" text="Hot">
      <formula>NOT(ISERROR(SEARCH(("Hot"),(P6))))</formula>
    </cfRule>
  </conditionalFormatting>
  <conditionalFormatting sqref="P6:P498">
    <cfRule type="containsText" dxfId="6" priority="2" operator="containsText" text="Medium">
      <formula>NOT(ISERROR(SEARCH(("Medium"),(P6))))</formula>
    </cfRule>
  </conditionalFormatting>
  <conditionalFormatting sqref="P6:P498">
    <cfRule type="containsText" dxfId="7" priority="3" operator="containsText" text="Cold">
      <formula>NOT(ISERROR(SEARCH(("Cold"),(P6))))</formula>
    </cfRule>
  </conditionalFormatting>
  <conditionalFormatting sqref="Q6:Q498">
    <cfRule type="containsText" dxfId="8" priority="4" operator="containsText" text="Converted">
      <formula>NOT(ISERROR(SEARCH(("Converted"),(Q6))))</formula>
    </cfRule>
  </conditionalFormatting>
  <conditionalFormatting sqref="Q6:Q498">
    <cfRule type="containsText" dxfId="9" priority="5" operator="containsText" text="Closed">
      <formula>NOT(ISERROR(SEARCH(("Closed"),(Q6))))</formula>
    </cfRule>
  </conditionalFormatting>
  <conditionalFormatting sqref="Q6:Q498">
    <cfRule type="containsText" dxfId="10" priority="6" operator="containsText" text="Lost">
      <formula>NOT(ISERROR(SEARCH(("Lost"),(Q6))))</formula>
    </cfRule>
  </conditionalFormatting>
  <conditionalFormatting sqref="U6:U498">
    <cfRule type="containsText" dxfId="5" priority="7" operator="containsText" text="Overdue">
      <formula>NOT(ISERROR(SEARCH(("Overdue"),(U6))))</formula>
    </cfRule>
  </conditionalFormatting>
  <conditionalFormatting sqref="U6:U498">
    <cfRule type="containsText" dxfId="6" priority="8" operator="containsText" text="Due Today">
      <formula>NOT(ISERROR(SEARCH(("Due Today"),(U6))))</formula>
    </cfRule>
  </conditionalFormatting>
  <conditionalFormatting sqref="U6:U498">
    <cfRule type="containsText" dxfId="11" priority="9" operator="containsText" text="Upcoming">
      <formula>NOT(ISERROR(SEARCH(("Upcoming"),(U6))))</formula>
    </cfRule>
  </conditionalFormatting>
  <dataValidations>
    <dataValidation type="list" allowBlank="1" sqref="K6:K496">
      <formula1>"Healthcare,Manufacturing,NGO &amp; Foundation,Other Services,Sanrakshya,Event OS,Pet Link OS,Optical,Other Products"</formula1>
    </dataValidation>
    <dataValidation type="list" allowBlank="1" sqref="Q6:Q496">
      <formula1>"New,Contacted,Qualified,Demo/Meeting,Proposal Sent,Negotiation,Converted,Closed,Lost,Nurture"</formula1>
    </dataValidation>
    <dataValidation type="list" allowBlank="1" sqref="N6:N496">
      <formula1>"Referral,Website,LinkedIn,WhatsApp,Email,Phone,Event/Expo,Partner,Existing Client,Cold Outreach,Google,Social Media,Other"</formula1>
    </dataValidation>
    <dataValidation type="list" allowBlank="1" sqref="O6:O496">
      <formula1>"Dhruv,Aastha,Vansh,Ashwin,Other"</formula1>
    </dataValidation>
    <dataValidation type="custom" allowBlank="1" showDropDown="1" sqref="B6:B496 S6:T496 W6:X496 AB6:AB496 AE6:AF496">
      <formula1>OR(NOT(ISERROR(DATEVALUE(B6))), AND(ISNUMBER(B6), LEFT(CELL("format", B6))="D"))</formula1>
    </dataValidation>
    <dataValidation type="list" allowBlank="1" sqref="R6:R496">
      <formula1>"Not Started,Initial Contact,1st Follow-Up,2nd Follow-Up,3rd Follow-Up,Follow-Up Complete"</formula1>
    </dataValidation>
    <dataValidation type="list" allowBlank="1" sqref="I6:I496">
      <formula1>"India,Foreign"</formula1>
    </dataValidation>
    <dataValidation type="custom" allowBlank="1" showDropDown="1" sqref="A6:A496 Y6:AA496">
      <formula1>AND(ISNUMBER(A6),(NOT(OR(NOT(ISERROR(DATEVALUE(A6))), AND(ISNUMBER(A6), LEFT(CELL("format", A6))="D")))))</formula1>
    </dataValidation>
    <dataValidation allowBlank="1" showDropDown="1" sqref="E6:F496"/>
    <dataValidation type="list" allowBlank="1" sqref="P6:P496">
      <formula1>"Hot,Medium,Cold"</formula1>
    </dataValidation>
    <dataValidation type="list" allowBlank="1" sqref="J6:J496">
      <formula1>"Service,Product"</formula1>
    </dataValidation>
    <dataValidation type="list" allowBlank="1" sqref="L6:L496">
      <formula1>"Pharma,Doctors,Other Healthcare,Manufacturing,NGO,Foundation,General Services,Security &amp; Safety,Event Management,Pet Care,Optical/Eyewear,Other"</formula1>
    </dataValidation>
  </dataValidations>
  <hyperlinks>
    <hyperlink r:id="rId1" ref="F95"/>
    <hyperlink r:id="rId2" ref="F96"/>
    <hyperlink r:id="rId3" ref="F101"/>
  </hyperlinks>
  <printOptions/>
  <pageMargins bottom="0.75" footer="0.0" header="0.0" left="0.7" right="0.7" top="0.75"/>
  <pageSetup orientation="landscape"/>
  <drawing r:id="rId4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5.0"/>
    <col customWidth="1" min="2" max="2" width="14.38"/>
    <col customWidth="1" min="3" max="3" width="3.13"/>
    <col customWidth="1" min="4" max="4" width="15.63"/>
    <col customWidth="1" min="5" max="5" width="14.38"/>
    <col customWidth="1" min="6" max="6" width="3.13"/>
    <col customWidth="1" min="7" max="7" width="15.63"/>
    <col customWidth="1" min="8" max="8" width="13.13"/>
    <col customWidth="1" min="9" max="9" width="3.13"/>
    <col customWidth="1" min="10" max="10" width="16.88"/>
    <col customWidth="1" min="11" max="11" width="13.75"/>
    <col customWidth="1" min="12" max="12" width="3.13"/>
    <col customWidth="1" min="13" max="16" width="11.25"/>
    <col customWidth="1" min="17" max="26" width="8.63"/>
  </cols>
  <sheetData>
    <row r="1" ht="27.0" customHeight="1">
      <c r="A1" s="1" t="s">
        <v>81</v>
      </c>
    </row>
    <row r="2" ht="25.5" customHeight="1">
      <c r="A2" s="2" t="s">
        <v>83</v>
      </c>
    </row>
    <row r="4">
      <c r="A4" s="28" t="s">
        <v>85</v>
      </c>
      <c r="B4" s="33">
        <f>COUNTIF('Master Leads'!$A$6:$A$495,"&lt;&gt;")</f>
        <v>121</v>
      </c>
      <c r="D4" s="28" t="s">
        <v>93</v>
      </c>
      <c r="E4" s="33">
        <f>COUNTIFS('Master Leads'!$A$6:$A$495,"&lt;&gt;",'Master Leads'!$AG$6:$AG$495,"Yes")</f>
        <v>112</v>
      </c>
      <c r="G4" s="28" t="s">
        <v>32</v>
      </c>
      <c r="H4" s="33">
        <f>COUNTIFS('Master Leads'!$A$6:$A$495,"&lt;&gt;",'Master Leads'!$Q$6:$Q$495,"Converted")</f>
        <v>5</v>
      </c>
      <c r="J4" s="28" t="s">
        <v>98</v>
      </c>
      <c r="K4" s="38">
        <f>IFERROR($H$4/$B$4,0)</f>
        <v>0.04132231405</v>
      </c>
    </row>
    <row r="7">
      <c r="A7" s="28" t="s">
        <v>99</v>
      </c>
      <c r="B7" s="39">
        <f>SUMIFS('Master Leads'!$Y$6:$Y$495,'Master Leads'!$A$6:$A$495,"&lt;&gt;",'Master Leads'!$AG$6:$AG$495,"Yes")</f>
        <v>0</v>
      </c>
      <c r="D7" s="28" t="s">
        <v>73</v>
      </c>
      <c r="E7" s="39">
        <f>SUMIFS('Master Leads'!$AA$6:$AA$495,'Master Leads'!$A$6:$A$495,"&lt;&gt;",'Master Leads'!$AG$6:$AG$495,"Yes")</f>
        <v>0</v>
      </c>
      <c r="G7" s="28" t="s">
        <v>100</v>
      </c>
      <c r="H7" s="33">
        <f>COUNTIFS('Master Leads'!$A$6:$A$495,"&lt;&gt;",'Master Leads'!$U$6:$U$495,"Due Today")</f>
        <v>0</v>
      </c>
      <c r="J7" s="28" t="s">
        <v>101</v>
      </c>
      <c r="K7" s="33">
        <f>COUNTIFS('Master Leads'!$A$6:$A$495,"&lt;&gt;",'Master Leads'!$U$6:$U$495,"Overdue")</f>
        <v>0</v>
      </c>
    </row>
    <row r="10">
      <c r="A10" s="28" t="s">
        <v>102</v>
      </c>
      <c r="B10" s="33">
        <f>COUNTIFS('Master Leads'!$A$6:$A$495,"&lt;&gt;",'Master Leads'!$I$6:$I$495,"India")</f>
        <v>112</v>
      </c>
      <c r="D10" s="28" t="s">
        <v>103</v>
      </c>
      <c r="E10" s="33">
        <f>COUNTIFS('Master Leads'!$A$6:$A$495,"&lt;&gt;",'Master Leads'!$I$6:$I$495,"Foreign")</f>
        <v>8</v>
      </c>
      <c r="G10" s="28" t="s">
        <v>104</v>
      </c>
      <c r="H10" s="33">
        <f>COUNTIFS('Master Leads'!$A$6:$A$495,"&lt;&gt;",'Master Leads'!$I$6:$I$495,"India",'Master Leads'!$Q$6:$Q$495,"Converted")</f>
        <v>5</v>
      </c>
      <c r="J10" s="28" t="s">
        <v>107</v>
      </c>
      <c r="K10" s="33">
        <f>COUNTIFS('Master Leads'!$A$6:$A$495,"&lt;&gt;",'Master Leads'!$I$6:$I$495,"Foreign",'Master Leads'!$Q$6:$Q$495,"Converted")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>
      <c r="A32" s="49" t="s">
        <v>108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P1"/>
    <mergeCell ref="A2:P2"/>
    <mergeCell ref="A32:P3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38"/>
    <col customWidth="1" min="2" max="2" width="15.38"/>
    <col customWidth="1" min="3" max="3" width="13.75"/>
    <col customWidth="1" min="4" max="4" width="23.75"/>
    <col customWidth="1" min="5" max="5" width="15.38"/>
    <col customWidth="1" min="6" max="6" width="17.25"/>
    <col customWidth="1" min="7" max="7" width="27.5"/>
    <col customWidth="1" min="8" max="8" width="17.25"/>
    <col customWidth="1" min="9" max="9" width="13.75"/>
    <col customWidth="1" min="10" max="10" width="32.5"/>
    <col customWidth="1" min="11" max="26" width="8.63"/>
  </cols>
  <sheetData>
    <row r="1" ht="27.0" customHeight="1">
      <c r="A1" s="1" t="s">
        <v>37</v>
      </c>
    </row>
    <row r="2" ht="25.5" customHeight="1">
      <c r="A2" s="2" t="s">
        <v>39</v>
      </c>
    </row>
    <row r="5" ht="22.5" customHeight="1">
      <c r="A5" s="19" t="s">
        <v>40</v>
      </c>
      <c r="B5" s="19" t="s">
        <v>42</v>
      </c>
      <c r="C5" s="19" t="s">
        <v>44</v>
      </c>
      <c r="D5" s="19" t="s">
        <v>45</v>
      </c>
      <c r="E5" s="19" t="s">
        <v>47</v>
      </c>
      <c r="F5" s="19" t="s">
        <v>26</v>
      </c>
      <c r="G5" s="19" t="s">
        <v>48</v>
      </c>
      <c r="H5" s="19" t="s">
        <v>49</v>
      </c>
      <c r="I5" s="19" t="s">
        <v>50</v>
      </c>
      <c r="J5" s="19" t="s">
        <v>52</v>
      </c>
    </row>
    <row r="6" ht="22.5" customHeight="1">
      <c r="A6" s="21"/>
      <c r="B6" s="22"/>
      <c r="C6" s="21"/>
      <c r="D6" s="23" t="str">
        <f t="array" ref="D6">IF($C6="","",IFERROR(INDEX('Master Leads'!$C$6:$C$495,MATCH($C6,'Master Leads'!$A$6:$A$495,0)),""))</f>
        <v/>
      </c>
      <c r="E6" s="24" t="s">
        <v>64</v>
      </c>
      <c r="F6" s="24" t="s">
        <v>66</v>
      </c>
      <c r="G6" s="21"/>
      <c r="H6" s="22"/>
      <c r="I6" s="23" t="str">
        <f t="array" ref="I6">IF($C6="","",IFERROR(INDEX('Master Leads'!$O$6:$O$495,MATCH($C6,'Master Leads'!$A$6:$A$495,0)),""))</f>
        <v/>
      </c>
      <c r="J6" s="21"/>
    </row>
    <row r="7" ht="22.5" customHeight="1">
      <c r="A7" s="21"/>
      <c r="B7" s="22"/>
      <c r="C7" s="21"/>
      <c r="D7" s="23" t="str">
        <f t="array" ref="D7">IF($C7="","",IFERROR(INDEX('Master Leads'!$C$6:$C$495,MATCH($C7,'Master Leads'!$A$6:$A$495,0)),""))</f>
        <v/>
      </c>
      <c r="E7" s="30"/>
      <c r="F7" s="30"/>
      <c r="G7" s="21"/>
      <c r="H7" s="22"/>
      <c r="I7" s="23" t="str">
        <f t="array" ref="I7">IF($C7="","",IFERROR(INDEX('Master Leads'!$O$6:$O$495,MATCH($C7,'Master Leads'!$A$6:$A$495,0)),""))</f>
        <v/>
      </c>
      <c r="J7" s="21"/>
    </row>
    <row r="8" ht="22.5" customHeight="1">
      <c r="A8" s="21"/>
      <c r="B8" s="22"/>
      <c r="C8" s="21"/>
      <c r="D8" s="23" t="str">
        <f t="array" ref="D8">IF($C8="","",IFERROR(INDEX('Master Leads'!$C$6:$C$495,MATCH($C8,'Master Leads'!$A$6:$A$495,0)),""))</f>
        <v/>
      </c>
      <c r="E8" s="30"/>
      <c r="F8" s="30"/>
      <c r="G8" s="21"/>
      <c r="H8" s="22"/>
      <c r="I8" s="23" t="str">
        <f t="array" ref="I8">IF($C8="","",IFERROR(INDEX('Master Leads'!$O$6:$O$495,MATCH($C8,'Master Leads'!$A$6:$A$495,0)),""))</f>
        <v/>
      </c>
      <c r="J8" s="21"/>
    </row>
    <row r="9" ht="22.5" customHeight="1">
      <c r="A9" s="21"/>
      <c r="B9" s="22"/>
      <c r="C9" s="21"/>
      <c r="D9" s="23" t="str">
        <f t="array" ref="D9">IF($C9="","",IFERROR(INDEX('Master Leads'!$C$6:$C$495,MATCH($C9,'Master Leads'!$A$6:$A$495,0)),""))</f>
        <v/>
      </c>
      <c r="E9" s="30"/>
      <c r="F9" s="30"/>
      <c r="G9" s="21"/>
      <c r="H9" s="22"/>
      <c r="I9" s="23" t="str">
        <f t="array" ref="I9">IF($C9="","",IFERROR(INDEX('Master Leads'!$O$6:$O$495,MATCH($C9,'Master Leads'!$A$6:$A$495,0)),""))</f>
        <v/>
      </c>
      <c r="J9" s="21"/>
    </row>
    <row r="10" ht="22.5" customHeight="1">
      <c r="A10" s="21"/>
      <c r="B10" s="22"/>
      <c r="C10" s="21"/>
      <c r="D10" s="23" t="str">
        <f t="array" ref="D10">IF($C10="","",IFERROR(INDEX('Master Leads'!$C$6:$C$495,MATCH($C10,'Master Leads'!$A$6:$A$495,0)),""))</f>
        <v/>
      </c>
      <c r="E10" s="30"/>
      <c r="F10" s="30"/>
      <c r="G10" s="21"/>
      <c r="H10" s="22"/>
      <c r="I10" s="23" t="str">
        <f t="array" ref="I10">IF($C10="","",IFERROR(INDEX('Master Leads'!$O$6:$O$495,MATCH($C10,'Master Leads'!$A$6:$A$495,0)),""))</f>
        <v/>
      </c>
      <c r="J10" s="21"/>
    </row>
    <row r="11" ht="22.5" customHeight="1">
      <c r="A11" s="21"/>
      <c r="B11" s="22"/>
      <c r="C11" s="21"/>
      <c r="D11" s="23" t="str">
        <f t="array" ref="D11">IF($C11="","",IFERROR(INDEX('Master Leads'!$C$6:$C$495,MATCH($C11,'Master Leads'!$A$6:$A$495,0)),""))</f>
        <v/>
      </c>
      <c r="E11" s="30"/>
      <c r="F11" s="30"/>
      <c r="G11" s="21"/>
      <c r="H11" s="22"/>
      <c r="I11" s="23" t="str">
        <f t="array" ref="I11">IF($C11="","",IFERROR(INDEX('Master Leads'!$O$6:$O$495,MATCH($C11,'Master Leads'!$A$6:$A$495,0)),""))</f>
        <v/>
      </c>
      <c r="J11" s="21"/>
    </row>
    <row r="12" ht="22.5" customHeight="1">
      <c r="A12" s="21"/>
      <c r="B12" s="22"/>
      <c r="C12" s="21"/>
      <c r="D12" s="23" t="str">
        <f t="array" ref="D12">IF($C12="","",IFERROR(INDEX('Master Leads'!$C$6:$C$495,MATCH($C12,'Master Leads'!$A$6:$A$495,0)),""))</f>
        <v/>
      </c>
      <c r="E12" s="30"/>
      <c r="F12" s="30"/>
      <c r="G12" s="21"/>
      <c r="H12" s="22"/>
      <c r="I12" s="23" t="str">
        <f t="array" ref="I12">IF($C12="","",IFERROR(INDEX('Master Leads'!$O$6:$O$495,MATCH($C12,'Master Leads'!$A$6:$A$495,0)),""))</f>
        <v/>
      </c>
      <c r="J12" s="21"/>
    </row>
    <row r="13" ht="22.5" customHeight="1">
      <c r="A13" s="21"/>
      <c r="B13" s="22"/>
      <c r="C13" s="21"/>
      <c r="D13" s="23" t="str">
        <f t="array" ref="D13">IF($C13="","",IFERROR(INDEX('Master Leads'!$C$6:$C$495,MATCH($C13,'Master Leads'!$A$6:$A$495,0)),""))</f>
        <v/>
      </c>
      <c r="E13" s="30"/>
      <c r="F13" s="30"/>
      <c r="G13" s="21"/>
      <c r="H13" s="22"/>
      <c r="I13" s="23" t="str">
        <f t="array" ref="I13">IF($C13="","",IFERROR(INDEX('Master Leads'!$O$6:$O$495,MATCH($C13,'Master Leads'!$A$6:$A$495,0)),""))</f>
        <v/>
      </c>
      <c r="J13" s="21"/>
    </row>
    <row r="14" ht="22.5" customHeight="1">
      <c r="A14" s="21"/>
      <c r="B14" s="22"/>
      <c r="C14" s="21"/>
      <c r="D14" s="23" t="str">
        <f t="array" ref="D14">IF($C14="","",IFERROR(INDEX('Master Leads'!$C$6:$C$495,MATCH($C14,'Master Leads'!$A$6:$A$495,0)),""))</f>
        <v/>
      </c>
      <c r="E14" s="30"/>
      <c r="F14" s="30"/>
      <c r="G14" s="21"/>
      <c r="H14" s="22"/>
      <c r="I14" s="23" t="str">
        <f t="array" ref="I14">IF($C14="","",IFERROR(INDEX('Master Leads'!$O$6:$O$495,MATCH($C14,'Master Leads'!$A$6:$A$495,0)),""))</f>
        <v/>
      </c>
      <c r="J14" s="21"/>
    </row>
    <row r="15" ht="22.5" customHeight="1">
      <c r="A15" s="21"/>
      <c r="B15" s="22"/>
      <c r="C15" s="21"/>
      <c r="D15" s="23" t="str">
        <f t="array" ref="D15">IF($C15="","",IFERROR(INDEX('Master Leads'!$C$6:$C$495,MATCH($C15,'Master Leads'!$A$6:$A$495,0)),""))</f>
        <v/>
      </c>
      <c r="E15" s="30"/>
      <c r="F15" s="30"/>
      <c r="G15" s="21"/>
      <c r="H15" s="22"/>
      <c r="I15" s="23" t="str">
        <f t="array" ref="I15">IF($C15="","",IFERROR(INDEX('Master Leads'!$O$6:$O$495,MATCH($C15,'Master Leads'!$A$6:$A$495,0)),""))</f>
        <v/>
      </c>
      <c r="J15" s="21"/>
    </row>
    <row r="16" ht="22.5" customHeight="1">
      <c r="A16" s="21"/>
      <c r="B16" s="22"/>
      <c r="C16" s="21"/>
      <c r="D16" s="23" t="str">
        <f t="array" ref="D16">IF($C16="","",IFERROR(INDEX('Master Leads'!$C$6:$C$495,MATCH($C16,'Master Leads'!$A$6:$A$495,0)),""))</f>
        <v/>
      </c>
      <c r="E16" s="30"/>
      <c r="F16" s="30"/>
      <c r="G16" s="21"/>
      <c r="H16" s="22"/>
      <c r="I16" s="23" t="str">
        <f t="array" ref="I16">IF($C16="","",IFERROR(INDEX('Master Leads'!$O$6:$O$495,MATCH($C16,'Master Leads'!$A$6:$A$495,0)),""))</f>
        <v/>
      </c>
      <c r="J16" s="21"/>
    </row>
    <row r="17" ht="22.5" customHeight="1">
      <c r="A17" s="21"/>
      <c r="B17" s="22"/>
      <c r="C17" s="21"/>
      <c r="D17" s="23" t="str">
        <f t="array" ref="D17">IF($C17="","",IFERROR(INDEX('Master Leads'!$C$6:$C$495,MATCH($C17,'Master Leads'!$A$6:$A$495,0)),""))</f>
        <v/>
      </c>
      <c r="E17" s="30"/>
      <c r="F17" s="30"/>
      <c r="G17" s="21"/>
      <c r="H17" s="22"/>
      <c r="I17" s="23" t="str">
        <f t="array" ref="I17">IF($C17="","",IFERROR(INDEX('Master Leads'!$O$6:$O$495,MATCH($C17,'Master Leads'!$A$6:$A$495,0)),""))</f>
        <v/>
      </c>
      <c r="J17" s="21"/>
    </row>
    <row r="18" ht="22.5" customHeight="1">
      <c r="A18" s="21"/>
      <c r="B18" s="22"/>
      <c r="C18" s="21"/>
      <c r="D18" s="23" t="str">
        <f t="array" ref="D18">IF($C18="","",IFERROR(INDEX('Master Leads'!$C$6:$C$495,MATCH($C18,'Master Leads'!$A$6:$A$495,0)),""))</f>
        <v/>
      </c>
      <c r="E18" s="30"/>
      <c r="F18" s="30"/>
      <c r="G18" s="21"/>
      <c r="H18" s="22"/>
      <c r="I18" s="23" t="str">
        <f t="array" ref="I18">IF($C18="","",IFERROR(INDEX('Master Leads'!$O$6:$O$495,MATCH($C18,'Master Leads'!$A$6:$A$495,0)),""))</f>
        <v/>
      </c>
      <c r="J18" s="21"/>
    </row>
    <row r="19" ht="22.5" customHeight="1">
      <c r="A19" s="21"/>
      <c r="B19" s="22"/>
      <c r="C19" s="21"/>
      <c r="D19" s="23" t="str">
        <f t="array" ref="D19">IF($C19="","",IFERROR(INDEX('Master Leads'!$C$6:$C$495,MATCH($C19,'Master Leads'!$A$6:$A$495,0)),""))</f>
        <v/>
      </c>
      <c r="E19" s="30"/>
      <c r="F19" s="30"/>
      <c r="G19" s="21"/>
      <c r="H19" s="22"/>
      <c r="I19" s="23" t="str">
        <f t="array" ref="I19">IF($C19="","",IFERROR(INDEX('Master Leads'!$O$6:$O$495,MATCH($C19,'Master Leads'!$A$6:$A$495,0)),""))</f>
        <v/>
      </c>
      <c r="J19" s="21"/>
    </row>
    <row r="20" ht="22.5" customHeight="1">
      <c r="A20" s="21"/>
      <c r="B20" s="22"/>
      <c r="C20" s="21"/>
      <c r="D20" s="23" t="str">
        <f t="array" ref="D20">IF($C20="","",IFERROR(INDEX('Master Leads'!$C$6:$C$495,MATCH($C20,'Master Leads'!$A$6:$A$495,0)),""))</f>
        <v/>
      </c>
      <c r="E20" s="30"/>
      <c r="F20" s="30"/>
      <c r="G20" s="21"/>
      <c r="H20" s="22"/>
      <c r="I20" s="23" t="str">
        <f t="array" ref="I20">IF($C20="","",IFERROR(INDEX('Master Leads'!$O$6:$O$495,MATCH($C20,'Master Leads'!$A$6:$A$495,0)),""))</f>
        <v/>
      </c>
      <c r="J20" s="21"/>
    </row>
    <row r="21" ht="15.75" customHeight="1">
      <c r="A21" s="21"/>
      <c r="B21" s="22"/>
      <c r="C21" s="21"/>
      <c r="D21" s="23" t="str">
        <f t="array" ref="D21">IF($C21="","",IFERROR(INDEX('Master Leads'!$C$6:$C$495,MATCH($C21,'Master Leads'!$A$6:$A$495,0)),""))</f>
        <v/>
      </c>
      <c r="E21" s="30"/>
      <c r="F21" s="30"/>
      <c r="G21" s="21"/>
      <c r="H21" s="22"/>
      <c r="I21" s="23" t="str">
        <f t="array" ref="I21">IF($C21="","",IFERROR(INDEX('Master Leads'!$O$6:$O$495,MATCH($C21,'Master Leads'!$A$6:$A$495,0)),""))</f>
        <v/>
      </c>
      <c r="J21" s="21"/>
    </row>
    <row r="22" ht="15.75" customHeight="1">
      <c r="A22" s="21"/>
      <c r="B22" s="22"/>
      <c r="C22" s="21"/>
      <c r="D22" s="23" t="str">
        <f t="array" ref="D22">IF($C22="","",IFERROR(INDEX('Master Leads'!$C$6:$C$495,MATCH($C22,'Master Leads'!$A$6:$A$495,0)),""))</f>
        <v/>
      </c>
      <c r="E22" s="30"/>
      <c r="F22" s="30"/>
      <c r="G22" s="21"/>
      <c r="H22" s="22"/>
      <c r="I22" s="23" t="str">
        <f t="array" ref="I22">IF($C22="","",IFERROR(INDEX('Master Leads'!$O$6:$O$495,MATCH($C22,'Master Leads'!$A$6:$A$495,0)),""))</f>
        <v/>
      </c>
      <c r="J22" s="21"/>
    </row>
    <row r="23" ht="15.75" customHeight="1">
      <c r="A23" s="21"/>
      <c r="B23" s="22"/>
      <c r="C23" s="21"/>
      <c r="D23" s="23" t="str">
        <f t="array" ref="D23">IF($C23="","",IFERROR(INDEX('Master Leads'!$C$6:$C$495,MATCH($C23,'Master Leads'!$A$6:$A$495,0)),""))</f>
        <v/>
      </c>
      <c r="E23" s="30"/>
      <c r="F23" s="30"/>
      <c r="G23" s="21"/>
      <c r="H23" s="22"/>
      <c r="I23" s="23" t="str">
        <f t="array" ref="I23">IF($C23="","",IFERROR(INDEX('Master Leads'!$O$6:$O$495,MATCH($C23,'Master Leads'!$A$6:$A$495,0)),""))</f>
        <v/>
      </c>
      <c r="J23" s="21"/>
    </row>
    <row r="24" ht="15.75" customHeight="1">
      <c r="A24" s="21"/>
      <c r="B24" s="22"/>
      <c r="C24" s="21"/>
      <c r="D24" s="23" t="str">
        <f t="array" ref="D24">IF($C24="","",IFERROR(INDEX('Master Leads'!$C$6:$C$495,MATCH($C24,'Master Leads'!$A$6:$A$495,0)),""))</f>
        <v/>
      </c>
      <c r="E24" s="30"/>
      <c r="F24" s="30"/>
      <c r="G24" s="21"/>
      <c r="H24" s="22"/>
      <c r="I24" s="23" t="str">
        <f t="array" ref="I24">IF($C24="","",IFERROR(INDEX('Master Leads'!$O$6:$O$495,MATCH($C24,'Master Leads'!$A$6:$A$495,0)),""))</f>
        <v/>
      </c>
      <c r="J24" s="21"/>
    </row>
    <row r="25" ht="15.75" customHeight="1">
      <c r="A25" s="21"/>
      <c r="B25" s="22"/>
      <c r="C25" s="21"/>
      <c r="D25" s="23" t="str">
        <f t="array" ref="D25">IF($C25="","",IFERROR(INDEX('Master Leads'!$C$6:$C$495,MATCH($C25,'Master Leads'!$A$6:$A$495,0)),""))</f>
        <v/>
      </c>
      <c r="E25" s="30"/>
      <c r="F25" s="30"/>
      <c r="G25" s="21"/>
      <c r="H25" s="22"/>
      <c r="I25" s="23" t="str">
        <f t="array" ref="I25">IF($C25="","",IFERROR(INDEX('Master Leads'!$O$6:$O$495,MATCH($C25,'Master Leads'!$A$6:$A$495,0)),""))</f>
        <v/>
      </c>
      <c r="J25" s="21"/>
    </row>
    <row r="26" ht="15.75" customHeight="1">
      <c r="A26" s="21"/>
      <c r="B26" s="22"/>
      <c r="C26" s="21"/>
      <c r="D26" s="23" t="str">
        <f t="array" ref="D26">IF($C26="","",IFERROR(INDEX('Master Leads'!$C$6:$C$495,MATCH($C26,'Master Leads'!$A$6:$A$495,0)),""))</f>
        <v/>
      </c>
      <c r="E26" s="30"/>
      <c r="F26" s="30"/>
      <c r="G26" s="21"/>
      <c r="H26" s="22"/>
      <c r="I26" s="23" t="str">
        <f t="array" ref="I26">IF($C26="","",IFERROR(INDEX('Master Leads'!$O$6:$O$495,MATCH($C26,'Master Leads'!$A$6:$A$495,0)),""))</f>
        <v/>
      </c>
      <c r="J26" s="21"/>
    </row>
    <row r="27" ht="15.75" customHeight="1">
      <c r="A27" s="21"/>
      <c r="B27" s="22"/>
      <c r="C27" s="21"/>
      <c r="D27" s="23" t="str">
        <f t="array" ref="D27">IF($C27="","",IFERROR(INDEX('Master Leads'!$C$6:$C$495,MATCH($C27,'Master Leads'!$A$6:$A$495,0)),""))</f>
        <v/>
      </c>
      <c r="E27" s="30"/>
      <c r="F27" s="30"/>
      <c r="G27" s="21"/>
      <c r="H27" s="22"/>
      <c r="I27" s="23" t="str">
        <f t="array" ref="I27">IF($C27="","",IFERROR(INDEX('Master Leads'!$O$6:$O$495,MATCH($C27,'Master Leads'!$A$6:$A$495,0)),""))</f>
        <v/>
      </c>
      <c r="J27" s="21"/>
    </row>
    <row r="28" ht="15.75" customHeight="1">
      <c r="A28" s="21"/>
      <c r="B28" s="22"/>
      <c r="C28" s="21"/>
      <c r="D28" s="23" t="str">
        <f t="array" ref="D28">IF($C28="","",IFERROR(INDEX('Master Leads'!$C$6:$C$495,MATCH($C28,'Master Leads'!$A$6:$A$495,0)),""))</f>
        <v/>
      </c>
      <c r="E28" s="30"/>
      <c r="F28" s="30"/>
      <c r="G28" s="21"/>
      <c r="H28" s="22"/>
      <c r="I28" s="23" t="str">
        <f t="array" ref="I28">IF($C28="","",IFERROR(INDEX('Master Leads'!$O$6:$O$495,MATCH($C28,'Master Leads'!$A$6:$A$495,0)),""))</f>
        <v/>
      </c>
      <c r="J28" s="21"/>
    </row>
    <row r="29" ht="15.75" customHeight="1">
      <c r="A29" s="21"/>
      <c r="B29" s="22"/>
      <c r="C29" s="21"/>
      <c r="D29" s="23" t="str">
        <f t="array" ref="D29">IF($C29="","",IFERROR(INDEX('Master Leads'!$C$6:$C$495,MATCH($C29,'Master Leads'!$A$6:$A$495,0)),""))</f>
        <v/>
      </c>
      <c r="E29" s="30"/>
      <c r="F29" s="30"/>
      <c r="G29" s="21"/>
      <c r="H29" s="22"/>
      <c r="I29" s="23" t="str">
        <f t="array" ref="I29">IF($C29="","",IFERROR(INDEX('Master Leads'!$O$6:$O$495,MATCH($C29,'Master Leads'!$A$6:$A$495,0)),""))</f>
        <v/>
      </c>
      <c r="J29" s="21"/>
    </row>
    <row r="30" ht="15.75" customHeight="1">
      <c r="A30" s="21"/>
      <c r="B30" s="22"/>
      <c r="C30" s="21"/>
      <c r="D30" s="23" t="str">
        <f t="array" ref="D30">IF($C30="","",IFERROR(INDEX('Master Leads'!$C$6:$C$495,MATCH($C30,'Master Leads'!$A$6:$A$495,0)),""))</f>
        <v/>
      </c>
      <c r="E30" s="30"/>
      <c r="F30" s="30"/>
      <c r="G30" s="21"/>
      <c r="H30" s="22"/>
      <c r="I30" s="23" t="str">
        <f t="array" ref="I30">IF($C30="","",IFERROR(INDEX('Master Leads'!$O$6:$O$495,MATCH($C30,'Master Leads'!$A$6:$A$495,0)),""))</f>
        <v/>
      </c>
      <c r="J30" s="21"/>
    </row>
    <row r="31" ht="15.75" customHeight="1">
      <c r="A31" s="21"/>
      <c r="B31" s="22"/>
      <c r="C31" s="21"/>
      <c r="D31" s="23" t="str">
        <f t="array" ref="D31">IF($C31="","",IFERROR(INDEX('Master Leads'!$C$6:$C$495,MATCH($C31,'Master Leads'!$A$6:$A$495,0)),""))</f>
        <v/>
      </c>
      <c r="E31" s="30"/>
      <c r="F31" s="30"/>
      <c r="G31" s="21"/>
      <c r="H31" s="22"/>
      <c r="I31" s="23" t="str">
        <f t="array" ref="I31">IF($C31="","",IFERROR(INDEX('Master Leads'!$O$6:$O$495,MATCH($C31,'Master Leads'!$A$6:$A$495,0)),""))</f>
        <v/>
      </c>
      <c r="J31" s="21"/>
    </row>
    <row r="32" ht="15.75" customHeight="1">
      <c r="A32" s="21"/>
      <c r="B32" s="22"/>
      <c r="C32" s="21"/>
      <c r="D32" s="23" t="str">
        <f t="array" ref="D32">IF($C32="","",IFERROR(INDEX('Master Leads'!$C$6:$C$495,MATCH($C32,'Master Leads'!$A$6:$A$495,0)),""))</f>
        <v/>
      </c>
      <c r="E32" s="30"/>
      <c r="F32" s="30"/>
      <c r="G32" s="21"/>
      <c r="H32" s="22"/>
      <c r="I32" s="23" t="str">
        <f t="array" ref="I32">IF($C32="","",IFERROR(INDEX('Master Leads'!$O$6:$O$495,MATCH($C32,'Master Leads'!$A$6:$A$495,0)),""))</f>
        <v/>
      </c>
      <c r="J32" s="21"/>
    </row>
    <row r="33" ht="15.75" customHeight="1">
      <c r="A33" s="21"/>
      <c r="B33" s="22"/>
      <c r="C33" s="21"/>
      <c r="D33" s="23" t="str">
        <f t="array" ref="D33">IF($C33="","",IFERROR(INDEX('Master Leads'!$C$6:$C$495,MATCH($C33,'Master Leads'!$A$6:$A$495,0)),""))</f>
        <v/>
      </c>
      <c r="E33" s="30"/>
      <c r="F33" s="30"/>
      <c r="G33" s="21"/>
      <c r="H33" s="22"/>
      <c r="I33" s="23" t="str">
        <f t="array" ref="I33">IF($C33="","",IFERROR(INDEX('Master Leads'!$O$6:$O$495,MATCH($C33,'Master Leads'!$A$6:$A$495,0)),""))</f>
        <v/>
      </c>
      <c r="J33" s="21"/>
    </row>
    <row r="34" ht="15.75" customHeight="1">
      <c r="A34" s="21"/>
      <c r="B34" s="22"/>
      <c r="C34" s="21"/>
      <c r="D34" s="23" t="str">
        <f t="array" ref="D34">IF($C34="","",IFERROR(INDEX('Master Leads'!$C$6:$C$495,MATCH($C34,'Master Leads'!$A$6:$A$495,0)),""))</f>
        <v/>
      </c>
      <c r="E34" s="30"/>
      <c r="F34" s="30"/>
      <c r="G34" s="21"/>
      <c r="H34" s="22"/>
      <c r="I34" s="23" t="str">
        <f t="array" ref="I34">IF($C34="","",IFERROR(INDEX('Master Leads'!$O$6:$O$495,MATCH($C34,'Master Leads'!$A$6:$A$495,0)),""))</f>
        <v/>
      </c>
      <c r="J34" s="21"/>
    </row>
    <row r="35" ht="15.75" customHeight="1">
      <c r="A35" s="21"/>
      <c r="B35" s="22"/>
      <c r="C35" s="21"/>
      <c r="D35" s="23" t="str">
        <f t="array" ref="D35">IF($C35="","",IFERROR(INDEX('Master Leads'!$C$6:$C$495,MATCH($C35,'Master Leads'!$A$6:$A$495,0)),""))</f>
        <v/>
      </c>
      <c r="E35" s="30"/>
      <c r="F35" s="30"/>
      <c r="G35" s="21"/>
      <c r="H35" s="22"/>
      <c r="I35" s="23" t="str">
        <f t="array" ref="I35">IF($C35="","",IFERROR(INDEX('Master Leads'!$O$6:$O$495,MATCH($C35,'Master Leads'!$A$6:$A$495,0)),""))</f>
        <v/>
      </c>
      <c r="J35" s="21"/>
    </row>
    <row r="36" ht="15.75" customHeight="1">
      <c r="A36" s="21"/>
      <c r="B36" s="22"/>
      <c r="C36" s="21"/>
      <c r="D36" s="23" t="str">
        <f t="array" ref="D36">IF($C36="","",IFERROR(INDEX('Master Leads'!$C$6:$C$495,MATCH($C36,'Master Leads'!$A$6:$A$495,0)),""))</f>
        <v/>
      </c>
      <c r="E36" s="30"/>
      <c r="F36" s="30"/>
      <c r="G36" s="21"/>
      <c r="H36" s="22"/>
      <c r="I36" s="23" t="str">
        <f t="array" ref="I36">IF($C36="","",IFERROR(INDEX('Master Leads'!$O$6:$O$495,MATCH($C36,'Master Leads'!$A$6:$A$495,0)),""))</f>
        <v/>
      </c>
      <c r="J36" s="21"/>
    </row>
    <row r="37" ht="15.75" customHeight="1">
      <c r="A37" s="21"/>
      <c r="B37" s="22"/>
      <c r="C37" s="21"/>
      <c r="D37" s="23" t="str">
        <f t="array" ref="D37">IF($C37="","",IFERROR(INDEX('Master Leads'!$C$6:$C$495,MATCH($C37,'Master Leads'!$A$6:$A$495,0)),""))</f>
        <v/>
      </c>
      <c r="E37" s="30"/>
      <c r="F37" s="30"/>
      <c r="G37" s="21"/>
      <c r="H37" s="22"/>
      <c r="I37" s="23" t="str">
        <f t="array" ref="I37">IF($C37="","",IFERROR(INDEX('Master Leads'!$O$6:$O$495,MATCH($C37,'Master Leads'!$A$6:$A$495,0)),""))</f>
        <v/>
      </c>
      <c r="J37" s="21"/>
    </row>
    <row r="38" ht="15.75" customHeight="1">
      <c r="A38" s="21"/>
      <c r="B38" s="22"/>
      <c r="C38" s="21"/>
      <c r="D38" s="23" t="str">
        <f t="array" ref="D38">IF($C38="","",IFERROR(INDEX('Master Leads'!$C$6:$C$495,MATCH($C38,'Master Leads'!$A$6:$A$495,0)),""))</f>
        <v/>
      </c>
      <c r="E38" s="30"/>
      <c r="F38" s="30"/>
      <c r="G38" s="21"/>
      <c r="H38" s="22"/>
      <c r="I38" s="23" t="str">
        <f t="array" ref="I38">IF($C38="","",IFERROR(INDEX('Master Leads'!$O$6:$O$495,MATCH($C38,'Master Leads'!$A$6:$A$495,0)),""))</f>
        <v/>
      </c>
      <c r="J38" s="21"/>
    </row>
    <row r="39" ht="15.75" customHeight="1">
      <c r="A39" s="21"/>
      <c r="B39" s="22"/>
      <c r="C39" s="21"/>
      <c r="D39" s="23" t="str">
        <f t="array" ref="D39">IF($C39="","",IFERROR(INDEX('Master Leads'!$C$6:$C$495,MATCH($C39,'Master Leads'!$A$6:$A$495,0)),""))</f>
        <v/>
      </c>
      <c r="E39" s="30"/>
      <c r="F39" s="30"/>
      <c r="G39" s="21"/>
      <c r="H39" s="22"/>
      <c r="I39" s="23" t="str">
        <f t="array" ref="I39">IF($C39="","",IFERROR(INDEX('Master Leads'!$O$6:$O$495,MATCH($C39,'Master Leads'!$A$6:$A$495,0)),""))</f>
        <v/>
      </c>
      <c r="J39" s="21"/>
    </row>
    <row r="40" ht="15.75" customHeight="1">
      <c r="A40" s="21"/>
      <c r="B40" s="22"/>
      <c r="C40" s="21"/>
      <c r="D40" s="23" t="str">
        <f t="array" ref="D40">IF($C40="","",IFERROR(INDEX('Master Leads'!$C$6:$C$495,MATCH($C40,'Master Leads'!$A$6:$A$495,0)),""))</f>
        <v/>
      </c>
      <c r="E40" s="30"/>
      <c r="F40" s="30"/>
      <c r="G40" s="21"/>
      <c r="H40" s="22"/>
      <c r="I40" s="23" t="str">
        <f t="array" ref="I40">IF($C40="","",IFERROR(INDEX('Master Leads'!$O$6:$O$495,MATCH($C40,'Master Leads'!$A$6:$A$495,0)),""))</f>
        <v/>
      </c>
      <c r="J40" s="21"/>
    </row>
    <row r="41" ht="15.75" customHeight="1">
      <c r="A41" s="21"/>
      <c r="B41" s="22"/>
      <c r="C41" s="21"/>
      <c r="D41" s="23" t="str">
        <f t="array" ref="D41">IF($C41="","",IFERROR(INDEX('Master Leads'!$C$6:$C$495,MATCH($C41,'Master Leads'!$A$6:$A$495,0)),""))</f>
        <v/>
      </c>
      <c r="E41" s="30"/>
      <c r="F41" s="30"/>
      <c r="G41" s="21"/>
      <c r="H41" s="22"/>
      <c r="I41" s="23" t="str">
        <f t="array" ref="I41">IF($C41="","",IFERROR(INDEX('Master Leads'!$O$6:$O$495,MATCH($C41,'Master Leads'!$A$6:$A$495,0)),""))</f>
        <v/>
      </c>
      <c r="J41" s="21"/>
    </row>
    <row r="42" ht="15.75" customHeight="1">
      <c r="A42" s="21"/>
      <c r="B42" s="22"/>
      <c r="C42" s="21"/>
      <c r="D42" s="23" t="str">
        <f t="array" ref="D42">IF($C42="","",IFERROR(INDEX('Master Leads'!$C$6:$C$495,MATCH($C42,'Master Leads'!$A$6:$A$495,0)),""))</f>
        <v/>
      </c>
      <c r="E42" s="30"/>
      <c r="F42" s="30"/>
      <c r="G42" s="21"/>
      <c r="H42" s="22"/>
      <c r="I42" s="23" t="str">
        <f t="array" ref="I42">IF($C42="","",IFERROR(INDEX('Master Leads'!$O$6:$O$495,MATCH($C42,'Master Leads'!$A$6:$A$495,0)),""))</f>
        <v/>
      </c>
      <c r="J42" s="21"/>
    </row>
    <row r="43" ht="15.75" customHeight="1">
      <c r="A43" s="21"/>
      <c r="B43" s="22"/>
      <c r="C43" s="21"/>
      <c r="D43" s="23" t="str">
        <f t="array" ref="D43">IF($C43="","",IFERROR(INDEX('Master Leads'!$C$6:$C$495,MATCH($C43,'Master Leads'!$A$6:$A$495,0)),""))</f>
        <v/>
      </c>
      <c r="E43" s="30"/>
      <c r="F43" s="30"/>
      <c r="G43" s="21"/>
      <c r="H43" s="22"/>
      <c r="I43" s="23" t="str">
        <f t="array" ref="I43">IF($C43="","",IFERROR(INDEX('Master Leads'!$O$6:$O$495,MATCH($C43,'Master Leads'!$A$6:$A$495,0)),""))</f>
        <v/>
      </c>
      <c r="J43" s="21"/>
    </row>
    <row r="44" ht="15.75" customHeight="1">
      <c r="A44" s="21"/>
      <c r="B44" s="22"/>
      <c r="C44" s="21"/>
      <c r="D44" s="23" t="str">
        <f t="array" ref="D44">IF($C44="","",IFERROR(INDEX('Master Leads'!$C$6:$C$495,MATCH($C44,'Master Leads'!$A$6:$A$495,0)),""))</f>
        <v/>
      </c>
      <c r="E44" s="30"/>
      <c r="F44" s="30"/>
      <c r="G44" s="21"/>
      <c r="H44" s="22"/>
      <c r="I44" s="23" t="str">
        <f t="array" ref="I44">IF($C44="","",IFERROR(INDEX('Master Leads'!$O$6:$O$495,MATCH($C44,'Master Leads'!$A$6:$A$495,0)),""))</f>
        <v/>
      </c>
      <c r="J44" s="21"/>
    </row>
    <row r="45" ht="15.75" customHeight="1">
      <c r="A45" s="21"/>
      <c r="B45" s="22"/>
      <c r="C45" s="21"/>
      <c r="D45" s="23" t="str">
        <f t="array" ref="D45">IF($C45="","",IFERROR(INDEX('Master Leads'!$C$6:$C$495,MATCH($C45,'Master Leads'!$A$6:$A$495,0)),""))</f>
        <v/>
      </c>
      <c r="E45" s="30"/>
      <c r="F45" s="30"/>
      <c r="G45" s="21"/>
      <c r="H45" s="22"/>
      <c r="I45" s="23" t="str">
        <f t="array" ref="I45">IF($C45="","",IFERROR(INDEX('Master Leads'!$O$6:$O$495,MATCH($C45,'Master Leads'!$A$6:$A$495,0)),""))</f>
        <v/>
      </c>
      <c r="J45" s="21"/>
    </row>
    <row r="46" ht="15.75" customHeight="1">
      <c r="A46" s="21"/>
      <c r="B46" s="22"/>
      <c r="C46" s="21"/>
      <c r="D46" s="23" t="str">
        <f t="array" ref="D46">IF($C46="","",IFERROR(INDEX('Master Leads'!$C$6:$C$495,MATCH($C46,'Master Leads'!$A$6:$A$495,0)),""))</f>
        <v/>
      </c>
      <c r="E46" s="30"/>
      <c r="F46" s="30"/>
      <c r="G46" s="21"/>
      <c r="H46" s="22"/>
      <c r="I46" s="23" t="str">
        <f t="array" ref="I46">IF($C46="","",IFERROR(INDEX('Master Leads'!$O$6:$O$495,MATCH($C46,'Master Leads'!$A$6:$A$495,0)),""))</f>
        <v/>
      </c>
      <c r="J46" s="21"/>
    </row>
    <row r="47" ht="15.75" customHeight="1">
      <c r="A47" s="21"/>
      <c r="B47" s="22"/>
      <c r="C47" s="21"/>
      <c r="D47" s="23" t="str">
        <f t="array" ref="D47">IF($C47="","",IFERROR(INDEX('Master Leads'!$C$6:$C$495,MATCH($C47,'Master Leads'!$A$6:$A$495,0)),""))</f>
        <v/>
      </c>
      <c r="E47" s="30"/>
      <c r="F47" s="30"/>
      <c r="G47" s="21"/>
      <c r="H47" s="22"/>
      <c r="I47" s="23" t="str">
        <f t="array" ref="I47">IF($C47="","",IFERROR(INDEX('Master Leads'!$O$6:$O$495,MATCH($C47,'Master Leads'!$A$6:$A$495,0)),""))</f>
        <v/>
      </c>
      <c r="J47" s="21"/>
    </row>
    <row r="48" ht="15.75" customHeight="1">
      <c r="A48" s="21"/>
      <c r="B48" s="22"/>
      <c r="C48" s="21"/>
      <c r="D48" s="23" t="str">
        <f t="array" ref="D48">IF($C48="","",IFERROR(INDEX('Master Leads'!$C$6:$C$495,MATCH($C48,'Master Leads'!$A$6:$A$495,0)),""))</f>
        <v/>
      </c>
      <c r="E48" s="30"/>
      <c r="F48" s="30"/>
      <c r="G48" s="21"/>
      <c r="H48" s="22"/>
      <c r="I48" s="23" t="str">
        <f t="array" ref="I48">IF($C48="","",IFERROR(INDEX('Master Leads'!$O$6:$O$495,MATCH($C48,'Master Leads'!$A$6:$A$495,0)),""))</f>
        <v/>
      </c>
      <c r="J48" s="21"/>
    </row>
    <row r="49" ht="15.75" customHeight="1">
      <c r="A49" s="21"/>
      <c r="B49" s="22"/>
      <c r="C49" s="21"/>
      <c r="D49" s="23" t="str">
        <f t="array" ref="D49">IF($C49="","",IFERROR(INDEX('Master Leads'!$C$6:$C$495,MATCH($C49,'Master Leads'!$A$6:$A$495,0)),""))</f>
        <v/>
      </c>
      <c r="E49" s="30"/>
      <c r="F49" s="30"/>
      <c r="G49" s="21"/>
      <c r="H49" s="22"/>
      <c r="I49" s="23" t="str">
        <f t="array" ref="I49">IF($C49="","",IFERROR(INDEX('Master Leads'!$O$6:$O$495,MATCH($C49,'Master Leads'!$A$6:$A$495,0)),""))</f>
        <v/>
      </c>
      <c r="J49" s="21"/>
    </row>
    <row r="50" ht="15.75" customHeight="1">
      <c r="A50" s="21"/>
      <c r="B50" s="22"/>
      <c r="C50" s="21"/>
      <c r="D50" s="23" t="str">
        <f t="array" ref="D50">IF($C50="","",IFERROR(INDEX('Master Leads'!$C$6:$C$495,MATCH($C50,'Master Leads'!$A$6:$A$495,0)),""))</f>
        <v/>
      </c>
      <c r="E50" s="30"/>
      <c r="F50" s="30"/>
      <c r="G50" s="21"/>
      <c r="H50" s="22"/>
      <c r="I50" s="23" t="str">
        <f t="array" ref="I50">IF($C50="","",IFERROR(INDEX('Master Leads'!$O$6:$O$495,MATCH($C50,'Master Leads'!$A$6:$A$495,0)),""))</f>
        <v/>
      </c>
      <c r="J50" s="21"/>
    </row>
    <row r="51" ht="15.75" customHeight="1">
      <c r="A51" s="21"/>
      <c r="B51" s="22"/>
      <c r="C51" s="21"/>
      <c r="D51" s="23" t="str">
        <f t="array" ref="D51">IF($C51="","",IFERROR(INDEX('Master Leads'!$C$6:$C$495,MATCH($C51,'Master Leads'!$A$6:$A$495,0)),""))</f>
        <v/>
      </c>
      <c r="E51" s="30"/>
      <c r="F51" s="30"/>
      <c r="G51" s="21"/>
      <c r="H51" s="22"/>
      <c r="I51" s="23" t="str">
        <f t="array" ref="I51">IF($C51="","",IFERROR(INDEX('Master Leads'!$O$6:$O$495,MATCH($C51,'Master Leads'!$A$6:$A$495,0)),""))</f>
        <v/>
      </c>
      <c r="J51" s="21"/>
    </row>
    <row r="52" ht="15.75" customHeight="1">
      <c r="A52" s="21"/>
      <c r="B52" s="22"/>
      <c r="C52" s="21"/>
      <c r="D52" s="23" t="str">
        <f t="array" ref="D52">IF($C52="","",IFERROR(INDEX('Master Leads'!$C$6:$C$495,MATCH($C52,'Master Leads'!$A$6:$A$495,0)),""))</f>
        <v/>
      </c>
      <c r="E52" s="30"/>
      <c r="F52" s="30"/>
      <c r="G52" s="21"/>
      <c r="H52" s="22"/>
      <c r="I52" s="23" t="str">
        <f t="array" ref="I52">IF($C52="","",IFERROR(INDEX('Master Leads'!$O$6:$O$495,MATCH($C52,'Master Leads'!$A$6:$A$495,0)),""))</f>
        <v/>
      </c>
      <c r="J52" s="21"/>
    </row>
    <row r="53" ht="15.75" customHeight="1">
      <c r="A53" s="21"/>
      <c r="B53" s="22"/>
      <c r="C53" s="21"/>
      <c r="D53" s="23" t="str">
        <f t="array" ref="D53">IF($C53="","",IFERROR(INDEX('Master Leads'!$C$6:$C$495,MATCH($C53,'Master Leads'!$A$6:$A$495,0)),""))</f>
        <v/>
      </c>
      <c r="E53" s="30"/>
      <c r="F53" s="30"/>
      <c r="G53" s="21"/>
      <c r="H53" s="22"/>
      <c r="I53" s="23" t="str">
        <f t="array" ref="I53">IF($C53="","",IFERROR(INDEX('Master Leads'!$O$6:$O$495,MATCH($C53,'Master Leads'!$A$6:$A$495,0)),""))</f>
        <v/>
      </c>
      <c r="J53" s="21"/>
    </row>
    <row r="54" ht="15.75" customHeight="1">
      <c r="A54" s="21"/>
      <c r="B54" s="22"/>
      <c r="C54" s="21"/>
      <c r="D54" s="23" t="str">
        <f t="array" ref="D54">IF($C54="","",IFERROR(INDEX('Master Leads'!$C$6:$C$495,MATCH($C54,'Master Leads'!$A$6:$A$495,0)),""))</f>
        <v/>
      </c>
      <c r="E54" s="30"/>
      <c r="F54" s="30"/>
      <c r="G54" s="21"/>
      <c r="H54" s="22"/>
      <c r="I54" s="23" t="str">
        <f t="array" ref="I54">IF($C54="","",IFERROR(INDEX('Master Leads'!$O$6:$O$495,MATCH($C54,'Master Leads'!$A$6:$A$495,0)),""))</f>
        <v/>
      </c>
      <c r="J54" s="21"/>
    </row>
    <row r="55" ht="15.75" customHeight="1">
      <c r="A55" s="21"/>
      <c r="B55" s="22"/>
      <c r="C55" s="21"/>
      <c r="D55" s="23" t="str">
        <f t="array" ref="D55">IF($C55="","",IFERROR(INDEX('Master Leads'!$C$6:$C$495,MATCH($C55,'Master Leads'!$A$6:$A$495,0)),""))</f>
        <v/>
      </c>
      <c r="E55" s="30"/>
      <c r="F55" s="30"/>
      <c r="G55" s="21"/>
      <c r="H55" s="22"/>
      <c r="I55" s="23" t="str">
        <f t="array" ref="I55">IF($C55="","",IFERROR(INDEX('Master Leads'!$O$6:$O$495,MATCH($C55,'Master Leads'!$A$6:$A$495,0)),""))</f>
        <v/>
      </c>
      <c r="J55" s="21"/>
    </row>
    <row r="56" ht="15.75" customHeight="1">
      <c r="A56" s="21"/>
      <c r="B56" s="22"/>
      <c r="C56" s="21"/>
      <c r="D56" s="23" t="str">
        <f t="array" ref="D56">IF($C56="","",IFERROR(INDEX('Master Leads'!$C$6:$C$495,MATCH($C56,'Master Leads'!$A$6:$A$495,0)),""))</f>
        <v/>
      </c>
      <c r="E56" s="30"/>
      <c r="F56" s="30"/>
      <c r="G56" s="21"/>
      <c r="H56" s="22"/>
      <c r="I56" s="23" t="str">
        <f t="array" ref="I56">IF($C56="","",IFERROR(INDEX('Master Leads'!$O$6:$O$495,MATCH($C56,'Master Leads'!$A$6:$A$495,0)),""))</f>
        <v/>
      </c>
      <c r="J56" s="21"/>
    </row>
    <row r="57" ht="15.75" customHeight="1">
      <c r="A57" s="21"/>
      <c r="B57" s="22"/>
      <c r="C57" s="21"/>
      <c r="D57" s="23" t="str">
        <f t="array" ref="D57">IF($C57="","",IFERROR(INDEX('Master Leads'!$C$6:$C$495,MATCH($C57,'Master Leads'!$A$6:$A$495,0)),""))</f>
        <v/>
      </c>
      <c r="E57" s="30"/>
      <c r="F57" s="30"/>
      <c r="G57" s="21"/>
      <c r="H57" s="22"/>
      <c r="I57" s="23" t="str">
        <f t="array" ref="I57">IF($C57="","",IFERROR(INDEX('Master Leads'!$O$6:$O$495,MATCH($C57,'Master Leads'!$A$6:$A$495,0)),""))</f>
        <v/>
      </c>
      <c r="J57" s="21"/>
    </row>
    <row r="58" ht="15.75" customHeight="1">
      <c r="A58" s="21"/>
      <c r="B58" s="22"/>
      <c r="C58" s="21"/>
      <c r="D58" s="23" t="str">
        <f t="array" ref="D58">IF($C58="","",IFERROR(INDEX('Master Leads'!$C$6:$C$495,MATCH($C58,'Master Leads'!$A$6:$A$495,0)),""))</f>
        <v/>
      </c>
      <c r="E58" s="30"/>
      <c r="F58" s="30"/>
      <c r="G58" s="21"/>
      <c r="H58" s="22"/>
      <c r="I58" s="23" t="str">
        <f t="array" ref="I58">IF($C58="","",IFERROR(INDEX('Master Leads'!$O$6:$O$495,MATCH($C58,'Master Leads'!$A$6:$A$495,0)),""))</f>
        <v/>
      </c>
      <c r="J58" s="21"/>
    </row>
    <row r="59" ht="15.75" customHeight="1">
      <c r="A59" s="21"/>
      <c r="B59" s="22"/>
      <c r="C59" s="21"/>
      <c r="D59" s="23" t="str">
        <f t="array" ref="D59">IF($C59="","",IFERROR(INDEX('Master Leads'!$C$6:$C$495,MATCH($C59,'Master Leads'!$A$6:$A$495,0)),""))</f>
        <v/>
      </c>
      <c r="E59" s="30"/>
      <c r="F59" s="30"/>
      <c r="G59" s="21"/>
      <c r="H59" s="22"/>
      <c r="I59" s="23" t="str">
        <f t="array" ref="I59">IF($C59="","",IFERROR(INDEX('Master Leads'!$O$6:$O$495,MATCH($C59,'Master Leads'!$A$6:$A$495,0)),""))</f>
        <v/>
      </c>
      <c r="J59" s="21"/>
    </row>
    <row r="60" ht="15.75" customHeight="1">
      <c r="A60" s="21"/>
      <c r="B60" s="22"/>
      <c r="C60" s="21"/>
      <c r="D60" s="23" t="str">
        <f t="array" ref="D60">IF($C60="","",IFERROR(INDEX('Master Leads'!$C$6:$C$495,MATCH($C60,'Master Leads'!$A$6:$A$495,0)),""))</f>
        <v/>
      </c>
      <c r="E60" s="30"/>
      <c r="F60" s="30"/>
      <c r="G60" s="21"/>
      <c r="H60" s="22"/>
      <c r="I60" s="23" t="str">
        <f t="array" ref="I60">IF($C60="","",IFERROR(INDEX('Master Leads'!$O$6:$O$495,MATCH($C60,'Master Leads'!$A$6:$A$495,0)),""))</f>
        <v/>
      </c>
      <c r="J60" s="21"/>
    </row>
    <row r="61" ht="15.75" customHeight="1">
      <c r="A61" s="21"/>
      <c r="B61" s="22"/>
      <c r="C61" s="21"/>
      <c r="D61" s="23" t="str">
        <f t="array" ref="D61">IF($C61="","",IFERROR(INDEX('Master Leads'!$C$6:$C$495,MATCH($C61,'Master Leads'!$A$6:$A$495,0)),""))</f>
        <v/>
      </c>
      <c r="E61" s="30"/>
      <c r="F61" s="30"/>
      <c r="G61" s="21"/>
      <c r="H61" s="22"/>
      <c r="I61" s="23" t="str">
        <f t="array" ref="I61">IF($C61="","",IFERROR(INDEX('Master Leads'!$O$6:$O$495,MATCH($C61,'Master Leads'!$A$6:$A$495,0)),""))</f>
        <v/>
      </c>
      <c r="J61" s="21"/>
    </row>
    <row r="62" ht="15.75" customHeight="1">
      <c r="A62" s="21"/>
      <c r="B62" s="22"/>
      <c r="C62" s="21"/>
      <c r="D62" s="23" t="str">
        <f t="array" ref="D62">IF($C62="","",IFERROR(INDEX('Master Leads'!$C$6:$C$495,MATCH($C62,'Master Leads'!$A$6:$A$495,0)),""))</f>
        <v/>
      </c>
      <c r="E62" s="30"/>
      <c r="F62" s="30"/>
      <c r="G62" s="21"/>
      <c r="H62" s="22"/>
      <c r="I62" s="23" t="str">
        <f t="array" ref="I62">IF($C62="","",IFERROR(INDEX('Master Leads'!$O$6:$O$495,MATCH($C62,'Master Leads'!$A$6:$A$495,0)),""))</f>
        <v/>
      </c>
      <c r="J62" s="21"/>
    </row>
    <row r="63" ht="15.75" customHeight="1">
      <c r="A63" s="21"/>
      <c r="B63" s="22"/>
      <c r="C63" s="21"/>
      <c r="D63" s="23" t="str">
        <f t="array" ref="D63">IF($C63="","",IFERROR(INDEX('Master Leads'!$C$6:$C$495,MATCH($C63,'Master Leads'!$A$6:$A$495,0)),""))</f>
        <v/>
      </c>
      <c r="E63" s="30"/>
      <c r="F63" s="30"/>
      <c r="G63" s="21"/>
      <c r="H63" s="22"/>
      <c r="I63" s="23" t="str">
        <f t="array" ref="I63">IF($C63="","",IFERROR(INDEX('Master Leads'!$O$6:$O$495,MATCH($C63,'Master Leads'!$A$6:$A$495,0)),""))</f>
        <v/>
      </c>
      <c r="J63" s="21"/>
    </row>
    <row r="64" ht="15.75" customHeight="1">
      <c r="A64" s="21"/>
      <c r="B64" s="22"/>
      <c r="C64" s="21"/>
      <c r="D64" s="23" t="str">
        <f t="array" ref="D64">IF($C64="","",IFERROR(INDEX('Master Leads'!$C$6:$C$495,MATCH($C64,'Master Leads'!$A$6:$A$495,0)),""))</f>
        <v/>
      </c>
      <c r="E64" s="30"/>
      <c r="F64" s="30"/>
      <c r="G64" s="21"/>
      <c r="H64" s="22"/>
      <c r="I64" s="23" t="str">
        <f t="array" ref="I64">IF($C64="","",IFERROR(INDEX('Master Leads'!$O$6:$O$495,MATCH($C64,'Master Leads'!$A$6:$A$495,0)),""))</f>
        <v/>
      </c>
      <c r="J64" s="21"/>
    </row>
    <row r="65" ht="15.75" customHeight="1">
      <c r="A65" s="21"/>
      <c r="B65" s="22"/>
      <c r="C65" s="21"/>
      <c r="D65" s="23" t="str">
        <f t="array" ref="D65">IF($C65="","",IFERROR(INDEX('Master Leads'!$C$6:$C$495,MATCH($C65,'Master Leads'!$A$6:$A$495,0)),""))</f>
        <v/>
      </c>
      <c r="E65" s="30"/>
      <c r="F65" s="30"/>
      <c r="G65" s="21"/>
      <c r="H65" s="22"/>
      <c r="I65" s="23" t="str">
        <f t="array" ref="I65">IF($C65="","",IFERROR(INDEX('Master Leads'!$O$6:$O$495,MATCH($C65,'Master Leads'!$A$6:$A$495,0)),""))</f>
        <v/>
      </c>
      <c r="J65" s="21"/>
    </row>
    <row r="66" ht="15.75" customHeight="1">
      <c r="A66" s="21"/>
      <c r="B66" s="22"/>
      <c r="C66" s="21"/>
      <c r="D66" s="23" t="str">
        <f t="array" ref="D66">IF($C66="","",IFERROR(INDEX('Master Leads'!$C$6:$C$495,MATCH($C66,'Master Leads'!$A$6:$A$495,0)),""))</f>
        <v/>
      </c>
      <c r="E66" s="30"/>
      <c r="F66" s="30"/>
      <c r="G66" s="21"/>
      <c r="H66" s="22"/>
      <c r="I66" s="23" t="str">
        <f t="array" ref="I66">IF($C66="","",IFERROR(INDEX('Master Leads'!$O$6:$O$495,MATCH($C66,'Master Leads'!$A$6:$A$495,0)),""))</f>
        <v/>
      </c>
      <c r="J66" s="21"/>
    </row>
    <row r="67" ht="15.75" customHeight="1">
      <c r="A67" s="21"/>
      <c r="B67" s="22"/>
      <c r="C67" s="21"/>
      <c r="D67" s="23" t="str">
        <f t="array" ref="D67">IF($C67="","",IFERROR(INDEX('Master Leads'!$C$6:$C$495,MATCH($C67,'Master Leads'!$A$6:$A$495,0)),""))</f>
        <v/>
      </c>
      <c r="E67" s="30"/>
      <c r="F67" s="30"/>
      <c r="G67" s="21"/>
      <c r="H67" s="22"/>
      <c r="I67" s="23" t="str">
        <f t="array" ref="I67">IF($C67="","",IFERROR(INDEX('Master Leads'!$O$6:$O$495,MATCH($C67,'Master Leads'!$A$6:$A$495,0)),""))</f>
        <v/>
      </c>
      <c r="J67" s="21"/>
    </row>
    <row r="68" ht="15.75" customHeight="1">
      <c r="A68" s="21"/>
      <c r="B68" s="22"/>
      <c r="C68" s="21"/>
      <c r="D68" s="23" t="str">
        <f t="array" ref="D68">IF($C68="","",IFERROR(INDEX('Master Leads'!$C$6:$C$495,MATCH($C68,'Master Leads'!$A$6:$A$495,0)),""))</f>
        <v/>
      </c>
      <c r="E68" s="30"/>
      <c r="F68" s="30"/>
      <c r="G68" s="21"/>
      <c r="H68" s="22"/>
      <c r="I68" s="23" t="str">
        <f t="array" ref="I68">IF($C68="","",IFERROR(INDEX('Master Leads'!$O$6:$O$495,MATCH($C68,'Master Leads'!$A$6:$A$495,0)),""))</f>
        <v/>
      </c>
      <c r="J68" s="21"/>
    </row>
    <row r="69" ht="15.75" customHeight="1">
      <c r="A69" s="21"/>
      <c r="B69" s="22"/>
      <c r="C69" s="21"/>
      <c r="D69" s="23" t="str">
        <f t="array" ref="D69">IF($C69="","",IFERROR(INDEX('Master Leads'!$C$6:$C$495,MATCH($C69,'Master Leads'!$A$6:$A$495,0)),""))</f>
        <v/>
      </c>
      <c r="E69" s="30"/>
      <c r="F69" s="30"/>
      <c r="G69" s="21"/>
      <c r="H69" s="22"/>
      <c r="I69" s="23" t="str">
        <f t="array" ref="I69">IF($C69="","",IFERROR(INDEX('Master Leads'!$O$6:$O$495,MATCH($C69,'Master Leads'!$A$6:$A$495,0)),""))</f>
        <v/>
      </c>
      <c r="J69" s="21"/>
    </row>
    <row r="70" ht="15.75" customHeight="1">
      <c r="A70" s="21"/>
      <c r="B70" s="22"/>
      <c r="C70" s="21"/>
      <c r="D70" s="23" t="str">
        <f t="array" ref="D70">IF($C70="","",IFERROR(INDEX('Master Leads'!$C$6:$C$495,MATCH($C70,'Master Leads'!$A$6:$A$495,0)),""))</f>
        <v/>
      </c>
      <c r="E70" s="30"/>
      <c r="F70" s="30"/>
      <c r="G70" s="21"/>
      <c r="H70" s="22"/>
      <c r="I70" s="23" t="str">
        <f t="array" ref="I70">IF($C70="","",IFERROR(INDEX('Master Leads'!$O$6:$O$495,MATCH($C70,'Master Leads'!$A$6:$A$495,0)),""))</f>
        <v/>
      </c>
      <c r="J70" s="21"/>
    </row>
    <row r="71" ht="15.75" customHeight="1">
      <c r="A71" s="21"/>
      <c r="B71" s="22"/>
      <c r="C71" s="21"/>
      <c r="D71" s="23" t="str">
        <f t="array" ref="D71">IF($C71="","",IFERROR(INDEX('Master Leads'!$C$6:$C$495,MATCH($C71,'Master Leads'!$A$6:$A$495,0)),""))</f>
        <v/>
      </c>
      <c r="E71" s="30"/>
      <c r="F71" s="30"/>
      <c r="G71" s="21"/>
      <c r="H71" s="22"/>
      <c r="I71" s="23" t="str">
        <f t="array" ref="I71">IF($C71="","",IFERROR(INDEX('Master Leads'!$O$6:$O$495,MATCH($C71,'Master Leads'!$A$6:$A$495,0)),""))</f>
        <v/>
      </c>
      <c r="J71" s="21"/>
    </row>
    <row r="72" ht="15.75" customHeight="1">
      <c r="A72" s="21"/>
      <c r="B72" s="22"/>
      <c r="C72" s="21"/>
      <c r="D72" s="23" t="str">
        <f t="array" ref="D72">IF($C72="","",IFERROR(INDEX('Master Leads'!$C$6:$C$495,MATCH($C72,'Master Leads'!$A$6:$A$495,0)),""))</f>
        <v/>
      </c>
      <c r="E72" s="30"/>
      <c r="F72" s="30"/>
      <c r="G72" s="21"/>
      <c r="H72" s="22"/>
      <c r="I72" s="23" t="str">
        <f t="array" ref="I72">IF($C72="","",IFERROR(INDEX('Master Leads'!$O$6:$O$495,MATCH($C72,'Master Leads'!$A$6:$A$495,0)),""))</f>
        <v/>
      </c>
      <c r="J72" s="21"/>
    </row>
    <row r="73" ht="15.75" customHeight="1">
      <c r="A73" s="21"/>
      <c r="B73" s="22"/>
      <c r="C73" s="21"/>
      <c r="D73" s="23" t="str">
        <f t="array" ref="D73">IF($C73="","",IFERROR(INDEX('Master Leads'!$C$6:$C$495,MATCH($C73,'Master Leads'!$A$6:$A$495,0)),""))</f>
        <v/>
      </c>
      <c r="E73" s="30"/>
      <c r="F73" s="30"/>
      <c r="G73" s="21"/>
      <c r="H73" s="22"/>
      <c r="I73" s="23" t="str">
        <f t="array" ref="I73">IF($C73="","",IFERROR(INDEX('Master Leads'!$O$6:$O$495,MATCH($C73,'Master Leads'!$A$6:$A$495,0)),""))</f>
        <v/>
      </c>
      <c r="J73" s="21"/>
    </row>
    <row r="74" ht="15.75" customHeight="1">
      <c r="A74" s="21"/>
      <c r="B74" s="22"/>
      <c r="C74" s="21"/>
      <c r="D74" s="23" t="str">
        <f t="array" ref="D74">IF($C74="","",IFERROR(INDEX('Master Leads'!$C$6:$C$495,MATCH($C74,'Master Leads'!$A$6:$A$495,0)),""))</f>
        <v/>
      </c>
      <c r="E74" s="30"/>
      <c r="F74" s="30"/>
      <c r="G74" s="21"/>
      <c r="H74" s="22"/>
      <c r="I74" s="23" t="str">
        <f t="array" ref="I74">IF($C74="","",IFERROR(INDEX('Master Leads'!$O$6:$O$495,MATCH($C74,'Master Leads'!$A$6:$A$495,0)),""))</f>
        <v/>
      </c>
      <c r="J74" s="21"/>
    </row>
    <row r="75" ht="15.75" customHeight="1">
      <c r="A75" s="21"/>
      <c r="B75" s="22"/>
      <c r="C75" s="21"/>
      <c r="D75" s="23" t="str">
        <f t="array" ref="D75">IF($C75="","",IFERROR(INDEX('Master Leads'!$C$6:$C$495,MATCH($C75,'Master Leads'!$A$6:$A$495,0)),""))</f>
        <v/>
      </c>
      <c r="E75" s="30"/>
      <c r="F75" s="30"/>
      <c r="G75" s="21"/>
      <c r="H75" s="22"/>
      <c r="I75" s="23" t="str">
        <f t="array" ref="I75">IF($C75="","",IFERROR(INDEX('Master Leads'!$O$6:$O$495,MATCH($C75,'Master Leads'!$A$6:$A$495,0)),""))</f>
        <v/>
      </c>
      <c r="J75" s="21"/>
    </row>
    <row r="76" ht="15.75" customHeight="1">
      <c r="A76" s="21"/>
      <c r="B76" s="22"/>
      <c r="C76" s="21"/>
      <c r="D76" s="23" t="str">
        <f t="array" ref="D76">IF($C76="","",IFERROR(INDEX('Master Leads'!$C$6:$C$495,MATCH($C76,'Master Leads'!$A$6:$A$495,0)),""))</f>
        <v/>
      </c>
      <c r="E76" s="30"/>
      <c r="F76" s="30"/>
      <c r="G76" s="21"/>
      <c r="H76" s="22"/>
      <c r="I76" s="23" t="str">
        <f t="array" ref="I76">IF($C76="","",IFERROR(INDEX('Master Leads'!$O$6:$O$495,MATCH($C76,'Master Leads'!$A$6:$A$495,0)),""))</f>
        <v/>
      </c>
      <c r="J76" s="21"/>
    </row>
    <row r="77" ht="15.75" customHeight="1">
      <c r="A77" s="21"/>
      <c r="B77" s="22"/>
      <c r="C77" s="21"/>
      <c r="D77" s="23" t="str">
        <f t="array" ref="D77">IF($C77="","",IFERROR(INDEX('Master Leads'!$C$6:$C$495,MATCH($C77,'Master Leads'!$A$6:$A$495,0)),""))</f>
        <v/>
      </c>
      <c r="E77" s="30"/>
      <c r="F77" s="30"/>
      <c r="G77" s="21"/>
      <c r="H77" s="22"/>
      <c r="I77" s="23" t="str">
        <f t="array" ref="I77">IF($C77="","",IFERROR(INDEX('Master Leads'!$O$6:$O$495,MATCH($C77,'Master Leads'!$A$6:$A$495,0)),""))</f>
        <v/>
      </c>
      <c r="J77" s="21"/>
    </row>
    <row r="78" ht="15.75" customHeight="1">
      <c r="A78" s="21"/>
      <c r="B78" s="22"/>
      <c r="C78" s="21"/>
      <c r="D78" s="23" t="str">
        <f t="array" ref="D78">IF($C78="","",IFERROR(INDEX('Master Leads'!$C$6:$C$495,MATCH($C78,'Master Leads'!$A$6:$A$495,0)),""))</f>
        <v/>
      </c>
      <c r="E78" s="30"/>
      <c r="F78" s="30"/>
      <c r="G78" s="21"/>
      <c r="H78" s="22"/>
      <c r="I78" s="23" t="str">
        <f t="array" ref="I78">IF($C78="","",IFERROR(INDEX('Master Leads'!$O$6:$O$495,MATCH($C78,'Master Leads'!$A$6:$A$495,0)),""))</f>
        <v/>
      </c>
      <c r="J78" s="21"/>
    </row>
    <row r="79" ht="15.75" customHeight="1">
      <c r="A79" s="21"/>
      <c r="B79" s="22"/>
      <c r="C79" s="21"/>
      <c r="D79" s="23" t="str">
        <f t="array" ref="D79">IF($C79="","",IFERROR(INDEX('Master Leads'!$C$6:$C$495,MATCH($C79,'Master Leads'!$A$6:$A$495,0)),""))</f>
        <v/>
      </c>
      <c r="E79" s="30"/>
      <c r="F79" s="30"/>
      <c r="G79" s="21"/>
      <c r="H79" s="22"/>
      <c r="I79" s="23" t="str">
        <f t="array" ref="I79">IF($C79="","",IFERROR(INDEX('Master Leads'!$O$6:$O$495,MATCH($C79,'Master Leads'!$A$6:$A$495,0)),""))</f>
        <v/>
      </c>
      <c r="J79" s="21"/>
    </row>
    <row r="80" ht="15.75" customHeight="1">
      <c r="A80" s="21"/>
      <c r="B80" s="22"/>
      <c r="C80" s="21"/>
      <c r="D80" s="23" t="str">
        <f t="array" ref="D80">IF($C80="","",IFERROR(INDEX('Master Leads'!$C$6:$C$495,MATCH($C80,'Master Leads'!$A$6:$A$495,0)),""))</f>
        <v/>
      </c>
      <c r="E80" s="30"/>
      <c r="F80" s="30"/>
      <c r="G80" s="21"/>
      <c r="H80" s="22"/>
      <c r="I80" s="23" t="str">
        <f t="array" ref="I80">IF($C80="","",IFERROR(INDEX('Master Leads'!$O$6:$O$495,MATCH($C80,'Master Leads'!$A$6:$A$495,0)),""))</f>
        <v/>
      </c>
      <c r="J80" s="21"/>
    </row>
    <row r="81" ht="15.75" customHeight="1">
      <c r="A81" s="21"/>
      <c r="B81" s="22"/>
      <c r="C81" s="21"/>
      <c r="D81" s="23" t="str">
        <f t="array" ref="D81">IF($C81="","",IFERROR(INDEX('Master Leads'!$C$6:$C$495,MATCH($C81,'Master Leads'!$A$6:$A$495,0)),""))</f>
        <v/>
      </c>
      <c r="E81" s="30"/>
      <c r="F81" s="30"/>
      <c r="G81" s="21"/>
      <c r="H81" s="22"/>
      <c r="I81" s="23" t="str">
        <f t="array" ref="I81">IF($C81="","",IFERROR(INDEX('Master Leads'!$O$6:$O$495,MATCH($C81,'Master Leads'!$A$6:$A$495,0)),""))</f>
        <v/>
      </c>
      <c r="J81" s="21"/>
    </row>
    <row r="82" ht="15.75" customHeight="1">
      <c r="A82" s="21"/>
      <c r="B82" s="22"/>
      <c r="C82" s="21"/>
      <c r="D82" s="23" t="str">
        <f t="array" ref="D82">IF($C82="","",IFERROR(INDEX('Master Leads'!$C$6:$C$495,MATCH($C82,'Master Leads'!$A$6:$A$495,0)),""))</f>
        <v/>
      </c>
      <c r="E82" s="30"/>
      <c r="F82" s="30"/>
      <c r="G82" s="21"/>
      <c r="H82" s="22"/>
      <c r="I82" s="23" t="str">
        <f t="array" ref="I82">IF($C82="","",IFERROR(INDEX('Master Leads'!$O$6:$O$495,MATCH($C82,'Master Leads'!$A$6:$A$495,0)),""))</f>
        <v/>
      </c>
      <c r="J82" s="21"/>
    </row>
    <row r="83" ht="15.75" customHeight="1">
      <c r="A83" s="21"/>
      <c r="B83" s="22"/>
      <c r="C83" s="21"/>
      <c r="D83" s="23" t="str">
        <f t="array" ref="D83">IF($C83="","",IFERROR(INDEX('Master Leads'!$C$6:$C$495,MATCH($C83,'Master Leads'!$A$6:$A$495,0)),""))</f>
        <v/>
      </c>
      <c r="E83" s="30"/>
      <c r="F83" s="30"/>
      <c r="G83" s="21"/>
      <c r="H83" s="22"/>
      <c r="I83" s="23" t="str">
        <f t="array" ref="I83">IF($C83="","",IFERROR(INDEX('Master Leads'!$O$6:$O$495,MATCH($C83,'Master Leads'!$A$6:$A$495,0)),""))</f>
        <v/>
      </c>
      <c r="J83" s="21"/>
    </row>
    <row r="84" ht="15.75" customHeight="1">
      <c r="A84" s="21"/>
      <c r="B84" s="22"/>
      <c r="C84" s="21"/>
      <c r="D84" s="23" t="str">
        <f t="array" ref="D84">IF($C84="","",IFERROR(INDEX('Master Leads'!$C$6:$C$495,MATCH($C84,'Master Leads'!$A$6:$A$495,0)),""))</f>
        <v/>
      </c>
      <c r="E84" s="30"/>
      <c r="F84" s="30"/>
      <c r="G84" s="21"/>
      <c r="H84" s="22"/>
      <c r="I84" s="23" t="str">
        <f t="array" ref="I84">IF($C84="","",IFERROR(INDEX('Master Leads'!$O$6:$O$495,MATCH($C84,'Master Leads'!$A$6:$A$495,0)),""))</f>
        <v/>
      </c>
      <c r="J84" s="21"/>
    </row>
    <row r="85" ht="15.75" customHeight="1">
      <c r="A85" s="21"/>
      <c r="B85" s="22"/>
      <c r="C85" s="21"/>
      <c r="D85" s="23" t="str">
        <f t="array" ref="D85">IF($C85="","",IFERROR(INDEX('Master Leads'!$C$6:$C$495,MATCH($C85,'Master Leads'!$A$6:$A$495,0)),""))</f>
        <v/>
      </c>
      <c r="E85" s="30"/>
      <c r="F85" s="30"/>
      <c r="G85" s="21"/>
      <c r="H85" s="22"/>
      <c r="I85" s="23" t="str">
        <f t="array" ref="I85">IF($C85="","",IFERROR(INDEX('Master Leads'!$O$6:$O$495,MATCH($C85,'Master Leads'!$A$6:$A$495,0)),""))</f>
        <v/>
      </c>
      <c r="J85" s="21"/>
    </row>
    <row r="86" ht="15.75" customHeight="1">
      <c r="A86" s="21"/>
      <c r="B86" s="22"/>
      <c r="C86" s="21"/>
      <c r="D86" s="23" t="str">
        <f t="array" ref="D86">IF($C86="","",IFERROR(INDEX('Master Leads'!$C$6:$C$495,MATCH($C86,'Master Leads'!$A$6:$A$495,0)),""))</f>
        <v/>
      </c>
      <c r="E86" s="30"/>
      <c r="F86" s="30"/>
      <c r="G86" s="21"/>
      <c r="H86" s="22"/>
      <c r="I86" s="23" t="str">
        <f t="array" ref="I86">IF($C86="","",IFERROR(INDEX('Master Leads'!$O$6:$O$495,MATCH($C86,'Master Leads'!$A$6:$A$495,0)),""))</f>
        <v/>
      </c>
      <c r="J86" s="21"/>
    </row>
    <row r="87" ht="15.75" customHeight="1">
      <c r="A87" s="21"/>
      <c r="B87" s="22"/>
      <c r="C87" s="21"/>
      <c r="D87" s="23" t="str">
        <f t="array" ref="D87">IF($C87="","",IFERROR(INDEX('Master Leads'!$C$6:$C$495,MATCH($C87,'Master Leads'!$A$6:$A$495,0)),""))</f>
        <v/>
      </c>
      <c r="E87" s="30"/>
      <c r="F87" s="30"/>
      <c r="G87" s="21"/>
      <c r="H87" s="22"/>
      <c r="I87" s="23" t="str">
        <f t="array" ref="I87">IF($C87="","",IFERROR(INDEX('Master Leads'!$O$6:$O$495,MATCH($C87,'Master Leads'!$A$6:$A$495,0)),""))</f>
        <v/>
      </c>
      <c r="J87" s="21"/>
    </row>
    <row r="88" ht="15.75" customHeight="1">
      <c r="A88" s="21"/>
      <c r="B88" s="22"/>
      <c r="C88" s="21"/>
      <c r="D88" s="23" t="str">
        <f t="array" ref="D88">IF($C88="","",IFERROR(INDEX('Master Leads'!$C$6:$C$495,MATCH($C88,'Master Leads'!$A$6:$A$495,0)),""))</f>
        <v/>
      </c>
      <c r="E88" s="30"/>
      <c r="F88" s="30"/>
      <c r="G88" s="21"/>
      <c r="H88" s="22"/>
      <c r="I88" s="23" t="str">
        <f t="array" ref="I88">IF($C88="","",IFERROR(INDEX('Master Leads'!$O$6:$O$495,MATCH($C88,'Master Leads'!$A$6:$A$495,0)),""))</f>
        <v/>
      </c>
      <c r="J88" s="21"/>
    </row>
    <row r="89" ht="15.75" customHeight="1">
      <c r="A89" s="21"/>
      <c r="B89" s="22"/>
      <c r="C89" s="21"/>
      <c r="D89" s="23" t="str">
        <f t="array" ref="D89">IF($C89="","",IFERROR(INDEX('Master Leads'!$C$6:$C$495,MATCH($C89,'Master Leads'!$A$6:$A$495,0)),""))</f>
        <v/>
      </c>
      <c r="E89" s="30"/>
      <c r="F89" s="30"/>
      <c r="G89" s="21"/>
      <c r="H89" s="22"/>
      <c r="I89" s="23" t="str">
        <f t="array" ref="I89">IF($C89="","",IFERROR(INDEX('Master Leads'!$O$6:$O$495,MATCH($C89,'Master Leads'!$A$6:$A$495,0)),""))</f>
        <v/>
      </c>
      <c r="J89" s="21"/>
    </row>
    <row r="90" ht="15.75" customHeight="1">
      <c r="A90" s="21"/>
      <c r="B90" s="22"/>
      <c r="C90" s="21"/>
      <c r="D90" s="23" t="str">
        <f t="array" ref="D90">IF($C90="","",IFERROR(INDEX('Master Leads'!$C$6:$C$495,MATCH($C90,'Master Leads'!$A$6:$A$495,0)),""))</f>
        <v/>
      </c>
      <c r="E90" s="30"/>
      <c r="F90" s="30"/>
      <c r="G90" s="21"/>
      <c r="H90" s="22"/>
      <c r="I90" s="23" t="str">
        <f t="array" ref="I90">IF($C90="","",IFERROR(INDEX('Master Leads'!$O$6:$O$495,MATCH($C90,'Master Leads'!$A$6:$A$495,0)),""))</f>
        <v/>
      </c>
      <c r="J90" s="21"/>
    </row>
    <row r="91" ht="15.75" customHeight="1">
      <c r="A91" s="21"/>
      <c r="B91" s="22"/>
      <c r="C91" s="21"/>
      <c r="D91" s="23" t="str">
        <f t="array" ref="D91">IF($C91="","",IFERROR(INDEX('Master Leads'!$C$6:$C$495,MATCH($C91,'Master Leads'!$A$6:$A$495,0)),""))</f>
        <v/>
      </c>
      <c r="E91" s="30"/>
      <c r="F91" s="30"/>
      <c r="G91" s="21"/>
      <c r="H91" s="22"/>
      <c r="I91" s="23" t="str">
        <f t="array" ref="I91">IF($C91="","",IFERROR(INDEX('Master Leads'!$O$6:$O$495,MATCH($C91,'Master Leads'!$A$6:$A$495,0)),""))</f>
        <v/>
      </c>
      <c r="J91" s="21"/>
    </row>
    <row r="92" ht="15.75" customHeight="1">
      <c r="A92" s="21"/>
      <c r="B92" s="22"/>
      <c r="C92" s="21"/>
      <c r="D92" s="23" t="str">
        <f t="array" ref="D92">IF($C92="","",IFERROR(INDEX('Master Leads'!$C$6:$C$495,MATCH($C92,'Master Leads'!$A$6:$A$495,0)),""))</f>
        <v/>
      </c>
      <c r="E92" s="30"/>
      <c r="F92" s="30"/>
      <c r="G92" s="21"/>
      <c r="H92" s="22"/>
      <c r="I92" s="23" t="str">
        <f t="array" ref="I92">IF($C92="","",IFERROR(INDEX('Master Leads'!$O$6:$O$495,MATCH($C92,'Master Leads'!$A$6:$A$495,0)),""))</f>
        <v/>
      </c>
      <c r="J92" s="21"/>
    </row>
    <row r="93" ht="15.75" customHeight="1">
      <c r="A93" s="21"/>
      <c r="B93" s="22"/>
      <c r="C93" s="21"/>
      <c r="D93" s="23" t="str">
        <f t="array" ref="D93">IF($C93="","",IFERROR(INDEX('Master Leads'!$C$6:$C$495,MATCH($C93,'Master Leads'!$A$6:$A$495,0)),""))</f>
        <v/>
      </c>
      <c r="E93" s="30"/>
      <c r="F93" s="30"/>
      <c r="G93" s="21"/>
      <c r="H93" s="22"/>
      <c r="I93" s="23" t="str">
        <f t="array" ref="I93">IF($C93="","",IFERROR(INDEX('Master Leads'!$O$6:$O$495,MATCH($C93,'Master Leads'!$A$6:$A$495,0)),""))</f>
        <v/>
      </c>
      <c r="J93" s="21"/>
    </row>
    <row r="94" ht="15.75" customHeight="1">
      <c r="A94" s="21"/>
      <c r="B94" s="22"/>
      <c r="C94" s="21"/>
      <c r="D94" s="23" t="str">
        <f t="array" ref="D94">IF($C94="","",IFERROR(INDEX('Master Leads'!$C$6:$C$495,MATCH($C94,'Master Leads'!$A$6:$A$495,0)),""))</f>
        <v/>
      </c>
      <c r="E94" s="30"/>
      <c r="F94" s="30"/>
      <c r="G94" s="21"/>
      <c r="H94" s="22"/>
      <c r="I94" s="23" t="str">
        <f t="array" ref="I94">IF($C94="","",IFERROR(INDEX('Master Leads'!$O$6:$O$495,MATCH($C94,'Master Leads'!$A$6:$A$495,0)),""))</f>
        <v/>
      </c>
      <c r="J94" s="21"/>
    </row>
    <row r="95" ht="15.75" customHeight="1">
      <c r="A95" s="21"/>
      <c r="B95" s="22"/>
      <c r="C95" s="21"/>
      <c r="D95" s="23" t="str">
        <f t="array" ref="D95">IF($C95="","",IFERROR(INDEX('Master Leads'!$C$6:$C$495,MATCH($C95,'Master Leads'!$A$6:$A$495,0)),""))</f>
        <v/>
      </c>
      <c r="E95" s="30"/>
      <c r="F95" s="30"/>
      <c r="G95" s="21"/>
      <c r="H95" s="22"/>
      <c r="I95" s="23" t="str">
        <f t="array" ref="I95">IF($C95="","",IFERROR(INDEX('Master Leads'!$O$6:$O$495,MATCH($C95,'Master Leads'!$A$6:$A$495,0)),""))</f>
        <v/>
      </c>
      <c r="J95" s="21"/>
    </row>
    <row r="96" ht="15.75" customHeight="1">
      <c r="A96" s="21"/>
      <c r="B96" s="22"/>
      <c r="C96" s="21"/>
      <c r="D96" s="23" t="str">
        <f t="array" ref="D96">IF($C96="","",IFERROR(INDEX('Master Leads'!$C$6:$C$495,MATCH($C96,'Master Leads'!$A$6:$A$495,0)),""))</f>
        <v/>
      </c>
      <c r="E96" s="30"/>
      <c r="F96" s="30"/>
      <c r="G96" s="21"/>
      <c r="H96" s="22"/>
      <c r="I96" s="23" t="str">
        <f t="array" ref="I96">IF($C96="","",IFERROR(INDEX('Master Leads'!$O$6:$O$495,MATCH($C96,'Master Leads'!$A$6:$A$495,0)),""))</f>
        <v/>
      </c>
      <c r="J96" s="21"/>
    </row>
    <row r="97" ht="15.75" customHeight="1">
      <c r="A97" s="21"/>
      <c r="B97" s="22"/>
      <c r="C97" s="21"/>
      <c r="D97" s="23" t="str">
        <f t="array" ref="D97">IF($C97="","",IFERROR(INDEX('Master Leads'!$C$6:$C$495,MATCH($C97,'Master Leads'!$A$6:$A$495,0)),""))</f>
        <v/>
      </c>
      <c r="E97" s="30"/>
      <c r="F97" s="30"/>
      <c r="G97" s="21"/>
      <c r="H97" s="22"/>
      <c r="I97" s="23" t="str">
        <f t="array" ref="I97">IF($C97="","",IFERROR(INDEX('Master Leads'!$O$6:$O$495,MATCH($C97,'Master Leads'!$A$6:$A$495,0)),""))</f>
        <v/>
      </c>
      <c r="J97" s="21"/>
    </row>
    <row r="98" ht="15.75" customHeight="1">
      <c r="A98" s="21"/>
      <c r="B98" s="22"/>
      <c r="C98" s="21"/>
      <c r="D98" s="23" t="str">
        <f t="array" ref="D98">IF($C98="","",IFERROR(INDEX('Master Leads'!$C$6:$C$495,MATCH($C98,'Master Leads'!$A$6:$A$495,0)),""))</f>
        <v/>
      </c>
      <c r="E98" s="30"/>
      <c r="F98" s="30"/>
      <c r="G98" s="21"/>
      <c r="H98" s="22"/>
      <c r="I98" s="23" t="str">
        <f t="array" ref="I98">IF($C98="","",IFERROR(INDEX('Master Leads'!$O$6:$O$495,MATCH($C98,'Master Leads'!$A$6:$A$495,0)),""))</f>
        <v/>
      </c>
      <c r="J98" s="21"/>
    </row>
    <row r="99" ht="15.75" customHeight="1">
      <c r="A99" s="21"/>
      <c r="B99" s="22"/>
      <c r="C99" s="21"/>
      <c r="D99" s="23" t="str">
        <f t="array" ref="D99">IF($C99="","",IFERROR(INDEX('Master Leads'!$C$6:$C$495,MATCH($C99,'Master Leads'!$A$6:$A$495,0)),""))</f>
        <v/>
      </c>
      <c r="E99" s="30"/>
      <c r="F99" s="30"/>
      <c r="G99" s="21"/>
      <c r="H99" s="22"/>
      <c r="I99" s="23" t="str">
        <f t="array" ref="I99">IF($C99="","",IFERROR(INDEX('Master Leads'!$O$6:$O$495,MATCH($C99,'Master Leads'!$A$6:$A$495,0)),""))</f>
        <v/>
      </c>
      <c r="J99" s="21"/>
    </row>
    <row r="100" ht="15.75" customHeight="1">
      <c r="A100" s="21"/>
      <c r="B100" s="22"/>
      <c r="C100" s="21"/>
      <c r="D100" s="23" t="str">
        <f t="array" ref="D100">IF($C100="","",IFERROR(INDEX('Master Leads'!$C$6:$C$495,MATCH($C100,'Master Leads'!$A$6:$A$495,0)),""))</f>
        <v/>
      </c>
      <c r="E100" s="30"/>
      <c r="F100" s="30"/>
      <c r="G100" s="21"/>
      <c r="H100" s="22"/>
      <c r="I100" s="23" t="str">
        <f t="array" ref="I100">IF($C100="","",IFERROR(INDEX('Master Leads'!$O$6:$O$495,MATCH($C100,'Master Leads'!$A$6:$A$495,0)),""))</f>
        <v/>
      </c>
      <c r="J100" s="21"/>
    </row>
    <row r="101" ht="15.75" customHeight="1">
      <c r="A101" s="21"/>
      <c r="B101" s="22"/>
      <c r="C101" s="21"/>
      <c r="D101" s="23" t="str">
        <f t="array" ref="D101">IF($C101="","",IFERROR(INDEX('Master Leads'!$C$6:$C$495,MATCH($C101,'Master Leads'!$A$6:$A$495,0)),""))</f>
        <v/>
      </c>
      <c r="E101" s="30"/>
      <c r="F101" s="30"/>
      <c r="G101" s="21"/>
      <c r="H101" s="22"/>
      <c r="I101" s="23" t="str">
        <f t="array" ref="I101">IF($C101="","",IFERROR(INDEX('Master Leads'!$O$6:$O$495,MATCH($C101,'Master Leads'!$A$6:$A$495,0)),""))</f>
        <v/>
      </c>
      <c r="J101" s="21"/>
    </row>
    <row r="102" ht="15.75" customHeight="1">
      <c r="A102" s="21"/>
      <c r="B102" s="22"/>
      <c r="C102" s="21"/>
      <c r="D102" s="23" t="str">
        <f t="array" ref="D102">IF($C102="","",IFERROR(INDEX('Master Leads'!$C$6:$C$495,MATCH($C102,'Master Leads'!$A$6:$A$495,0)),""))</f>
        <v/>
      </c>
      <c r="E102" s="30"/>
      <c r="F102" s="30"/>
      <c r="G102" s="21"/>
      <c r="H102" s="22"/>
      <c r="I102" s="23" t="str">
        <f t="array" ref="I102">IF($C102="","",IFERROR(INDEX('Master Leads'!$O$6:$O$495,MATCH($C102,'Master Leads'!$A$6:$A$495,0)),""))</f>
        <v/>
      </c>
      <c r="J102" s="21"/>
    </row>
    <row r="103" ht="15.75" customHeight="1">
      <c r="A103" s="21"/>
      <c r="B103" s="22"/>
      <c r="C103" s="21"/>
      <c r="D103" s="23" t="str">
        <f t="array" ref="D103">IF($C103="","",IFERROR(INDEX('Master Leads'!$C$6:$C$495,MATCH($C103,'Master Leads'!$A$6:$A$495,0)),""))</f>
        <v/>
      </c>
      <c r="E103" s="30"/>
      <c r="F103" s="30"/>
      <c r="G103" s="21"/>
      <c r="H103" s="22"/>
      <c r="I103" s="23" t="str">
        <f t="array" ref="I103">IF($C103="","",IFERROR(INDEX('Master Leads'!$O$6:$O$495,MATCH($C103,'Master Leads'!$A$6:$A$495,0)),""))</f>
        <v/>
      </c>
      <c r="J103" s="21"/>
    </row>
    <row r="104" ht="15.75" customHeight="1">
      <c r="A104" s="21"/>
      <c r="B104" s="22"/>
      <c r="C104" s="21"/>
      <c r="D104" s="23" t="str">
        <f t="array" ref="D104">IF($C104="","",IFERROR(INDEX('Master Leads'!$C$6:$C$495,MATCH($C104,'Master Leads'!$A$6:$A$495,0)),""))</f>
        <v/>
      </c>
      <c r="E104" s="30"/>
      <c r="F104" s="30"/>
      <c r="G104" s="21"/>
      <c r="H104" s="22"/>
      <c r="I104" s="23" t="str">
        <f t="array" ref="I104">IF($C104="","",IFERROR(INDEX('Master Leads'!$O$6:$O$495,MATCH($C104,'Master Leads'!$A$6:$A$495,0)),""))</f>
        <v/>
      </c>
      <c r="J104" s="21"/>
    </row>
    <row r="105" ht="15.75" customHeight="1">
      <c r="A105" s="21"/>
      <c r="B105" s="22"/>
      <c r="C105" s="21"/>
      <c r="D105" s="23" t="str">
        <f t="array" ref="D105">IF($C105="","",IFERROR(INDEX('Master Leads'!$C$6:$C$495,MATCH($C105,'Master Leads'!$A$6:$A$495,0)),""))</f>
        <v/>
      </c>
      <c r="E105" s="30"/>
      <c r="F105" s="30"/>
      <c r="G105" s="21"/>
      <c r="H105" s="22"/>
      <c r="I105" s="23" t="str">
        <f t="array" ref="I105">IF($C105="","",IFERROR(INDEX('Master Leads'!$O$6:$O$495,MATCH($C105,'Master Leads'!$A$6:$A$495,0)),""))</f>
        <v/>
      </c>
      <c r="J105" s="21"/>
    </row>
    <row r="106" ht="15.75" customHeight="1">
      <c r="A106" s="21"/>
      <c r="B106" s="22"/>
      <c r="C106" s="21"/>
      <c r="D106" s="23" t="str">
        <f t="array" ref="D106">IF($C106="","",IFERROR(INDEX('Master Leads'!$C$6:$C$495,MATCH($C106,'Master Leads'!$A$6:$A$495,0)),""))</f>
        <v/>
      </c>
      <c r="E106" s="30"/>
      <c r="F106" s="30"/>
      <c r="G106" s="21"/>
      <c r="H106" s="22"/>
      <c r="I106" s="23" t="str">
        <f t="array" ref="I106">IF($C106="","",IFERROR(INDEX('Master Leads'!$O$6:$O$495,MATCH($C106,'Master Leads'!$A$6:$A$495,0)),""))</f>
        <v/>
      </c>
      <c r="J106" s="21"/>
    </row>
    <row r="107" ht="15.75" customHeight="1">
      <c r="A107" s="21"/>
      <c r="B107" s="22"/>
      <c r="C107" s="21"/>
      <c r="D107" s="23" t="str">
        <f t="array" ref="D107">IF($C107="","",IFERROR(INDEX('Master Leads'!$C$6:$C$495,MATCH($C107,'Master Leads'!$A$6:$A$495,0)),""))</f>
        <v/>
      </c>
      <c r="E107" s="30"/>
      <c r="F107" s="30"/>
      <c r="G107" s="21"/>
      <c r="H107" s="22"/>
      <c r="I107" s="23" t="str">
        <f t="array" ref="I107">IF($C107="","",IFERROR(INDEX('Master Leads'!$O$6:$O$495,MATCH($C107,'Master Leads'!$A$6:$A$495,0)),""))</f>
        <v/>
      </c>
      <c r="J107" s="21"/>
    </row>
    <row r="108" ht="15.75" customHeight="1">
      <c r="A108" s="21"/>
      <c r="B108" s="22"/>
      <c r="C108" s="21"/>
      <c r="D108" s="23" t="str">
        <f t="array" ref="D108">IF($C108="","",IFERROR(INDEX('Master Leads'!$C$6:$C$495,MATCH($C108,'Master Leads'!$A$6:$A$495,0)),""))</f>
        <v/>
      </c>
      <c r="E108" s="30"/>
      <c r="F108" s="30"/>
      <c r="G108" s="21"/>
      <c r="H108" s="22"/>
      <c r="I108" s="23" t="str">
        <f t="array" ref="I108">IF($C108="","",IFERROR(INDEX('Master Leads'!$O$6:$O$495,MATCH($C108,'Master Leads'!$A$6:$A$495,0)),""))</f>
        <v/>
      </c>
      <c r="J108" s="21"/>
    </row>
    <row r="109" ht="15.75" customHeight="1">
      <c r="A109" s="21"/>
      <c r="B109" s="22"/>
      <c r="C109" s="21"/>
      <c r="D109" s="23" t="str">
        <f t="array" ref="D109">IF($C109="","",IFERROR(INDEX('Master Leads'!$C$6:$C$495,MATCH($C109,'Master Leads'!$A$6:$A$495,0)),""))</f>
        <v/>
      </c>
      <c r="E109" s="30"/>
      <c r="F109" s="30"/>
      <c r="G109" s="21"/>
      <c r="H109" s="22"/>
      <c r="I109" s="23" t="str">
        <f t="array" ref="I109">IF($C109="","",IFERROR(INDEX('Master Leads'!$O$6:$O$495,MATCH($C109,'Master Leads'!$A$6:$A$495,0)),""))</f>
        <v/>
      </c>
      <c r="J109" s="21"/>
    </row>
    <row r="110" ht="15.75" customHeight="1">
      <c r="A110" s="21"/>
      <c r="B110" s="22"/>
      <c r="C110" s="21"/>
      <c r="D110" s="23" t="str">
        <f t="array" ref="D110">IF($C110="","",IFERROR(INDEX('Master Leads'!$C$6:$C$495,MATCH($C110,'Master Leads'!$A$6:$A$495,0)),""))</f>
        <v/>
      </c>
      <c r="E110" s="30"/>
      <c r="F110" s="30"/>
      <c r="G110" s="21"/>
      <c r="H110" s="22"/>
      <c r="I110" s="23" t="str">
        <f t="array" ref="I110">IF($C110="","",IFERROR(INDEX('Master Leads'!$O$6:$O$495,MATCH($C110,'Master Leads'!$A$6:$A$495,0)),""))</f>
        <v/>
      </c>
      <c r="J110" s="21"/>
    </row>
    <row r="111" ht="15.75" customHeight="1">
      <c r="A111" s="21"/>
      <c r="B111" s="22"/>
      <c r="C111" s="21"/>
      <c r="D111" s="23" t="str">
        <f t="array" ref="D111">IF($C111="","",IFERROR(INDEX('Master Leads'!$C$6:$C$495,MATCH($C111,'Master Leads'!$A$6:$A$495,0)),""))</f>
        <v/>
      </c>
      <c r="E111" s="30"/>
      <c r="F111" s="30"/>
      <c r="G111" s="21"/>
      <c r="H111" s="22"/>
      <c r="I111" s="23" t="str">
        <f t="array" ref="I111">IF($C111="","",IFERROR(INDEX('Master Leads'!$O$6:$O$495,MATCH($C111,'Master Leads'!$A$6:$A$495,0)),""))</f>
        <v/>
      </c>
      <c r="J111" s="21"/>
    </row>
    <row r="112" ht="15.75" customHeight="1">
      <c r="A112" s="21"/>
      <c r="B112" s="22"/>
      <c r="C112" s="21"/>
      <c r="D112" s="23" t="str">
        <f t="array" ref="D112">IF($C112="","",IFERROR(INDEX('Master Leads'!$C$6:$C$495,MATCH($C112,'Master Leads'!$A$6:$A$495,0)),""))</f>
        <v/>
      </c>
      <c r="E112" s="30"/>
      <c r="F112" s="30"/>
      <c r="G112" s="21"/>
      <c r="H112" s="22"/>
      <c r="I112" s="23" t="str">
        <f t="array" ref="I112">IF($C112="","",IFERROR(INDEX('Master Leads'!$O$6:$O$495,MATCH($C112,'Master Leads'!$A$6:$A$495,0)),""))</f>
        <v/>
      </c>
      <c r="J112" s="21"/>
    </row>
    <row r="113" ht="15.75" customHeight="1">
      <c r="A113" s="21"/>
      <c r="B113" s="22"/>
      <c r="C113" s="21"/>
      <c r="D113" s="23" t="str">
        <f t="array" ref="D113">IF($C113="","",IFERROR(INDEX('Master Leads'!$C$6:$C$495,MATCH($C113,'Master Leads'!$A$6:$A$495,0)),""))</f>
        <v/>
      </c>
      <c r="E113" s="30"/>
      <c r="F113" s="30"/>
      <c r="G113" s="21"/>
      <c r="H113" s="22"/>
      <c r="I113" s="23" t="str">
        <f t="array" ref="I113">IF($C113="","",IFERROR(INDEX('Master Leads'!$O$6:$O$495,MATCH($C113,'Master Leads'!$A$6:$A$495,0)),""))</f>
        <v/>
      </c>
      <c r="J113" s="21"/>
    </row>
    <row r="114" ht="15.75" customHeight="1">
      <c r="A114" s="21"/>
      <c r="B114" s="22"/>
      <c r="C114" s="21"/>
      <c r="D114" s="23" t="str">
        <f t="array" ref="D114">IF($C114="","",IFERROR(INDEX('Master Leads'!$C$6:$C$495,MATCH($C114,'Master Leads'!$A$6:$A$495,0)),""))</f>
        <v/>
      </c>
      <c r="E114" s="30"/>
      <c r="F114" s="30"/>
      <c r="G114" s="21"/>
      <c r="H114" s="22"/>
      <c r="I114" s="23" t="str">
        <f t="array" ref="I114">IF($C114="","",IFERROR(INDEX('Master Leads'!$O$6:$O$495,MATCH($C114,'Master Leads'!$A$6:$A$495,0)),""))</f>
        <v/>
      </c>
      <c r="J114" s="21"/>
    </row>
    <row r="115" ht="15.75" customHeight="1">
      <c r="A115" s="21"/>
      <c r="B115" s="22"/>
      <c r="C115" s="21"/>
      <c r="D115" s="23" t="str">
        <f t="array" ref="D115">IF($C115="","",IFERROR(INDEX('Master Leads'!$C$6:$C$495,MATCH($C115,'Master Leads'!$A$6:$A$495,0)),""))</f>
        <v/>
      </c>
      <c r="E115" s="30"/>
      <c r="F115" s="30"/>
      <c r="G115" s="21"/>
      <c r="H115" s="22"/>
      <c r="I115" s="23" t="str">
        <f t="array" ref="I115">IF($C115="","",IFERROR(INDEX('Master Leads'!$O$6:$O$495,MATCH($C115,'Master Leads'!$A$6:$A$495,0)),""))</f>
        <v/>
      </c>
      <c r="J115" s="21"/>
    </row>
    <row r="116" ht="15.75" customHeight="1">
      <c r="A116" s="21"/>
      <c r="B116" s="22"/>
      <c r="C116" s="21"/>
      <c r="D116" s="23" t="str">
        <f t="array" ref="D116">IF($C116="","",IFERROR(INDEX('Master Leads'!$C$6:$C$495,MATCH($C116,'Master Leads'!$A$6:$A$495,0)),""))</f>
        <v/>
      </c>
      <c r="E116" s="30"/>
      <c r="F116" s="30"/>
      <c r="G116" s="21"/>
      <c r="H116" s="22"/>
      <c r="I116" s="23" t="str">
        <f t="array" ref="I116">IF($C116="","",IFERROR(INDEX('Master Leads'!$O$6:$O$495,MATCH($C116,'Master Leads'!$A$6:$A$495,0)),""))</f>
        <v/>
      </c>
      <c r="J116" s="21"/>
    </row>
    <row r="117" ht="15.75" customHeight="1">
      <c r="A117" s="21"/>
      <c r="B117" s="22"/>
      <c r="C117" s="21"/>
      <c r="D117" s="23" t="str">
        <f t="array" ref="D117">IF($C117="","",IFERROR(INDEX('Master Leads'!$C$6:$C$495,MATCH($C117,'Master Leads'!$A$6:$A$495,0)),""))</f>
        <v/>
      </c>
      <c r="E117" s="30"/>
      <c r="F117" s="30"/>
      <c r="G117" s="21"/>
      <c r="H117" s="22"/>
      <c r="I117" s="23" t="str">
        <f t="array" ref="I117">IF($C117="","",IFERROR(INDEX('Master Leads'!$O$6:$O$495,MATCH($C117,'Master Leads'!$A$6:$A$495,0)),""))</f>
        <v/>
      </c>
      <c r="J117" s="21"/>
    </row>
    <row r="118" ht="15.75" customHeight="1">
      <c r="A118" s="21"/>
      <c r="B118" s="22"/>
      <c r="C118" s="21"/>
      <c r="D118" s="23" t="str">
        <f t="array" ref="D118">IF($C118="","",IFERROR(INDEX('Master Leads'!$C$6:$C$495,MATCH($C118,'Master Leads'!$A$6:$A$495,0)),""))</f>
        <v/>
      </c>
      <c r="E118" s="30"/>
      <c r="F118" s="30"/>
      <c r="G118" s="21"/>
      <c r="H118" s="22"/>
      <c r="I118" s="23" t="str">
        <f t="array" ref="I118">IF($C118="","",IFERROR(INDEX('Master Leads'!$O$6:$O$495,MATCH($C118,'Master Leads'!$A$6:$A$495,0)),""))</f>
        <v/>
      </c>
      <c r="J118" s="21"/>
    </row>
    <row r="119" ht="15.75" customHeight="1">
      <c r="A119" s="21"/>
      <c r="B119" s="22"/>
      <c r="C119" s="21"/>
      <c r="D119" s="23" t="str">
        <f t="array" ref="D119">IF($C119="","",IFERROR(INDEX('Master Leads'!$C$6:$C$495,MATCH($C119,'Master Leads'!$A$6:$A$495,0)),""))</f>
        <v/>
      </c>
      <c r="E119" s="30"/>
      <c r="F119" s="30"/>
      <c r="G119" s="21"/>
      <c r="H119" s="22"/>
      <c r="I119" s="23" t="str">
        <f t="array" ref="I119">IF($C119="","",IFERROR(INDEX('Master Leads'!$O$6:$O$495,MATCH($C119,'Master Leads'!$A$6:$A$495,0)),""))</f>
        <v/>
      </c>
      <c r="J119" s="21"/>
    </row>
    <row r="120" ht="15.75" customHeight="1">
      <c r="A120" s="21"/>
      <c r="B120" s="22"/>
      <c r="C120" s="21"/>
      <c r="D120" s="23" t="str">
        <f t="array" ref="D120">IF($C120="","",IFERROR(INDEX('Master Leads'!$C$6:$C$495,MATCH($C120,'Master Leads'!$A$6:$A$495,0)),""))</f>
        <v/>
      </c>
      <c r="E120" s="30"/>
      <c r="F120" s="30"/>
      <c r="G120" s="21"/>
      <c r="H120" s="22"/>
      <c r="I120" s="23" t="str">
        <f t="array" ref="I120">IF($C120="","",IFERROR(INDEX('Master Leads'!$O$6:$O$495,MATCH($C120,'Master Leads'!$A$6:$A$495,0)),""))</f>
        <v/>
      </c>
      <c r="J120" s="21"/>
    </row>
    <row r="121" ht="15.75" customHeight="1">
      <c r="A121" s="21"/>
      <c r="B121" s="22"/>
      <c r="C121" s="21"/>
      <c r="D121" s="23" t="str">
        <f t="array" ref="D121">IF($C121="","",IFERROR(INDEX('Master Leads'!$C$6:$C$495,MATCH($C121,'Master Leads'!$A$6:$A$495,0)),""))</f>
        <v/>
      </c>
      <c r="E121" s="30"/>
      <c r="F121" s="30"/>
      <c r="G121" s="21"/>
      <c r="H121" s="22"/>
      <c r="I121" s="23" t="str">
        <f t="array" ref="I121">IF($C121="","",IFERROR(INDEX('Master Leads'!$O$6:$O$495,MATCH($C121,'Master Leads'!$A$6:$A$495,0)),""))</f>
        <v/>
      </c>
      <c r="J121" s="21"/>
    </row>
    <row r="122" ht="15.75" customHeight="1">
      <c r="A122" s="21"/>
      <c r="B122" s="22"/>
      <c r="C122" s="21"/>
      <c r="D122" s="23" t="str">
        <f t="array" ref="D122">IF($C122="","",IFERROR(INDEX('Master Leads'!$C$6:$C$495,MATCH($C122,'Master Leads'!$A$6:$A$495,0)),""))</f>
        <v/>
      </c>
      <c r="E122" s="30"/>
      <c r="F122" s="30"/>
      <c r="G122" s="21"/>
      <c r="H122" s="22"/>
      <c r="I122" s="23" t="str">
        <f t="array" ref="I122">IF($C122="","",IFERROR(INDEX('Master Leads'!$O$6:$O$495,MATCH($C122,'Master Leads'!$A$6:$A$495,0)),""))</f>
        <v/>
      </c>
      <c r="J122" s="21"/>
    </row>
    <row r="123" ht="15.75" customHeight="1">
      <c r="A123" s="21"/>
      <c r="B123" s="22"/>
      <c r="C123" s="21"/>
      <c r="D123" s="23" t="str">
        <f t="array" ref="D123">IF($C123="","",IFERROR(INDEX('Master Leads'!$C$6:$C$495,MATCH($C123,'Master Leads'!$A$6:$A$495,0)),""))</f>
        <v/>
      </c>
      <c r="E123" s="30"/>
      <c r="F123" s="30"/>
      <c r="G123" s="21"/>
      <c r="H123" s="22"/>
      <c r="I123" s="23" t="str">
        <f t="array" ref="I123">IF($C123="","",IFERROR(INDEX('Master Leads'!$O$6:$O$495,MATCH($C123,'Master Leads'!$A$6:$A$495,0)),""))</f>
        <v/>
      </c>
      <c r="J123" s="21"/>
    </row>
    <row r="124" ht="15.75" customHeight="1">
      <c r="A124" s="21"/>
      <c r="B124" s="22"/>
      <c r="C124" s="21"/>
      <c r="D124" s="23" t="str">
        <f t="array" ref="D124">IF($C124="","",IFERROR(INDEX('Master Leads'!$C$6:$C$495,MATCH($C124,'Master Leads'!$A$6:$A$495,0)),""))</f>
        <v/>
      </c>
      <c r="E124" s="30"/>
      <c r="F124" s="30"/>
      <c r="G124" s="21"/>
      <c r="H124" s="22"/>
      <c r="I124" s="23" t="str">
        <f t="array" ref="I124">IF($C124="","",IFERROR(INDEX('Master Leads'!$O$6:$O$495,MATCH($C124,'Master Leads'!$A$6:$A$495,0)),""))</f>
        <v/>
      </c>
      <c r="J124" s="21"/>
    </row>
    <row r="125" ht="15.75" customHeight="1">
      <c r="A125" s="21"/>
      <c r="B125" s="22"/>
      <c r="C125" s="21"/>
      <c r="D125" s="23" t="str">
        <f t="array" ref="D125">IF($C125="","",IFERROR(INDEX('Master Leads'!$C$6:$C$495,MATCH($C125,'Master Leads'!$A$6:$A$495,0)),""))</f>
        <v/>
      </c>
      <c r="E125" s="30"/>
      <c r="F125" s="30"/>
      <c r="G125" s="21"/>
      <c r="H125" s="22"/>
      <c r="I125" s="23" t="str">
        <f t="array" ref="I125">IF($C125="","",IFERROR(INDEX('Master Leads'!$O$6:$O$495,MATCH($C125,'Master Leads'!$A$6:$A$495,0)),""))</f>
        <v/>
      </c>
      <c r="J125" s="21"/>
    </row>
    <row r="126" ht="15.75" customHeight="1">
      <c r="A126" s="21"/>
      <c r="B126" s="22"/>
      <c r="C126" s="21"/>
      <c r="D126" s="23" t="str">
        <f t="array" ref="D126">IF($C126="","",IFERROR(INDEX('Master Leads'!$C$6:$C$495,MATCH($C126,'Master Leads'!$A$6:$A$495,0)),""))</f>
        <v/>
      </c>
      <c r="E126" s="30"/>
      <c r="F126" s="30"/>
      <c r="G126" s="21"/>
      <c r="H126" s="22"/>
      <c r="I126" s="23" t="str">
        <f t="array" ref="I126">IF($C126="","",IFERROR(INDEX('Master Leads'!$O$6:$O$495,MATCH($C126,'Master Leads'!$A$6:$A$495,0)),""))</f>
        <v/>
      </c>
      <c r="J126" s="21"/>
    </row>
    <row r="127" ht="15.75" customHeight="1">
      <c r="A127" s="21"/>
      <c r="B127" s="22"/>
      <c r="C127" s="21"/>
      <c r="D127" s="23" t="str">
        <f t="array" ref="D127">IF($C127="","",IFERROR(INDEX('Master Leads'!$C$6:$C$495,MATCH($C127,'Master Leads'!$A$6:$A$495,0)),""))</f>
        <v/>
      </c>
      <c r="E127" s="30"/>
      <c r="F127" s="30"/>
      <c r="G127" s="21"/>
      <c r="H127" s="22"/>
      <c r="I127" s="23" t="str">
        <f t="array" ref="I127">IF($C127="","",IFERROR(INDEX('Master Leads'!$O$6:$O$495,MATCH($C127,'Master Leads'!$A$6:$A$495,0)),""))</f>
        <v/>
      </c>
      <c r="J127" s="21"/>
    </row>
    <row r="128" ht="15.75" customHeight="1">
      <c r="A128" s="21"/>
      <c r="B128" s="22"/>
      <c r="C128" s="21"/>
      <c r="D128" s="23" t="str">
        <f t="array" ref="D128">IF($C128="","",IFERROR(INDEX('Master Leads'!$C$6:$C$495,MATCH($C128,'Master Leads'!$A$6:$A$495,0)),""))</f>
        <v/>
      </c>
      <c r="E128" s="30"/>
      <c r="F128" s="30"/>
      <c r="G128" s="21"/>
      <c r="H128" s="22"/>
      <c r="I128" s="23" t="str">
        <f t="array" ref="I128">IF($C128="","",IFERROR(INDEX('Master Leads'!$O$6:$O$495,MATCH($C128,'Master Leads'!$A$6:$A$495,0)),""))</f>
        <v/>
      </c>
      <c r="J128" s="21"/>
    </row>
    <row r="129" ht="15.75" customHeight="1">
      <c r="A129" s="21"/>
      <c r="B129" s="22"/>
      <c r="C129" s="21"/>
      <c r="D129" s="23" t="str">
        <f t="array" ref="D129">IF($C129="","",IFERROR(INDEX('Master Leads'!$C$6:$C$495,MATCH($C129,'Master Leads'!$A$6:$A$495,0)),""))</f>
        <v/>
      </c>
      <c r="E129" s="30"/>
      <c r="F129" s="30"/>
      <c r="G129" s="21"/>
      <c r="H129" s="22"/>
      <c r="I129" s="23" t="str">
        <f t="array" ref="I129">IF($C129="","",IFERROR(INDEX('Master Leads'!$O$6:$O$495,MATCH($C129,'Master Leads'!$A$6:$A$495,0)),""))</f>
        <v/>
      </c>
      <c r="J129" s="21"/>
    </row>
    <row r="130" ht="15.75" customHeight="1">
      <c r="A130" s="21"/>
      <c r="B130" s="22"/>
      <c r="C130" s="21"/>
      <c r="D130" s="23" t="str">
        <f t="array" ref="D130">IF($C130="","",IFERROR(INDEX('Master Leads'!$C$6:$C$495,MATCH($C130,'Master Leads'!$A$6:$A$495,0)),""))</f>
        <v/>
      </c>
      <c r="E130" s="30"/>
      <c r="F130" s="30"/>
      <c r="G130" s="21"/>
      <c r="H130" s="22"/>
      <c r="I130" s="23" t="str">
        <f t="array" ref="I130">IF($C130="","",IFERROR(INDEX('Master Leads'!$O$6:$O$495,MATCH($C130,'Master Leads'!$A$6:$A$495,0)),""))</f>
        <v/>
      </c>
      <c r="J130" s="21"/>
    </row>
    <row r="131" ht="15.75" customHeight="1">
      <c r="A131" s="21"/>
      <c r="B131" s="22"/>
      <c r="C131" s="21"/>
      <c r="D131" s="23" t="str">
        <f t="array" ref="D131">IF($C131="","",IFERROR(INDEX('Master Leads'!$C$6:$C$495,MATCH($C131,'Master Leads'!$A$6:$A$495,0)),""))</f>
        <v/>
      </c>
      <c r="E131" s="30"/>
      <c r="F131" s="30"/>
      <c r="G131" s="21"/>
      <c r="H131" s="22"/>
      <c r="I131" s="23" t="str">
        <f t="array" ref="I131">IF($C131="","",IFERROR(INDEX('Master Leads'!$O$6:$O$495,MATCH($C131,'Master Leads'!$A$6:$A$495,0)),""))</f>
        <v/>
      </c>
      <c r="J131" s="21"/>
    </row>
    <row r="132" ht="15.75" customHeight="1">
      <c r="A132" s="21"/>
      <c r="B132" s="22"/>
      <c r="C132" s="21"/>
      <c r="D132" s="23" t="str">
        <f t="array" ref="D132">IF($C132="","",IFERROR(INDEX('Master Leads'!$C$6:$C$495,MATCH($C132,'Master Leads'!$A$6:$A$495,0)),""))</f>
        <v/>
      </c>
      <c r="E132" s="30"/>
      <c r="F132" s="30"/>
      <c r="G132" s="21"/>
      <c r="H132" s="22"/>
      <c r="I132" s="23" t="str">
        <f t="array" ref="I132">IF($C132="","",IFERROR(INDEX('Master Leads'!$O$6:$O$495,MATCH($C132,'Master Leads'!$A$6:$A$495,0)),""))</f>
        <v/>
      </c>
      <c r="J132" s="21"/>
    </row>
    <row r="133" ht="15.75" customHeight="1">
      <c r="A133" s="21"/>
      <c r="B133" s="22"/>
      <c r="C133" s="21"/>
      <c r="D133" s="23" t="str">
        <f t="array" ref="D133">IF($C133="","",IFERROR(INDEX('Master Leads'!$C$6:$C$495,MATCH($C133,'Master Leads'!$A$6:$A$495,0)),""))</f>
        <v/>
      </c>
      <c r="E133" s="30"/>
      <c r="F133" s="30"/>
      <c r="G133" s="21"/>
      <c r="H133" s="22"/>
      <c r="I133" s="23" t="str">
        <f t="array" ref="I133">IF($C133="","",IFERROR(INDEX('Master Leads'!$O$6:$O$495,MATCH($C133,'Master Leads'!$A$6:$A$495,0)),""))</f>
        <v/>
      </c>
      <c r="J133" s="21"/>
    </row>
    <row r="134" ht="15.75" customHeight="1">
      <c r="A134" s="21"/>
      <c r="B134" s="22"/>
      <c r="C134" s="21"/>
      <c r="D134" s="23" t="str">
        <f t="array" ref="D134">IF($C134="","",IFERROR(INDEX('Master Leads'!$C$6:$C$495,MATCH($C134,'Master Leads'!$A$6:$A$495,0)),""))</f>
        <v/>
      </c>
      <c r="E134" s="30"/>
      <c r="F134" s="30"/>
      <c r="G134" s="21"/>
      <c r="H134" s="22"/>
      <c r="I134" s="23" t="str">
        <f t="array" ref="I134">IF($C134="","",IFERROR(INDEX('Master Leads'!$O$6:$O$495,MATCH($C134,'Master Leads'!$A$6:$A$495,0)),""))</f>
        <v/>
      </c>
      <c r="J134" s="21"/>
    </row>
    <row r="135" ht="15.75" customHeight="1">
      <c r="A135" s="21"/>
      <c r="B135" s="22"/>
      <c r="C135" s="21"/>
      <c r="D135" s="23" t="str">
        <f t="array" ref="D135">IF($C135="","",IFERROR(INDEX('Master Leads'!$C$6:$C$495,MATCH($C135,'Master Leads'!$A$6:$A$495,0)),""))</f>
        <v/>
      </c>
      <c r="E135" s="30"/>
      <c r="F135" s="30"/>
      <c r="G135" s="21"/>
      <c r="H135" s="22"/>
      <c r="I135" s="23" t="str">
        <f t="array" ref="I135">IF($C135="","",IFERROR(INDEX('Master Leads'!$O$6:$O$495,MATCH($C135,'Master Leads'!$A$6:$A$495,0)),""))</f>
        <v/>
      </c>
      <c r="J135" s="21"/>
    </row>
    <row r="136" ht="15.75" customHeight="1">
      <c r="A136" s="21"/>
      <c r="B136" s="22"/>
      <c r="C136" s="21"/>
      <c r="D136" s="23" t="str">
        <f t="array" ref="D136">IF($C136="","",IFERROR(INDEX('Master Leads'!$C$6:$C$495,MATCH($C136,'Master Leads'!$A$6:$A$495,0)),""))</f>
        <v/>
      </c>
      <c r="E136" s="30"/>
      <c r="F136" s="30"/>
      <c r="G136" s="21"/>
      <c r="H136" s="22"/>
      <c r="I136" s="23" t="str">
        <f t="array" ref="I136">IF($C136="","",IFERROR(INDEX('Master Leads'!$O$6:$O$495,MATCH($C136,'Master Leads'!$A$6:$A$495,0)),""))</f>
        <v/>
      </c>
      <c r="J136" s="21"/>
    </row>
    <row r="137" ht="15.75" customHeight="1">
      <c r="A137" s="21"/>
      <c r="B137" s="22"/>
      <c r="C137" s="21"/>
      <c r="D137" s="23" t="str">
        <f t="array" ref="D137">IF($C137="","",IFERROR(INDEX('Master Leads'!$C$6:$C$495,MATCH($C137,'Master Leads'!$A$6:$A$495,0)),""))</f>
        <v/>
      </c>
      <c r="E137" s="30"/>
      <c r="F137" s="30"/>
      <c r="G137" s="21"/>
      <c r="H137" s="22"/>
      <c r="I137" s="23" t="str">
        <f t="array" ref="I137">IF($C137="","",IFERROR(INDEX('Master Leads'!$O$6:$O$495,MATCH($C137,'Master Leads'!$A$6:$A$495,0)),""))</f>
        <v/>
      </c>
      <c r="J137" s="21"/>
    </row>
    <row r="138" ht="15.75" customHeight="1">
      <c r="A138" s="21"/>
      <c r="B138" s="22"/>
      <c r="C138" s="21"/>
      <c r="D138" s="23" t="str">
        <f t="array" ref="D138">IF($C138="","",IFERROR(INDEX('Master Leads'!$C$6:$C$495,MATCH($C138,'Master Leads'!$A$6:$A$495,0)),""))</f>
        <v/>
      </c>
      <c r="E138" s="30"/>
      <c r="F138" s="30"/>
      <c r="G138" s="21"/>
      <c r="H138" s="22"/>
      <c r="I138" s="23" t="str">
        <f t="array" ref="I138">IF($C138="","",IFERROR(INDEX('Master Leads'!$O$6:$O$495,MATCH($C138,'Master Leads'!$A$6:$A$495,0)),""))</f>
        <v/>
      </c>
      <c r="J138" s="21"/>
    </row>
    <row r="139" ht="15.75" customHeight="1">
      <c r="A139" s="21"/>
      <c r="B139" s="22"/>
      <c r="C139" s="21"/>
      <c r="D139" s="23" t="str">
        <f t="array" ref="D139">IF($C139="","",IFERROR(INDEX('Master Leads'!$C$6:$C$495,MATCH($C139,'Master Leads'!$A$6:$A$495,0)),""))</f>
        <v/>
      </c>
      <c r="E139" s="30"/>
      <c r="F139" s="30"/>
      <c r="G139" s="21"/>
      <c r="H139" s="22"/>
      <c r="I139" s="23" t="str">
        <f t="array" ref="I139">IF($C139="","",IFERROR(INDEX('Master Leads'!$O$6:$O$495,MATCH($C139,'Master Leads'!$A$6:$A$495,0)),""))</f>
        <v/>
      </c>
      <c r="J139" s="21"/>
    </row>
    <row r="140" ht="15.75" customHeight="1">
      <c r="A140" s="21"/>
      <c r="B140" s="22"/>
      <c r="C140" s="21"/>
      <c r="D140" s="23" t="str">
        <f t="array" ref="D140">IF($C140="","",IFERROR(INDEX('Master Leads'!$C$6:$C$495,MATCH($C140,'Master Leads'!$A$6:$A$495,0)),""))</f>
        <v/>
      </c>
      <c r="E140" s="30"/>
      <c r="F140" s="30"/>
      <c r="G140" s="21"/>
      <c r="H140" s="22"/>
      <c r="I140" s="23" t="str">
        <f t="array" ref="I140">IF($C140="","",IFERROR(INDEX('Master Leads'!$O$6:$O$495,MATCH($C140,'Master Leads'!$A$6:$A$495,0)),""))</f>
        <v/>
      </c>
      <c r="J140" s="21"/>
    </row>
    <row r="141" ht="15.75" customHeight="1">
      <c r="A141" s="21"/>
      <c r="B141" s="22"/>
      <c r="C141" s="21"/>
      <c r="D141" s="23" t="str">
        <f t="array" ref="D141">IF($C141="","",IFERROR(INDEX('Master Leads'!$C$6:$C$495,MATCH($C141,'Master Leads'!$A$6:$A$495,0)),""))</f>
        <v/>
      </c>
      <c r="E141" s="30"/>
      <c r="F141" s="30"/>
      <c r="G141" s="21"/>
      <c r="H141" s="22"/>
      <c r="I141" s="23" t="str">
        <f t="array" ref="I141">IF($C141="","",IFERROR(INDEX('Master Leads'!$O$6:$O$495,MATCH($C141,'Master Leads'!$A$6:$A$495,0)),""))</f>
        <v/>
      </c>
      <c r="J141" s="21"/>
    </row>
    <row r="142" ht="15.75" customHeight="1">
      <c r="A142" s="21"/>
      <c r="B142" s="22"/>
      <c r="C142" s="21"/>
      <c r="D142" s="23" t="str">
        <f t="array" ref="D142">IF($C142="","",IFERROR(INDEX('Master Leads'!$C$6:$C$495,MATCH($C142,'Master Leads'!$A$6:$A$495,0)),""))</f>
        <v/>
      </c>
      <c r="E142" s="30"/>
      <c r="F142" s="30"/>
      <c r="G142" s="21"/>
      <c r="H142" s="22"/>
      <c r="I142" s="23" t="str">
        <f t="array" ref="I142">IF($C142="","",IFERROR(INDEX('Master Leads'!$O$6:$O$495,MATCH($C142,'Master Leads'!$A$6:$A$495,0)),""))</f>
        <v/>
      </c>
      <c r="J142" s="21"/>
    </row>
    <row r="143" ht="15.75" customHeight="1">
      <c r="A143" s="21"/>
      <c r="B143" s="22"/>
      <c r="C143" s="21"/>
      <c r="D143" s="23" t="str">
        <f t="array" ref="D143">IF($C143="","",IFERROR(INDEX('Master Leads'!$C$6:$C$495,MATCH($C143,'Master Leads'!$A$6:$A$495,0)),""))</f>
        <v/>
      </c>
      <c r="E143" s="30"/>
      <c r="F143" s="30"/>
      <c r="G143" s="21"/>
      <c r="H143" s="22"/>
      <c r="I143" s="23" t="str">
        <f t="array" ref="I143">IF($C143="","",IFERROR(INDEX('Master Leads'!$O$6:$O$495,MATCH($C143,'Master Leads'!$A$6:$A$495,0)),""))</f>
        <v/>
      </c>
      <c r="J143" s="21"/>
    </row>
    <row r="144" ht="15.75" customHeight="1">
      <c r="A144" s="21"/>
      <c r="B144" s="22"/>
      <c r="C144" s="21"/>
      <c r="D144" s="23" t="str">
        <f t="array" ref="D144">IF($C144="","",IFERROR(INDEX('Master Leads'!$C$6:$C$495,MATCH($C144,'Master Leads'!$A$6:$A$495,0)),""))</f>
        <v/>
      </c>
      <c r="E144" s="30"/>
      <c r="F144" s="30"/>
      <c r="G144" s="21"/>
      <c r="H144" s="22"/>
      <c r="I144" s="23" t="str">
        <f t="array" ref="I144">IF($C144="","",IFERROR(INDEX('Master Leads'!$O$6:$O$495,MATCH($C144,'Master Leads'!$A$6:$A$495,0)),""))</f>
        <v/>
      </c>
      <c r="J144" s="21"/>
    </row>
    <row r="145" ht="15.75" customHeight="1">
      <c r="A145" s="21"/>
      <c r="B145" s="22"/>
      <c r="C145" s="21"/>
      <c r="D145" s="23" t="str">
        <f t="array" ref="D145">IF($C145="","",IFERROR(INDEX('Master Leads'!$C$6:$C$495,MATCH($C145,'Master Leads'!$A$6:$A$495,0)),""))</f>
        <v/>
      </c>
      <c r="E145" s="30"/>
      <c r="F145" s="30"/>
      <c r="G145" s="21"/>
      <c r="H145" s="22"/>
      <c r="I145" s="23" t="str">
        <f t="array" ref="I145">IF($C145="","",IFERROR(INDEX('Master Leads'!$O$6:$O$495,MATCH($C145,'Master Leads'!$A$6:$A$495,0)),""))</f>
        <v/>
      </c>
      <c r="J145" s="21"/>
    </row>
    <row r="146" ht="15.75" customHeight="1">
      <c r="A146" s="21"/>
      <c r="B146" s="22"/>
      <c r="C146" s="21"/>
      <c r="D146" s="23" t="str">
        <f t="array" ref="D146">IF($C146="","",IFERROR(INDEX('Master Leads'!$C$6:$C$495,MATCH($C146,'Master Leads'!$A$6:$A$495,0)),""))</f>
        <v/>
      </c>
      <c r="E146" s="30"/>
      <c r="F146" s="30"/>
      <c r="G146" s="21"/>
      <c r="H146" s="22"/>
      <c r="I146" s="23" t="str">
        <f t="array" ref="I146">IF($C146="","",IFERROR(INDEX('Master Leads'!$O$6:$O$495,MATCH($C146,'Master Leads'!$A$6:$A$495,0)),""))</f>
        <v/>
      </c>
      <c r="J146" s="21"/>
    </row>
    <row r="147" ht="15.75" customHeight="1">
      <c r="A147" s="21"/>
      <c r="B147" s="22"/>
      <c r="C147" s="21"/>
      <c r="D147" s="23" t="str">
        <f t="array" ref="D147">IF($C147="","",IFERROR(INDEX('Master Leads'!$C$6:$C$495,MATCH($C147,'Master Leads'!$A$6:$A$495,0)),""))</f>
        <v/>
      </c>
      <c r="E147" s="30"/>
      <c r="F147" s="30"/>
      <c r="G147" s="21"/>
      <c r="H147" s="22"/>
      <c r="I147" s="23" t="str">
        <f t="array" ref="I147">IF($C147="","",IFERROR(INDEX('Master Leads'!$O$6:$O$495,MATCH($C147,'Master Leads'!$A$6:$A$495,0)),""))</f>
        <v/>
      </c>
      <c r="J147" s="21"/>
    </row>
    <row r="148" ht="15.75" customHeight="1">
      <c r="A148" s="21"/>
      <c r="B148" s="22"/>
      <c r="C148" s="21"/>
      <c r="D148" s="23" t="str">
        <f t="array" ref="D148">IF($C148="","",IFERROR(INDEX('Master Leads'!$C$6:$C$495,MATCH($C148,'Master Leads'!$A$6:$A$495,0)),""))</f>
        <v/>
      </c>
      <c r="E148" s="30"/>
      <c r="F148" s="30"/>
      <c r="G148" s="21"/>
      <c r="H148" s="22"/>
      <c r="I148" s="23" t="str">
        <f t="array" ref="I148">IF($C148="","",IFERROR(INDEX('Master Leads'!$O$6:$O$495,MATCH($C148,'Master Leads'!$A$6:$A$495,0)),""))</f>
        <v/>
      </c>
      <c r="J148" s="21"/>
    </row>
    <row r="149" ht="15.75" customHeight="1">
      <c r="A149" s="21"/>
      <c r="B149" s="22"/>
      <c r="C149" s="21"/>
      <c r="D149" s="23" t="str">
        <f t="array" ref="D149">IF($C149="","",IFERROR(INDEX('Master Leads'!$C$6:$C$495,MATCH($C149,'Master Leads'!$A$6:$A$495,0)),""))</f>
        <v/>
      </c>
      <c r="E149" s="30"/>
      <c r="F149" s="30"/>
      <c r="G149" s="21"/>
      <c r="H149" s="22"/>
      <c r="I149" s="23" t="str">
        <f t="array" ref="I149">IF($C149="","",IFERROR(INDEX('Master Leads'!$O$6:$O$495,MATCH($C149,'Master Leads'!$A$6:$A$495,0)),""))</f>
        <v/>
      </c>
      <c r="J149" s="21"/>
    </row>
    <row r="150" ht="15.75" customHeight="1">
      <c r="A150" s="21"/>
      <c r="B150" s="22"/>
      <c r="C150" s="21"/>
      <c r="D150" s="23" t="str">
        <f t="array" ref="D150">IF($C150="","",IFERROR(INDEX('Master Leads'!$C$6:$C$495,MATCH($C150,'Master Leads'!$A$6:$A$495,0)),""))</f>
        <v/>
      </c>
      <c r="E150" s="30"/>
      <c r="F150" s="30"/>
      <c r="G150" s="21"/>
      <c r="H150" s="22"/>
      <c r="I150" s="23" t="str">
        <f t="array" ref="I150">IF($C150="","",IFERROR(INDEX('Master Leads'!$O$6:$O$495,MATCH($C150,'Master Leads'!$A$6:$A$495,0)),""))</f>
        <v/>
      </c>
      <c r="J150" s="21"/>
    </row>
    <row r="151" ht="15.75" customHeight="1">
      <c r="A151" s="21"/>
      <c r="B151" s="22"/>
      <c r="C151" s="21"/>
      <c r="D151" s="23" t="str">
        <f t="array" ref="D151">IF($C151="","",IFERROR(INDEX('Master Leads'!$C$6:$C$495,MATCH($C151,'Master Leads'!$A$6:$A$495,0)),""))</f>
        <v/>
      </c>
      <c r="E151" s="30"/>
      <c r="F151" s="30"/>
      <c r="G151" s="21"/>
      <c r="H151" s="22"/>
      <c r="I151" s="23" t="str">
        <f t="array" ref="I151">IF($C151="","",IFERROR(INDEX('Master Leads'!$O$6:$O$495,MATCH($C151,'Master Leads'!$A$6:$A$495,0)),""))</f>
        <v/>
      </c>
      <c r="J151" s="21"/>
    </row>
    <row r="152" ht="15.75" customHeight="1">
      <c r="A152" s="21"/>
      <c r="B152" s="22"/>
      <c r="C152" s="21"/>
      <c r="D152" s="23" t="str">
        <f t="array" ref="D152">IF($C152="","",IFERROR(INDEX('Master Leads'!$C$6:$C$495,MATCH($C152,'Master Leads'!$A$6:$A$495,0)),""))</f>
        <v/>
      </c>
      <c r="E152" s="30"/>
      <c r="F152" s="30"/>
      <c r="G152" s="21"/>
      <c r="H152" s="22"/>
      <c r="I152" s="23" t="str">
        <f t="array" ref="I152">IF($C152="","",IFERROR(INDEX('Master Leads'!$O$6:$O$495,MATCH($C152,'Master Leads'!$A$6:$A$495,0)),""))</f>
        <v/>
      </c>
      <c r="J152" s="21"/>
    </row>
    <row r="153" ht="15.75" customHeight="1">
      <c r="A153" s="21"/>
      <c r="B153" s="22"/>
      <c r="C153" s="21"/>
      <c r="D153" s="23" t="str">
        <f t="array" ref="D153">IF($C153="","",IFERROR(INDEX('Master Leads'!$C$6:$C$495,MATCH($C153,'Master Leads'!$A$6:$A$495,0)),""))</f>
        <v/>
      </c>
      <c r="E153" s="30"/>
      <c r="F153" s="30"/>
      <c r="G153" s="21"/>
      <c r="H153" s="22"/>
      <c r="I153" s="23" t="str">
        <f t="array" ref="I153">IF($C153="","",IFERROR(INDEX('Master Leads'!$O$6:$O$495,MATCH($C153,'Master Leads'!$A$6:$A$495,0)),""))</f>
        <v/>
      </c>
      <c r="J153" s="21"/>
    </row>
    <row r="154" ht="15.75" customHeight="1">
      <c r="A154" s="21"/>
      <c r="B154" s="22"/>
      <c r="C154" s="21"/>
      <c r="D154" s="23" t="str">
        <f t="array" ref="D154">IF($C154="","",IFERROR(INDEX('Master Leads'!$C$6:$C$495,MATCH($C154,'Master Leads'!$A$6:$A$495,0)),""))</f>
        <v/>
      </c>
      <c r="E154" s="30"/>
      <c r="F154" s="30"/>
      <c r="G154" s="21"/>
      <c r="H154" s="22"/>
      <c r="I154" s="23" t="str">
        <f t="array" ref="I154">IF($C154="","",IFERROR(INDEX('Master Leads'!$O$6:$O$495,MATCH($C154,'Master Leads'!$A$6:$A$495,0)),""))</f>
        <v/>
      </c>
      <c r="J154" s="21"/>
    </row>
    <row r="155" ht="15.75" customHeight="1">
      <c r="A155" s="21"/>
      <c r="B155" s="22"/>
      <c r="C155" s="21"/>
      <c r="D155" s="23" t="str">
        <f t="array" ref="D155">IF($C155="","",IFERROR(INDEX('Master Leads'!$C$6:$C$495,MATCH($C155,'Master Leads'!$A$6:$A$495,0)),""))</f>
        <v/>
      </c>
      <c r="E155" s="30"/>
      <c r="F155" s="30"/>
      <c r="G155" s="21"/>
      <c r="H155" s="22"/>
      <c r="I155" s="23" t="str">
        <f t="array" ref="I155">IF($C155="","",IFERROR(INDEX('Master Leads'!$O$6:$O$495,MATCH($C155,'Master Leads'!$A$6:$A$495,0)),""))</f>
        <v/>
      </c>
      <c r="J155" s="21"/>
    </row>
    <row r="156" ht="15.75" customHeight="1">
      <c r="A156" s="21"/>
      <c r="B156" s="22"/>
      <c r="C156" s="21"/>
      <c r="D156" s="23" t="str">
        <f t="array" ref="D156">IF($C156="","",IFERROR(INDEX('Master Leads'!$C$6:$C$495,MATCH($C156,'Master Leads'!$A$6:$A$495,0)),""))</f>
        <v/>
      </c>
      <c r="E156" s="30"/>
      <c r="F156" s="30"/>
      <c r="G156" s="21"/>
      <c r="H156" s="22"/>
      <c r="I156" s="23" t="str">
        <f t="array" ref="I156">IF($C156="","",IFERROR(INDEX('Master Leads'!$O$6:$O$495,MATCH($C156,'Master Leads'!$A$6:$A$495,0)),""))</f>
        <v/>
      </c>
      <c r="J156" s="21"/>
    </row>
    <row r="157" ht="15.75" customHeight="1">
      <c r="A157" s="21"/>
      <c r="B157" s="22"/>
      <c r="C157" s="21"/>
      <c r="D157" s="23" t="str">
        <f t="array" ref="D157">IF($C157="","",IFERROR(INDEX('Master Leads'!$C$6:$C$495,MATCH($C157,'Master Leads'!$A$6:$A$495,0)),""))</f>
        <v/>
      </c>
      <c r="E157" s="30"/>
      <c r="F157" s="30"/>
      <c r="G157" s="21"/>
      <c r="H157" s="22"/>
      <c r="I157" s="23" t="str">
        <f t="array" ref="I157">IF($C157="","",IFERROR(INDEX('Master Leads'!$O$6:$O$495,MATCH($C157,'Master Leads'!$A$6:$A$495,0)),""))</f>
        <v/>
      </c>
      <c r="J157" s="21"/>
    </row>
    <row r="158" ht="15.75" customHeight="1">
      <c r="A158" s="21"/>
      <c r="B158" s="22"/>
      <c r="C158" s="21"/>
      <c r="D158" s="23" t="str">
        <f t="array" ref="D158">IF($C158="","",IFERROR(INDEX('Master Leads'!$C$6:$C$495,MATCH($C158,'Master Leads'!$A$6:$A$495,0)),""))</f>
        <v/>
      </c>
      <c r="E158" s="30"/>
      <c r="F158" s="30"/>
      <c r="G158" s="21"/>
      <c r="H158" s="22"/>
      <c r="I158" s="23" t="str">
        <f t="array" ref="I158">IF($C158="","",IFERROR(INDEX('Master Leads'!$O$6:$O$495,MATCH($C158,'Master Leads'!$A$6:$A$495,0)),""))</f>
        <v/>
      </c>
      <c r="J158" s="21"/>
    </row>
    <row r="159" ht="15.75" customHeight="1">
      <c r="A159" s="21"/>
      <c r="B159" s="22"/>
      <c r="C159" s="21"/>
      <c r="D159" s="23" t="str">
        <f t="array" ref="D159">IF($C159="","",IFERROR(INDEX('Master Leads'!$C$6:$C$495,MATCH($C159,'Master Leads'!$A$6:$A$495,0)),""))</f>
        <v/>
      </c>
      <c r="E159" s="30"/>
      <c r="F159" s="30"/>
      <c r="G159" s="21"/>
      <c r="H159" s="22"/>
      <c r="I159" s="23" t="str">
        <f t="array" ref="I159">IF($C159="","",IFERROR(INDEX('Master Leads'!$O$6:$O$495,MATCH($C159,'Master Leads'!$A$6:$A$495,0)),""))</f>
        <v/>
      </c>
      <c r="J159" s="21"/>
    </row>
    <row r="160" ht="15.75" customHeight="1">
      <c r="A160" s="21"/>
      <c r="B160" s="22"/>
      <c r="C160" s="21"/>
      <c r="D160" s="23" t="str">
        <f t="array" ref="D160">IF($C160="","",IFERROR(INDEX('Master Leads'!$C$6:$C$495,MATCH($C160,'Master Leads'!$A$6:$A$495,0)),""))</f>
        <v/>
      </c>
      <c r="E160" s="30"/>
      <c r="F160" s="30"/>
      <c r="G160" s="21"/>
      <c r="H160" s="22"/>
      <c r="I160" s="23" t="str">
        <f t="array" ref="I160">IF($C160="","",IFERROR(INDEX('Master Leads'!$O$6:$O$495,MATCH($C160,'Master Leads'!$A$6:$A$495,0)),""))</f>
        <v/>
      </c>
      <c r="J160" s="21"/>
    </row>
    <row r="161" ht="15.75" customHeight="1">
      <c r="A161" s="21"/>
      <c r="B161" s="22"/>
      <c r="C161" s="21"/>
      <c r="D161" s="23" t="str">
        <f t="array" ref="D161">IF($C161="","",IFERROR(INDEX('Master Leads'!$C$6:$C$495,MATCH($C161,'Master Leads'!$A$6:$A$495,0)),""))</f>
        <v/>
      </c>
      <c r="E161" s="30"/>
      <c r="F161" s="30"/>
      <c r="G161" s="21"/>
      <c r="H161" s="22"/>
      <c r="I161" s="23" t="str">
        <f t="array" ref="I161">IF($C161="","",IFERROR(INDEX('Master Leads'!$O$6:$O$495,MATCH($C161,'Master Leads'!$A$6:$A$495,0)),""))</f>
        <v/>
      </c>
      <c r="J161" s="21"/>
    </row>
    <row r="162" ht="15.75" customHeight="1">
      <c r="A162" s="21"/>
      <c r="B162" s="22"/>
      <c r="C162" s="21"/>
      <c r="D162" s="23" t="str">
        <f t="array" ref="D162">IF($C162="","",IFERROR(INDEX('Master Leads'!$C$6:$C$495,MATCH($C162,'Master Leads'!$A$6:$A$495,0)),""))</f>
        <v/>
      </c>
      <c r="E162" s="30"/>
      <c r="F162" s="30"/>
      <c r="G162" s="21"/>
      <c r="H162" s="22"/>
      <c r="I162" s="23" t="str">
        <f t="array" ref="I162">IF($C162="","",IFERROR(INDEX('Master Leads'!$O$6:$O$495,MATCH($C162,'Master Leads'!$A$6:$A$495,0)),""))</f>
        <v/>
      </c>
      <c r="J162" s="21"/>
    </row>
    <row r="163" ht="15.75" customHeight="1">
      <c r="A163" s="21"/>
      <c r="B163" s="22"/>
      <c r="C163" s="21"/>
      <c r="D163" s="23" t="str">
        <f t="array" ref="D163">IF($C163="","",IFERROR(INDEX('Master Leads'!$C$6:$C$495,MATCH($C163,'Master Leads'!$A$6:$A$495,0)),""))</f>
        <v/>
      </c>
      <c r="E163" s="30"/>
      <c r="F163" s="30"/>
      <c r="G163" s="21"/>
      <c r="H163" s="22"/>
      <c r="I163" s="23" t="str">
        <f t="array" ref="I163">IF($C163="","",IFERROR(INDEX('Master Leads'!$O$6:$O$495,MATCH($C163,'Master Leads'!$A$6:$A$495,0)),""))</f>
        <v/>
      </c>
      <c r="J163" s="21"/>
    </row>
    <row r="164" ht="15.75" customHeight="1">
      <c r="A164" s="21"/>
      <c r="B164" s="22"/>
      <c r="C164" s="21"/>
      <c r="D164" s="23" t="str">
        <f t="array" ref="D164">IF($C164="","",IFERROR(INDEX('Master Leads'!$C$6:$C$495,MATCH($C164,'Master Leads'!$A$6:$A$495,0)),""))</f>
        <v/>
      </c>
      <c r="E164" s="30"/>
      <c r="F164" s="30"/>
      <c r="G164" s="21"/>
      <c r="H164" s="22"/>
      <c r="I164" s="23" t="str">
        <f t="array" ref="I164">IF($C164="","",IFERROR(INDEX('Master Leads'!$O$6:$O$495,MATCH($C164,'Master Leads'!$A$6:$A$495,0)),""))</f>
        <v/>
      </c>
      <c r="J164" s="21"/>
    </row>
    <row r="165" ht="15.75" customHeight="1">
      <c r="A165" s="21"/>
      <c r="B165" s="22"/>
      <c r="C165" s="21"/>
      <c r="D165" s="23" t="str">
        <f t="array" ref="D165">IF($C165="","",IFERROR(INDEX('Master Leads'!$C$6:$C$495,MATCH($C165,'Master Leads'!$A$6:$A$495,0)),""))</f>
        <v/>
      </c>
      <c r="E165" s="30"/>
      <c r="F165" s="30"/>
      <c r="G165" s="21"/>
      <c r="H165" s="22"/>
      <c r="I165" s="23" t="str">
        <f t="array" ref="I165">IF($C165="","",IFERROR(INDEX('Master Leads'!$O$6:$O$495,MATCH($C165,'Master Leads'!$A$6:$A$495,0)),""))</f>
        <v/>
      </c>
      <c r="J165" s="21"/>
    </row>
    <row r="166" ht="15.75" customHeight="1">
      <c r="A166" s="21"/>
      <c r="B166" s="22"/>
      <c r="C166" s="21"/>
      <c r="D166" s="23" t="str">
        <f t="array" ref="D166">IF($C166="","",IFERROR(INDEX('Master Leads'!$C$6:$C$495,MATCH($C166,'Master Leads'!$A$6:$A$495,0)),""))</f>
        <v/>
      </c>
      <c r="E166" s="30"/>
      <c r="F166" s="30"/>
      <c r="G166" s="21"/>
      <c r="H166" s="22"/>
      <c r="I166" s="23" t="str">
        <f t="array" ref="I166">IF($C166="","",IFERROR(INDEX('Master Leads'!$O$6:$O$495,MATCH($C166,'Master Leads'!$A$6:$A$495,0)),""))</f>
        <v/>
      </c>
      <c r="J166" s="21"/>
    </row>
    <row r="167" ht="15.75" customHeight="1">
      <c r="A167" s="21"/>
      <c r="B167" s="22"/>
      <c r="C167" s="21"/>
      <c r="D167" s="23" t="str">
        <f t="array" ref="D167">IF($C167="","",IFERROR(INDEX('Master Leads'!$C$6:$C$495,MATCH($C167,'Master Leads'!$A$6:$A$495,0)),""))</f>
        <v/>
      </c>
      <c r="E167" s="30"/>
      <c r="F167" s="30"/>
      <c r="G167" s="21"/>
      <c r="H167" s="22"/>
      <c r="I167" s="23" t="str">
        <f t="array" ref="I167">IF($C167="","",IFERROR(INDEX('Master Leads'!$O$6:$O$495,MATCH($C167,'Master Leads'!$A$6:$A$495,0)),""))</f>
        <v/>
      </c>
      <c r="J167" s="21"/>
    </row>
    <row r="168" ht="15.75" customHeight="1">
      <c r="A168" s="21"/>
      <c r="B168" s="22"/>
      <c r="C168" s="21"/>
      <c r="D168" s="23" t="str">
        <f t="array" ref="D168">IF($C168="","",IFERROR(INDEX('Master Leads'!$C$6:$C$495,MATCH($C168,'Master Leads'!$A$6:$A$495,0)),""))</f>
        <v/>
      </c>
      <c r="E168" s="30"/>
      <c r="F168" s="30"/>
      <c r="G168" s="21"/>
      <c r="H168" s="22"/>
      <c r="I168" s="23" t="str">
        <f t="array" ref="I168">IF($C168="","",IFERROR(INDEX('Master Leads'!$O$6:$O$495,MATCH($C168,'Master Leads'!$A$6:$A$495,0)),""))</f>
        <v/>
      </c>
      <c r="J168" s="21"/>
    </row>
    <row r="169" ht="15.75" customHeight="1">
      <c r="A169" s="21"/>
      <c r="B169" s="22"/>
      <c r="C169" s="21"/>
      <c r="D169" s="23" t="str">
        <f t="array" ref="D169">IF($C169="","",IFERROR(INDEX('Master Leads'!$C$6:$C$495,MATCH($C169,'Master Leads'!$A$6:$A$495,0)),""))</f>
        <v/>
      </c>
      <c r="E169" s="30"/>
      <c r="F169" s="30"/>
      <c r="G169" s="21"/>
      <c r="H169" s="22"/>
      <c r="I169" s="23" t="str">
        <f t="array" ref="I169">IF($C169="","",IFERROR(INDEX('Master Leads'!$O$6:$O$495,MATCH($C169,'Master Leads'!$A$6:$A$495,0)),""))</f>
        <v/>
      </c>
      <c r="J169" s="21"/>
    </row>
    <row r="170" ht="15.75" customHeight="1">
      <c r="A170" s="21"/>
      <c r="B170" s="22"/>
      <c r="C170" s="21"/>
      <c r="D170" s="23" t="str">
        <f t="array" ref="D170">IF($C170="","",IFERROR(INDEX('Master Leads'!$C$6:$C$495,MATCH($C170,'Master Leads'!$A$6:$A$495,0)),""))</f>
        <v/>
      </c>
      <c r="E170" s="30"/>
      <c r="F170" s="30"/>
      <c r="G170" s="21"/>
      <c r="H170" s="22"/>
      <c r="I170" s="23" t="str">
        <f t="array" ref="I170">IF($C170="","",IFERROR(INDEX('Master Leads'!$O$6:$O$495,MATCH($C170,'Master Leads'!$A$6:$A$495,0)),""))</f>
        <v/>
      </c>
      <c r="J170" s="21"/>
    </row>
    <row r="171" ht="15.75" customHeight="1">
      <c r="A171" s="21"/>
      <c r="B171" s="22"/>
      <c r="C171" s="21"/>
      <c r="D171" s="23" t="str">
        <f t="array" ref="D171">IF($C171="","",IFERROR(INDEX('Master Leads'!$C$6:$C$495,MATCH($C171,'Master Leads'!$A$6:$A$495,0)),""))</f>
        <v/>
      </c>
      <c r="E171" s="30"/>
      <c r="F171" s="30"/>
      <c r="G171" s="21"/>
      <c r="H171" s="22"/>
      <c r="I171" s="23" t="str">
        <f t="array" ref="I171">IF($C171="","",IFERROR(INDEX('Master Leads'!$O$6:$O$495,MATCH($C171,'Master Leads'!$A$6:$A$495,0)),""))</f>
        <v/>
      </c>
      <c r="J171" s="21"/>
    </row>
    <row r="172" ht="15.75" customHeight="1">
      <c r="A172" s="21"/>
      <c r="B172" s="22"/>
      <c r="C172" s="21"/>
      <c r="D172" s="23" t="str">
        <f t="array" ref="D172">IF($C172="","",IFERROR(INDEX('Master Leads'!$C$6:$C$495,MATCH($C172,'Master Leads'!$A$6:$A$495,0)),""))</f>
        <v/>
      </c>
      <c r="E172" s="30"/>
      <c r="F172" s="30"/>
      <c r="G172" s="21"/>
      <c r="H172" s="22"/>
      <c r="I172" s="23" t="str">
        <f t="array" ref="I172">IF($C172="","",IFERROR(INDEX('Master Leads'!$O$6:$O$495,MATCH($C172,'Master Leads'!$A$6:$A$495,0)),""))</f>
        <v/>
      </c>
      <c r="J172" s="21"/>
    </row>
    <row r="173" ht="15.75" customHeight="1">
      <c r="A173" s="21"/>
      <c r="B173" s="22"/>
      <c r="C173" s="21"/>
      <c r="D173" s="23" t="str">
        <f t="array" ref="D173">IF($C173="","",IFERROR(INDEX('Master Leads'!$C$6:$C$495,MATCH($C173,'Master Leads'!$A$6:$A$495,0)),""))</f>
        <v/>
      </c>
      <c r="E173" s="30"/>
      <c r="F173" s="30"/>
      <c r="G173" s="21"/>
      <c r="H173" s="22"/>
      <c r="I173" s="23" t="str">
        <f t="array" ref="I173">IF($C173="","",IFERROR(INDEX('Master Leads'!$O$6:$O$495,MATCH($C173,'Master Leads'!$A$6:$A$495,0)),""))</f>
        <v/>
      </c>
      <c r="J173" s="21"/>
    </row>
    <row r="174" ht="15.75" customHeight="1">
      <c r="A174" s="21"/>
      <c r="B174" s="22"/>
      <c r="C174" s="21"/>
      <c r="D174" s="23" t="str">
        <f t="array" ref="D174">IF($C174="","",IFERROR(INDEX('Master Leads'!$C$6:$C$495,MATCH($C174,'Master Leads'!$A$6:$A$495,0)),""))</f>
        <v/>
      </c>
      <c r="E174" s="30"/>
      <c r="F174" s="30"/>
      <c r="G174" s="21"/>
      <c r="H174" s="22"/>
      <c r="I174" s="23" t="str">
        <f t="array" ref="I174">IF($C174="","",IFERROR(INDEX('Master Leads'!$O$6:$O$495,MATCH($C174,'Master Leads'!$A$6:$A$495,0)),""))</f>
        <v/>
      </c>
      <c r="J174" s="21"/>
    </row>
    <row r="175" ht="15.75" customHeight="1">
      <c r="A175" s="21"/>
      <c r="B175" s="22"/>
      <c r="C175" s="21"/>
      <c r="D175" s="23" t="str">
        <f t="array" ref="D175">IF($C175="","",IFERROR(INDEX('Master Leads'!$C$6:$C$495,MATCH($C175,'Master Leads'!$A$6:$A$495,0)),""))</f>
        <v/>
      </c>
      <c r="E175" s="30"/>
      <c r="F175" s="30"/>
      <c r="G175" s="21"/>
      <c r="H175" s="22"/>
      <c r="I175" s="23" t="str">
        <f t="array" ref="I175">IF($C175="","",IFERROR(INDEX('Master Leads'!$O$6:$O$495,MATCH($C175,'Master Leads'!$A$6:$A$495,0)),""))</f>
        <v/>
      </c>
      <c r="J175" s="21"/>
    </row>
    <row r="176" ht="15.75" customHeight="1">
      <c r="A176" s="21"/>
      <c r="B176" s="22"/>
      <c r="C176" s="21"/>
      <c r="D176" s="23" t="str">
        <f t="array" ref="D176">IF($C176="","",IFERROR(INDEX('Master Leads'!$C$6:$C$495,MATCH($C176,'Master Leads'!$A$6:$A$495,0)),""))</f>
        <v/>
      </c>
      <c r="E176" s="30"/>
      <c r="F176" s="30"/>
      <c r="G176" s="21"/>
      <c r="H176" s="22"/>
      <c r="I176" s="23" t="str">
        <f t="array" ref="I176">IF($C176="","",IFERROR(INDEX('Master Leads'!$O$6:$O$495,MATCH($C176,'Master Leads'!$A$6:$A$495,0)),""))</f>
        <v/>
      </c>
      <c r="J176" s="21"/>
    </row>
    <row r="177" ht="15.75" customHeight="1">
      <c r="A177" s="21"/>
      <c r="B177" s="22"/>
      <c r="C177" s="21"/>
      <c r="D177" s="23" t="str">
        <f t="array" ref="D177">IF($C177="","",IFERROR(INDEX('Master Leads'!$C$6:$C$495,MATCH($C177,'Master Leads'!$A$6:$A$495,0)),""))</f>
        <v/>
      </c>
      <c r="E177" s="30"/>
      <c r="F177" s="30"/>
      <c r="G177" s="21"/>
      <c r="H177" s="22"/>
      <c r="I177" s="23" t="str">
        <f t="array" ref="I177">IF($C177="","",IFERROR(INDEX('Master Leads'!$O$6:$O$495,MATCH($C177,'Master Leads'!$A$6:$A$495,0)),""))</f>
        <v/>
      </c>
      <c r="J177" s="21"/>
    </row>
    <row r="178" ht="15.75" customHeight="1">
      <c r="A178" s="21"/>
      <c r="B178" s="22"/>
      <c r="C178" s="21"/>
      <c r="D178" s="23" t="str">
        <f t="array" ref="D178">IF($C178="","",IFERROR(INDEX('Master Leads'!$C$6:$C$495,MATCH($C178,'Master Leads'!$A$6:$A$495,0)),""))</f>
        <v/>
      </c>
      <c r="E178" s="30"/>
      <c r="F178" s="30"/>
      <c r="G178" s="21"/>
      <c r="H178" s="22"/>
      <c r="I178" s="23" t="str">
        <f t="array" ref="I178">IF($C178="","",IFERROR(INDEX('Master Leads'!$O$6:$O$495,MATCH($C178,'Master Leads'!$A$6:$A$495,0)),""))</f>
        <v/>
      </c>
      <c r="J178" s="21"/>
    </row>
    <row r="179" ht="15.75" customHeight="1">
      <c r="A179" s="21"/>
      <c r="B179" s="22"/>
      <c r="C179" s="21"/>
      <c r="D179" s="23" t="str">
        <f t="array" ref="D179">IF($C179="","",IFERROR(INDEX('Master Leads'!$C$6:$C$495,MATCH($C179,'Master Leads'!$A$6:$A$495,0)),""))</f>
        <v/>
      </c>
      <c r="E179" s="30"/>
      <c r="F179" s="30"/>
      <c r="G179" s="21"/>
      <c r="H179" s="22"/>
      <c r="I179" s="23" t="str">
        <f t="array" ref="I179">IF($C179="","",IFERROR(INDEX('Master Leads'!$O$6:$O$495,MATCH($C179,'Master Leads'!$A$6:$A$495,0)),""))</f>
        <v/>
      </c>
      <c r="J179" s="21"/>
    </row>
    <row r="180" ht="15.75" customHeight="1">
      <c r="A180" s="21"/>
      <c r="B180" s="22"/>
      <c r="C180" s="21"/>
      <c r="D180" s="23" t="str">
        <f t="array" ref="D180">IF($C180="","",IFERROR(INDEX('Master Leads'!$C$6:$C$495,MATCH($C180,'Master Leads'!$A$6:$A$495,0)),""))</f>
        <v/>
      </c>
      <c r="E180" s="30"/>
      <c r="F180" s="30"/>
      <c r="G180" s="21"/>
      <c r="H180" s="22"/>
      <c r="I180" s="23" t="str">
        <f t="array" ref="I180">IF($C180="","",IFERROR(INDEX('Master Leads'!$O$6:$O$495,MATCH($C180,'Master Leads'!$A$6:$A$495,0)),""))</f>
        <v/>
      </c>
      <c r="J180" s="21"/>
    </row>
    <row r="181" ht="15.75" customHeight="1">
      <c r="A181" s="21"/>
      <c r="B181" s="22"/>
      <c r="C181" s="21"/>
      <c r="D181" s="23" t="str">
        <f t="array" ref="D181">IF($C181="","",IFERROR(INDEX('Master Leads'!$C$6:$C$495,MATCH($C181,'Master Leads'!$A$6:$A$495,0)),""))</f>
        <v/>
      </c>
      <c r="E181" s="30"/>
      <c r="F181" s="30"/>
      <c r="G181" s="21"/>
      <c r="H181" s="22"/>
      <c r="I181" s="23" t="str">
        <f t="array" ref="I181">IF($C181="","",IFERROR(INDEX('Master Leads'!$O$6:$O$495,MATCH($C181,'Master Leads'!$A$6:$A$495,0)),""))</f>
        <v/>
      </c>
      <c r="J181" s="21"/>
    </row>
    <row r="182" ht="15.75" customHeight="1">
      <c r="A182" s="21"/>
      <c r="B182" s="22"/>
      <c r="C182" s="21"/>
      <c r="D182" s="23" t="str">
        <f t="array" ref="D182">IF($C182="","",IFERROR(INDEX('Master Leads'!$C$6:$C$495,MATCH($C182,'Master Leads'!$A$6:$A$495,0)),""))</f>
        <v/>
      </c>
      <c r="E182" s="30"/>
      <c r="F182" s="30"/>
      <c r="G182" s="21"/>
      <c r="H182" s="22"/>
      <c r="I182" s="23" t="str">
        <f t="array" ref="I182">IF($C182="","",IFERROR(INDEX('Master Leads'!$O$6:$O$495,MATCH($C182,'Master Leads'!$A$6:$A$495,0)),""))</f>
        <v/>
      </c>
      <c r="J182" s="21"/>
    </row>
    <row r="183" ht="15.75" customHeight="1">
      <c r="A183" s="21"/>
      <c r="B183" s="22"/>
      <c r="C183" s="21"/>
      <c r="D183" s="23" t="str">
        <f t="array" ref="D183">IF($C183="","",IFERROR(INDEX('Master Leads'!$C$6:$C$495,MATCH($C183,'Master Leads'!$A$6:$A$495,0)),""))</f>
        <v/>
      </c>
      <c r="E183" s="30"/>
      <c r="F183" s="30"/>
      <c r="G183" s="21"/>
      <c r="H183" s="22"/>
      <c r="I183" s="23" t="str">
        <f t="array" ref="I183">IF($C183="","",IFERROR(INDEX('Master Leads'!$O$6:$O$495,MATCH($C183,'Master Leads'!$A$6:$A$495,0)),""))</f>
        <v/>
      </c>
      <c r="J183" s="21"/>
    </row>
    <row r="184" ht="15.75" customHeight="1">
      <c r="A184" s="21"/>
      <c r="B184" s="22"/>
      <c r="C184" s="21"/>
      <c r="D184" s="23" t="str">
        <f t="array" ref="D184">IF($C184="","",IFERROR(INDEX('Master Leads'!$C$6:$C$495,MATCH($C184,'Master Leads'!$A$6:$A$495,0)),""))</f>
        <v/>
      </c>
      <c r="E184" s="30"/>
      <c r="F184" s="30"/>
      <c r="G184" s="21"/>
      <c r="H184" s="22"/>
      <c r="I184" s="23" t="str">
        <f t="array" ref="I184">IF($C184="","",IFERROR(INDEX('Master Leads'!$O$6:$O$495,MATCH($C184,'Master Leads'!$A$6:$A$495,0)),""))</f>
        <v/>
      </c>
      <c r="J184" s="21"/>
    </row>
    <row r="185" ht="15.75" customHeight="1">
      <c r="A185" s="21"/>
      <c r="B185" s="22"/>
      <c r="C185" s="21"/>
      <c r="D185" s="23" t="str">
        <f t="array" ref="D185">IF($C185="","",IFERROR(INDEX('Master Leads'!$C$6:$C$495,MATCH($C185,'Master Leads'!$A$6:$A$495,0)),""))</f>
        <v/>
      </c>
      <c r="E185" s="30"/>
      <c r="F185" s="30"/>
      <c r="G185" s="21"/>
      <c r="H185" s="22"/>
      <c r="I185" s="23" t="str">
        <f t="array" ref="I185">IF($C185="","",IFERROR(INDEX('Master Leads'!$O$6:$O$495,MATCH($C185,'Master Leads'!$A$6:$A$495,0)),""))</f>
        <v/>
      </c>
      <c r="J185" s="21"/>
    </row>
    <row r="186" ht="15.75" customHeight="1">
      <c r="A186" s="21"/>
      <c r="B186" s="22"/>
      <c r="C186" s="21"/>
      <c r="D186" s="23" t="str">
        <f t="array" ref="D186">IF($C186="","",IFERROR(INDEX('Master Leads'!$C$6:$C$495,MATCH($C186,'Master Leads'!$A$6:$A$495,0)),""))</f>
        <v/>
      </c>
      <c r="E186" s="30"/>
      <c r="F186" s="30"/>
      <c r="G186" s="21"/>
      <c r="H186" s="22"/>
      <c r="I186" s="23" t="str">
        <f t="array" ref="I186">IF($C186="","",IFERROR(INDEX('Master Leads'!$O$6:$O$495,MATCH($C186,'Master Leads'!$A$6:$A$495,0)),""))</f>
        <v/>
      </c>
      <c r="J186" s="21"/>
    </row>
    <row r="187" ht="15.75" customHeight="1">
      <c r="A187" s="21"/>
      <c r="B187" s="22"/>
      <c r="C187" s="21"/>
      <c r="D187" s="23" t="str">
        <f t="array" ref="D187">IF($C187="","",IFERROR(INDEX('Master Leads'!$C$6:$C$495,MATCH($C187,'Master Leads'!$A$6:$A$495,0)),""))</f>
        <v/>
      </c>
      <c r="E187" s="30"/>
      <c r="F187" s="30"/>
      <c r="G187" s="21"/>
      <c r="H187" s="22"/>
      <c r="I187" s="23" t="str">
        <f t="array" ref="I187">IF($C187="","",IFERROR(INDEX('Master Leads'!$O$6:$O$495,MATCH($C187,'Master Leads'!$A$6:$A$495,0)),""))</f>
        <v/>
      </c>
      <c r="J187" s="21"/>
    </row>
    <row r="188" ht="15.75" customHeight="1">
      <c r="A188" s="21"/>
      <c r="B188" s="22"/>
      <c r="C188" s="21"/>
      <c r="D188" s="23" t="str">
        <f t="array" ref="D188">IF($C188="","",IFERROR(INDEX('Master Leads'!$C$6:$C$495,MATCH($C188,'Master Leads'!$A$6:$A$495,0)),""))</f>
        <v/>
      </c>
      <c r="E188" s="30"/>
      <c r="F188" s="30"/>
      <c r="G188" s="21"/>
      <c r="H188" s="22"/>
      <c r="I188" s="23" t="str">
        <f t="array" ref="I188">IF($C188="","",IFERROR(INDEX('Master Leads'!$O$6:$O$495,MATCH($C188,'Master Leads'!$A$6:$A$495,0)),""))</f>
        <v/>
      </c>
      <c r="J188" s="21"/>
    </row>
    <row r="189" ht="15.75" customHeight="1">
      <c r="A189" s="21"/>
      <c r="B189" s="22"/>
      <c r="C189" s="21"/>
      <c r="D189" s="23" t="str">
        <f t="array" ref="D189">IF($C189="","",IFERROR(INDEX('Master Leads'!$C$6:$C$495,MATCH($C189,'Master Leads'!$A$6:$A$495,0)),""))</f>
        <v/>
      </c>
      <c r="E189" s="30"/>
      <c r="F189" s="30"/>
      <c r="G189" s="21"/>
      <c r="H189" s="22"/>
      <c r="I189" s="23" t="str">
        <f t="array" ref="I189">IF($C189="","",IFERROR(INDEX('Master Leads'!$O$6:$O$495,MATCH($C189,'Master Leads'!$A$6:$A$495,0)),""))</f>
        <v/>
      </c>
      <c r="J189" s="21"/>
    </row>
    <row r="190" ht="15.75" customHeight="1">
      <c r="A190" s="21"/>
      <c r="B190" s="22"/>
      <c r="C190" s="21"/>
      <c r="D190" s="23" t="str">
        <f t="array" ref="D190">IF($C190="","",IFERROR(INDEX('Master Leads'!$C$6:$C$495,MATCH($C190,'Master Leads'!$A$6:$A$495,0)),""))</f>
        <v/>
      </c>
      <c r="E190" s="30"/>
      <c r="F190" s="30"/>
      <c r="G190" s="21"/>
      <c r="H190" s="22"/>
      <c r="I190" s="23" t="str">
        <f t="array" ref="I190">IF($C190="","",IFERROR(INDEX('Master Leads'!$O$6:$O$495,MATCH($C190,'Master Leads'!$A$6:$A$495,0)),""))</f>
        <v/>
      </c>
      <c r="J190" s="21"/>
    </row>
    <row r="191" ht="15.75" customHeight="1">
      <c r="A191" s="21"/>
      <c r="B191" s="22"/>
      <c r="C191" s="21"/>
      <c r="D191" s="23" t="str">
        <f t="array" ref="D191">IF($C191="","",IFERROR(INDEX('Master Leads'!$C$6:$C$495,MATCH($C191,'Master Leads'!$A$6:$A$495,0)),""))</f>
        <v/>
      </c>
      <c r="E191" s="30"/>
      <c r="F191" s="30"/>
      <c r="G191" s="21"/>
      <c r="H191" s="22"/>
      <c r="I191" s="23" t="str">
        <f t="array" ref="I191">IF($C191="","",IFERROR(INDEX('Master Leads'!$O$6:$O$495,MATCH($C191,'Master Leads'!$A$6:$A$495,0)),""))</f>
        <v/>
      </c>
      <c r="J191" s="21"/>
    </row>
    <row r="192" ht="15.75" customHeight="1">
      <c r="A192" s="21"/>
      <c r="B192" s="22"/>
      <c r="C192" s="21"/>
      <c r="D192" s="23" t="str">
        <f t="array" ref="D192">IF($C192="","",IFERROR(INDEX('Master Leads'!$C$6:$C$495,MATCH($C192,'Master Leads'!$A$6:$A$495,0)),""))</f>
        <v/>
      </c>
      <c r="E192" s="30"/>
      <c r="F192" s="30"/>
      <c r="G192" s="21"/>
      <c r="H192" s="22"/>
      <c r="I192" s="23" t="str">
        <f t="array" ref="I192">IF($C192="","",IFERROR(INDEX('Master Leads'!$O$6:$O$495,MATCH($C192,'Master Leads'!$A$6:$A$495,0)),""))</f>
        <v/>
      </c>
      <c r="J192" s="21"/>
    </row>
    <row r="193" ht="15.75" customHeight="1">
      <c r="A193" s="21"/>
      <c r="B193" s="22"/>
      <c r="C193" s="21"/>
      <c r="D193" s="23" t="str">
        <f t="array" ref="D193">IF($C193="","",IFERROR(INDEX('Master Leads'!$C$6:$C$495,MATCH($C193,'Master Leads'!$A$6:$A$495,0)),""))</f>
        <v/>
      </c>
      <c r="E193" s="30"/>
      <c r="F193" s="30"/>
      <c r="G193" s="21"/>
      <c r="H193" s="22"/>
      <c r="I193" s="23" t="str">
        <f t="array" ref="I193">IF($C193="","",IFERROR(INDEX('Master Leads'!$O$6:$O$495,MATCH($C193,'Master Leads'!$A$6:$A$495,0)),""))</f>
        <v/>
      </c>
      <c r="J193" s="21"/>
    </row>
    <row r="194" ht="15.75" customHeight="1">
      <c r="A194" s="21"/>
      <c r="B194" s="22"/>
      <c r="C194" s="21"/>
      <c r="D194" s="23" t="str">
        <f t="array" ref="D194">IF($C194="","",IFERROR(INDEX('Master Leads'!$C$6:$C$495,MATCH($C194,'Master Leads'!$A$6:$A$495,0)),""))</f>
        <v/>
      </c>
      <c r="E194" s="30"/>
      <c r="F194" s="30"/>
      <c r="G194" s="21"/>
      <c r="H194" s="22"/>
      <c r="I194" s="23" t="str">
        <f t="array" ref="I194">IF($C194="","",IFERROR(INDEX('Master Leads'!$O$6:$O$495,MATCH($C194,'Master Leads'!$A$6:$A$495,0)),""))</f>
        <v/>
      </c>
      <c r="J194" s="21"/>
    </row>
    <row r="195" ht="15.75" customHeight="1">
      <c r="A195" s="21"/>
      <c r="B195" s="22"/>
      <c r="C195" s="21"/>
      <c r="D195" s="23" t="str">
        <f t="array" ref="D195">IF($C195="","",IFERROR(INDEX('Master Leads'!$C$6:$C$495,MATCH($C195,'Master Leads'!$A$6:$A$495,0)),""))</f>
        <v/>
      </c>
      <c r="E195" s="30"/>
      <c r="F195" s="30"/>
      <c r="G195" s="21"/>
      <c r="H195" s="22"/>
      <c r="I195" s="23" t="str">
        <f t="array" ref="I195">IF($C195="","",IFERROR(INDEX('Master Leads'!$O$6:$O$495,MATCH($C195,'Master Leads'!$A$6:$A$495,0)),""))</f>
        <v/>
      </c>
      <c r="J195" s="21"/>
    </row>
    <row r="196" ht="15.75" customHeight="1">
      <c r="A196" s="21"/>
      <c r="B196" s="22"/>
      <c r="C196" s="21"/>
      <c r="D196" s="23" t="str">
        <f t="array" ref="D196">IF($C196="","",IFERROR(INDEX('Master Leads'!$C$6:$C$495,MATCH($C196,'Master Leads'!$A$6:$A$495,0)),""))</f>
        <v/>
      </c>
      <c r="E196" s="30"/>
      <c r="F196" s="30"/>
      <c r="G196" s="21"/>
      <c r="H196" s="22"/>
      <c r="I196" s="23" t="str">
        <f t="array" ref="I196">IF($C196="","",IFERROR(INDEX('Master Leads'!$O$6:$O$495,MATCH($C196,'Master Leads'!$A$6:$A$495,0)),""))</f>
        <v/>
      </c>
      <c r="J196" s="21"/>
    </row>
    <row r="197" ht="15.75" customHeight="1">
      <c r="A197" s="21"/>
      <c r="B197" s="22"/>
      <c r="C197" s="21"/>
      <c r="D197" s="23" t="str">
        <f t="array" ref="D197">IF($C197="","",IFERROR(INDEX('Master Leads'!$C$6:$C$495,MATCH($C197,'Master Leads'!$A$6:$A$495,0)),""))</f>
        <v/>
      </c>
      <c r="E197" s="30"/>
      <c r="F197" s="30"/>
      <c r="G197" s="21"/>
      <c r="H197" s="22"/>
      <c r="I197" s="23" t="str">
        <f t="array" ref="I197">IF($C197="","",IFERROR(INDEX('Master Leads'!$O$6:$O$495,MATCH($C197,'Master Leads'!$A$6:$A$495,0)),""))</f>
        <v/>
      </c>
      <c r="J197" s="21"/>
    </row>
    <row r="198" ht="15.75" customHeight="1">
      <c r="A198" s="21"/>
      <c r="B198" s="22"/>
      <c r="C198" s="21"/>
      <c r="D198" s="23" t="str">
        <f t="array" ref="D198">IF($C198="","",IFERROR(INDEX('Master Leads'!$C$6:$C$495,MATCH($C198,'Master Leads'!$A$6:$A$495,0)),""))</f>
        <v/>
      </c>
      <c r="E198" s="30"/>
      <c r="F198" s="30"/>
      <c r="G198" s="21"/>
      <c r="H198" s="22"/>
      <c r="I198" s="23" t="str">
        <f t="array" ref="I198">IF($C198="","",IFERROR(INDEX('Master Leads'!$O$6:$O$495,MATCH($C198,'Master Leads'!$A$6:$A$495,0)),""))</f>
        <v/>
      </c>
      <c r="J198" s="21"/>
    </row>
    <row r="199" ht="15.75" customHeight="1">
      <c r="A199" s="21"/>
      <c r="B199" s="22"/>
      <c r="C199" s="21"/>
      <c r="D199" s="23" t="str">
        <f t="array" ref="D199">IF($C199="","",IFERROR(INDEX('Master Leads'!$C$6:$C$495,MATCH($C199,'Master Leads'!$A$6:$A$495,0)),""))</f>
        <v/>
      </c>
      <c r="E199" s="30"/>
      <c r="F199" s="30"/>
      <c r="G199" s="21"/>
      <c r="H199" s="22"/>
      <c r="I199" s="23" t="str">
        <f t="array" ref="I199">IF($C199="","",IFERROR(INDEX('Master Leads'!$O$6:$O$495,MATCH($C199,'Master Leads'!$A$6:$A$495,0)),""))</f>
        <v/>
      </c>
      <c r="J199" s="21"/>
    </row>
    <row r="200" ht="15.75" customHeight="1">
      <c r="A200" s="21"/>
      <c r="B200" s="22"/>
      <c r="C200" s="21"/>
      <c r="D200" s="23" t="str">
        <f t="array" ref="D200">IF($C200="","",IFERROR(INDEX('Master Leads'!$C$6:$C$495,MATCH($C200,'Master Leads'!$A$6:$A$495,0)),""))</f>
        <v/>
      </c>
      <c r="E200" s="30"/>
      <c r="F200" s="30"/>
      <c r="G200" s="21"/>
      <c r="H200" s="22"/>
      <c r="I200" s="23" t="str">
        <f t="array" ref="I200">IF($C200="","",IFERROR(INDEX('Master Leads'!$O$6:$O$495,MATCH($C200,'Master Leads'!$A$6:$A$495,0)),""))</f>
        <v/>
      </c>
      <c r="J200" s="21"/>
    </row>
    <row r="201" ht="15.75" customHeight="1">
      <c r="A201" s="21"/>
      <c r="B201" s="22"/>
      <c r="C201" s="21"/>
      <c r="D201" s="23" t="str">
        <f t="array" ref="D201">IF($C201="","",IFERROR(INDEX('Master Leads'!$C$6:$C$495,MATCH($C201,'Master Leads'!$A$6:$A$495,0)),""))</f>
        <v/>
      </c>
      <c r="E201" s="30"/>
      <c r="F201" s="30"/>
      <c r="G201" s="21"/>
      <c r="H201" s="22"/>
      <c r="I201" s="23" t="str">
        <f t="array" ref="I201">IF($C201="","",IFERROR(INDEX('Master Leads'!$O$6:$O$495,MATCH($C201,'Master Leads'!$A$6:$A$495,0)),""))</f>
        <v/>
      </c>
      <c r="J201" s="21"/>
    </row>
    <row r="202" ht="15.75" customHeight="1">
      <c r="A202" s="21"/>
      <c r="B202" s="22"/>
      <c r="C202" s="21"/>
      <c r="D202" s="23" t="str">
        <f t="array" ref="D202">IF($C202="","",IFERROR(INDEX('Master Leads'!$C$6:$C$495,MATCH($C202,'Master Leads'!$A$6:$A$495,0)),""))</f>
        <v/>
      </c>
      <c r="E202" s="30"/>
      <c r="F202" s="30"/>
      <c r="G202" s="21"/>
      <c r="H202" s="22"/>
      <c r="I202" s="23" t="str">
        <f t="array" ref="I202">IF($C202="","",IFERROR(INDEX('Master Leads'!$O$6:$O$495,MATCH($C202,'Master Leads'!$A$6:$A$495,0)),""))</f>
        <v/>
      </c>
      <c r="J202" s="21"/>
    </row>
    <row r="203" ht="15.75" customHeight="1">
      <c r="A203" s="21"/>
      <c r="B203" s="22"/>
      <c r="C203" s="21"/>
      <c r="D203" s="23" t="str">
        <f t="array" ref="D203">IF($C203="","",IFERROR(INDEX('Master Leads'!$C$6:$C$495,MATCH($C203,'Master Leads'!$A$6:$A$495,0)),""))</f>
        <v/>
      </c>
      <c r="E203" s="30"/>
      <c r="F203" s="30"/>
      <c r="G203" s="21"/>
      <c r="H203" s="22"/>
      <c r="I203" s="23" t="str">
        <f t="array" ref="I203">IF($C203="","",IFERROR(INDEX('Master Leads'!$O$6:$O$495,MATCH($C203,'Master Leads'!$A$6:$A$495,0)),""))</f>
        <v/>
      </c>
      <c r="J203" s="21"/>
    </row>
    <row r="204" ht="15.75" customHeight="1">
      <c r="A204" s="21"/>
      <c r="B204" s="22"/>
      <c r="C204" s="21"/>
      <c r="D204" s="23" t="str">
        <f t="array" ref="D204">IF($C204="","",IFERROR(INDEX('Master Leads'!$C$6:$C$495,MATCH($C204,'Master Leads'!$A$6:$A$495,0)),""))</f>
        <v/>
      </c>
      <c r="E204" s="30"/>
      <c r="F204" s="30"/>
      <c r="G204" s="21"/>
      <c r="H204" s="22"/>
      <c r="I204" s="23" t="str">
        <f t="array" ref="I204">IF($C204="","",IFERROR(INDEX('Master Leads'!$O$6:$O$495,MATCH($C204,'Master Leads'!$A$6:$A$495,0)),""))</f>
        <v/>
      </c>
      <c r="J204" s="21"/>
    </row>
    <row r="205" ht="15.75" customHeight="1">
      <c r="A205" s="21"/>
      <c r="B205" s="22"/>
      <c r="C205" s="21"/>
      <c r="D205" s="23" t="str">
        <f t="array" ref="D205">IF($C205="","",IFERROR(INDEX('Master Leads'!$C$6:$C$495,MATCH($C205,'Master Leads'!$A$6:$A$495,0)),""))</f>
        <v/>
      </c>
      <c r="E205" s="30"/>
      <c r="F205" s="30"/>
      <c r="G205" s="21"/>
      <c r="H205" s="22"/>
      <c r="I205" s="23" t="str">
        <f t="array" ref="I205">IF($C205="","",IFERROR(INDEX('Master Leads'!$O$6:$O$495,MATCH($C205,'Master Leads'!$A$6:$A$495,0)),""))</f>
        <v/>
      </c>
      <c r="J205" s="21"/>
    </row>
    <row r="206" ht="15.75" customHeight="1">
      <c r="A206" s="21"/>
      <c r="B206" s="22"/>
      <c r="C206" s="21"/>
      <c r="D206" s="23" t="str">
        <f t="array" ref="D206">IF($C206="","",IFERROR(INDEX('Master Leads'!$C$6:$C$495,MATCH($C206,'Master Leads'!$A$6:$A$495,0)),""))</f>
        <v/>
      </c>
      <c r="E206" s="30"/>
      <c r="F206" s="30"/>
      <c r="G206" s="21"/>
      <c r="H206" s="22"/>
      <c r="I206" s="23" t="str">
        <f t="array" ref="I206">IF($C206="","",IFERROR(INDEX('Master Leads'!$O$6:$O$495,MATCH($C206,'Master Leads'!$A$6:$A$495,0)),""))</f>
        <v/>
      </c>
      <c r="J206" s="21"/>
    </row>
    <row r="207" ht="15.75" customHeight="1">
      <c r="A207" s="21"/>
      <c r="B207" s="22"/>
      <c r="C207" s="21"/>
      <c r="D207" s="23" t="str">
        <f t="array" ref="D207">IF($C207="","",IFERROR(INDEX('Master Leads'!$C$6:$C$495,MATCH($C207,'Master Leads'!$A$6:$A$495,0)),""))</f>
        <v/>
      </c>
      <c r="E207" s="30"/>
      <c r="F207" s="30"/>
      <c r="G207" s="21"/>
      <c r="H207" s="22"/>
      <c r="I207" s="23" t="str">
        <f t="array" ref="I207">IF($C207="","",IFERROR(INDEX('Master Leads'!$O$6:$O$495,MATCH($C207,'Master Leads'!$A$6:$A$495,0)),""))</f>
        <v/>
      </c>
      <c r="J207" s="21"/>
    </row>
    <row r="208" ht="15.75" customHeight="1">
      <c r="A208" s="21"/>
      <c r="B208" s="22"/>
      <c r="C208" s="21"/>
      <c r="D208" s="23" t="str">
        <f t="array" ref="D208">IF($C208="","",IFERROR(INDEX('Master Leads'!$C$6:$C$495,MATCH($C208,'Master Leads'!$A$6:$A$495,0)),""))</f>
        <v/>
      </c>
      <c r="E208" s="30"/>
      <c r="F208" s="30"/>
      <c r="G208" s="21"/>
      <c r="H208" s="22"/>
      <c r="I208" s="23" t="str">
        <f t="array" ref="I208">IF($C208="","",IFERROR(INDEX('Master Leads'!$O$6:$O$495,MATCH($C208,'Master Leads'!$A$6:$A$495,0)),""))</f>
        <v/>
      </c>
      <c r="J208" s="21"/>
    </row>
    <row r="209" ht="15.75" customHeight="1">
      <c r="A209" s="21"/>
      <c r="B209" s="22"/>
      <c r="C209" s="21"/>
      <c r="D209" s="23" t="str">
        <f t="array" ref="D209">IF($C209="","",IFERROR(INDEX('Master Leads'!$C$6:$C$495,MATCH($C209,'Master Leads'!$A$6:$A$495,0)),""))</f>
        <v/>
      </c>
      <c r="E209" s="30"/>
      <c r="F209" s="30"/>
      <c r="G209" s="21"/>
      <c r="H209" s="22"/>
      <c r="I209" s="23" t="str">
        <f t="array" ref="I209">IF($C209="","",IFERROR(INDEX('Master Leads'!$O$6:$O$495,MATCH($C209,'Master Leads'!$A$6:$A$495,0)),""))</f>
        <v/>
      </c>
      <c r="J209" s="21"/>
    </row>
    <row r="210" ht="15.75" customHeight="1">
      <c r="A210" s="21"/>
      <c r="B210" s="22"/>
      <c r="C210" s="21"/>
      <c r="D210" s="23" t="str">
        <f t="array" ref="D210">IF($C210="","",IFERROR(INDEX('Master Leads'!$C$6:$C$495,MATCH($C210,'Master Leads'!$A$6:$A$495,0)),""))</f>
        <v/>
      </c>
      <c r="E210" s="30"/>
      <c r="F210" s="30"/>
      <c r="G210" s="21"/>
      <c r="H210" s="22"/>
      <c r="I210" s="23" t="str">
        <f t="array" ref="I210">IF($C210="","",IFERROR(INDEX('Master Leads'!$O$6:$O$495,MATCH($C210,'Master Leads'!$A$6:$A$495,0)),""))</f>
        <v/>
      </c>
      <c r="J210" s="21"/>
    </row>
    <row r="211" ht="15.75" customHeight="1">
      <c r="A211" s="21"/>
      <c r="B211" s="22"/>
      <c r="C211" s="21"/>
      <c r="D211" s="23" t="str">
        <f t="array" ref="D211">IF($C211="","",IFERROR(INDEX('Master Leads'!$C$6:$C$495,MATCH($C211,'Master Leads'!$A$6:$A$495,0)),""))</f>
        <v/>
      </c>
      <c r="E211" s="30"/>
      <c r="F211" s="30"/>
      <c r="G211" s="21"/>
      <c r="H211" s="22"/>
      <c r="I211" s="23" t="str">
        <f t="array" ref="I211">IF($C211="","",IFERROR(INDEX('Master Leads'!$O$6:$O$495,MATCH($C211,'Master Leads'!$A$6:$A$495,0)),""))</f>
        <v/>
      </c>
      <c r="J211" s="21"/>
    </row>
    <row r="212" ht="15.75" customHeight="1">
      <c r="A212" s="21"/>
      <c r="B212" s="22"/>
      <c r="C212" s="21"/>
      <c r="D212" s="23" t="str">
        <f t="array" ref="D212">IF($C212="","",IFERROR(INDEX('Master Leads'!$C$6:$C$495,MATCH($C212,'Master Leads'!$A$6:$A$495,0)),""))</f>
        <v/>
      </c>
      <c r="E212" s="30"/>
      <c r="F212" s="30"/>
      <c r="G212" s="21"/>
      <c r="H212" s="22"/>
      <c r="I212" s="23" t="str">
        <f t="array" ref="I212">IF($C212="","",IFERROR(INDEX('Master Leads'!$O$6:$O$495,MATCH($C212,'Master Leads'!$A$6:$A$495,0)),""))</f>
        <v/>
      </c>
      <c r="J212" s="21"/>
    </row>
    <row r="213" ht="15.75" customHeight="1">
      <c r="A213" s="21"/>
      <c r="B213" s="22"/>
      <c r="C213" s="21"/>
      <c r="D213" s="23" t="str">
        <f t="array" ref="D213">IF($C213="","",IFERROR(INDEX('Master Leads'!$C$6:$C$495,MATCH($C213,'Master Leads'!$A$6:$A$495,0)),""))</f>
        <v/>
      </c>
      <c r="E213" s="30"/>
      <c r="F213" s="30"/>
      <c r="G213" s="21"/>
      <c r="H213" s="22"/>
      <c r="I213" s="23" t="str">
        <f t="array" ref="I213">IF($C213="","",IFERROR(INDEX('Master Leads'!$O$6:$O$495,MATCH($C213,'Master Leads'!$A$6:$A$495,0)),""))</f>
        <v/>
      </c>
      <c r="J213" s="21"/>
    </row>
    <row r="214" ht="15.75" customHeight="1">
      <c r="A214" s="21"/>
      <c r="B214" s="22"/>
      <c r="C214" s="21"/>
      <c r="D214" s="23" t="str">
        <f t="array" ref="D214">IF($C214="","",IFERROR(INDEX('Master Leads'!$C$6:$C$495,MATCH($C214,'Master Leads'!$A$6:$A$495,0)),""))</f>
        <v/>
      </c>
      <c r="E214" s="30"/>
      <c r="F214" s="30"/>
      <c r="G214" s="21"/>
      <c r="H214" s="22"/>
      <c r="I214" s="23" t="str">
        <f t="array" ref="I214">IF($C214="","",IFERROR(INDEX('Master Leads'!$O$6:$O$495,MATCH($C214,'Master Leads'!$A$6:$A$495,0)),""))</f>
        <v/>
      </c>
      <c r="J214" s="21"/>
    </row>
    <row r="215" ht="15.75" customHeight="1">
      <c r="A215" s="21"/>
      <c r="B215" s="22"/>
      <c r="C215" s="21"/>
      <c r="D215" s="23" t="str">
        <f t="array" ref="D215">IF($C215="","",IFERROR(INDEX('Master Leads'!$C$6:$C$495,MATCH($C215,'Master Leads'!$A$6:$A$495,0)),""))</f>
        <v/>
      </c>
      <c r="E215" s="30"/>
      <c r="F215" s="30"/>
      <c r="G215" s="21"/>
      <c r="H215" s="22"/>
      <c r="I215" s="23" t="str">
        <f t="array" ref="I215">IF($C215="","",IFERROR(INDEX('Master Leads'!$O$6:$O$495,MATCH($C215,'Master Leads'!$A$6:$A$495,0)),""))</f>
        <v/>
      </c>
      <c r="J215" s="21"/>
    </row>
    <row r="216" ht="15.75" customHeight="1">
      <c r="A216" s="21"/>
      <c r="B216" s="22"/>
      <c r="C216" s="21"/>
      <c r="D216" s="23" t="str">
        <f t="array" ref="D216">IF($C216="","",IFERROR(INDEX('Master Leads'!$C$6:$C$495,MATCH($C216,'Master Leads'!$A$6:$A$495,0)),""))</f>
        <v/>
      </c>
      <c r="E216" s="30"/>
      <c r="F216" s="30"/>
      <c r="G216" s="21"/>
      <c r="H216" s="22"/>
      <c r="I216" s="23" t="str">
        <f t="array" ref="I216">IF($C216="","",IFERROR(INDEX('Master Leads'!$O$6:$O$495,MATCH($C216,'Master Leads'!$A$6:$A$495,0)),""))</f>
        <v/>
      </c>
      <c r="J216" s="21"/>
    </row>
    <row r="217" ht="15.75" customHeight="1">
      <c r="A217" s="21"/>
      <c r="B217" s="22"/>
      <c r="C217" s="21"/>
      <c r="D217" s="23" t="str">
        <f t="array" ref="D217">IF($C217="","",IFERROR(INDEX('Master Leads'!$C$6:$C$495,MATCH($C217,'Master Leads'!$A$6:$A$495,0)),""))</f>
        <v/>
      </c>
      <c r="E217" s="30"/>
      <c r="F217" s="30"/>
      <c r="G217" s="21"/>
      <c r="H217" s="22"/>
      <c r="I217" s="23" t="str">
        <f t="array" ref="I217">IF($C217="","",IFERROR(INDEX('Master Leads'!$O$6:$O$495,MATCH($C217,'Master Leads'!$A$6:$A$495,0)),""))</f>
        <v/>
      </c>
      <c r="J217" s="21"/>
    </row>
    <row r="218" ht="15.75" customHeight="1">
      <c r="A218" s="21"/>
      <c r="B218" s="22"/>
      <c r="C218" s="21"/>
      <c r="D218" s="23" t="str">
        <f t="array" ref="D218">IF($C218="","",IFERROR(INDEX('Master Leads'!$C$6:$C$495,MATCH($C218,'Master Leads'!$A$6:$A$495,0)),""))</f>
        <v/>
      </c>
      <c r="E218" s="30"/>
      <c r="F218" s="30"/>
      <c r="G218" s="21"/>
      <c r="H218" s="22"/>
      <c r="I218" s="23" t="str">
        <f t="array" ref="I218">IF($C218="","",IFERROR(INDEX('Master Leads'!$O$6:$O$495,MATCH($C218,'Master Leads'!$A$6:$A$495,0)),""))</f>
        <v/>
      </c>
      <c r="J218" s="21"/>
    </row>
    <row r="219" ht="15.75" customHeight="1">
      <c r="A219" s="21"/>
      <c r="B219" s="22"/>
      <c r="C219" s="21"/>
      <c r="D219" s="23" t="str">
        <f t="array" ref="D219">IF($C219="","",IFERROR(INDEX('Master Leads'!$C$6:$C$495,MATCH($C219,'Master Leads'!$A$6:$A$495,0)),""))</f>
        <v/>
      </c>
      <c r="E219" s="30"/>
      <c r="F219" s="30"/>
      <c r="G219" s="21"/>
      <c r="H219" s="22"/>
      <c r="I219" s="23" t="str">
        <f t="array" ref="I219">IF($C219="","",IFERROR(INDEX('Master Leads'!$O$6:$O$495,MATCH($C219,'Master Leads'!$A$6:$A$495,0)),""))</f>
        <v/>
      </c>
      <c r="J219" s="21"/>
    </row>
    <row r="220" ht="15.75" customHeight="1">
      <c r="A220" s="21"/>
      <c r="B220" s="22"/>
      <c r="C220" s="21"/>
      <c r="D220" s="23" t="str">
        <f t="array" ref="D220">IF($C220="","",IFERROR(INDEX('Master Leads'!$C$6:$C$495,MATCH($C220,'Master Leads'!$A$6:$A$495,0)),""))</f>
        <v/>
      </c>
      <c r="E220" s="30"/>
      <c r="F220" s="30"/>
      <c r="G220" s="21"/>
      <c r="H220" s="22"/>
      <c r="I220" s="23" t="str">
        <f t="array" ref="I220">IF($C220="","",IFERROR(INDEX('Master Leads'!$O$6:$O$495,MATCH($C220,'Master Leads'!$A$6:$A$495,0)),""))</f>
        <v/>
      </c>
      <c r="J220" s="21"/>
    </row>
    <row r="221" ht="15.75" customHeight="1">
      <c r="A221" s="21"/>
      <c r="B221" s="22"/>
      <c r="C221" s="21"/>
      <c r="D221" s="23" t="str">
        <f t="array" ref="D221">IF($C221="","",IFERROR(INDEX('Master Leads'!$C$6:$C$495,MATCH($C221,'Master Leads'!$A$6:$A$495,0)),""))</f>
        <v/>
      </c>
      <c r="E221" s="30"/>
      <c r="F221" s="30"/>
      <c r="G221" s="21"/>
      <c r="H221" s="22"/>
      <c r="I221" s="23" t="str">
        <f t="array" ref="I221">IF($C221="","",IFERROR(INDEX('Master Leads'!$O$6:$O$495,MATCH($C221,'Master Leads'!$A$6:$A$495,0)),""))</f>
        <v/>
      </c>
      <c r="J221" s="21"/>
    </row>
    <row r="222" ht="15.75" customHeight="1">
      <c r="A222" s="21"/>
      <c r="B222" s="22"/>
      <c r="C222" s="21"/>
      <c r="D222" s="23" t="str">
        <f t="array" ref="D222">IF($C222="","",IFERROR(INDEX('Master Leads'!$C$6:$C$495,MATCH($C222,'Master Leads'!$A$6:$A$495,0)),""))</f>
        <v/>
      </c>
      <c r="E222" s="30"/>
      <c r="F222" s="30"/>
      <c r="G222" s="21"/>
      <c r="H222" s="22"/>
      <c r="I222" s="23" t="str">
        <f t="array" ref="I222">IF($C222="","",IFERROR(INDEX('Master Leads'!$O$6:$O$495,MATCH($C222,'Master Leads'!$A$6:$A$495,0)),""))</f>
        <v/>
      </c>
      <c r="J222" s="21"/>
    </row>
    <row r="223" ht="15.75" customHeight="1">
      <c r="A223" s="21"/>
      <c r="B223" s="22"/>
      <c r="C223" s="21"/>
      <c r="D223" s="23" t="str">
        <f t="array" ref="D223">IF($C223="","",IFERROR(INDEX('Master Leads'!$C$6:$C$495,MATCH($C223,'Master Leads'!$A$6:$A$495,0)),""))</f>
        <v/>
      </c>
      <c r="E223" s="30"/>
      <c r="F223" s="30"/>
      <c r="G223" s="21"/>
      <c r="H223" s="22"/>
      <c r="I223" s="23" t="str">
        <f t="array" ref="I223">IF($C223="","",IFERROR(INDEX('Master Leads'!$O$6:$O$495,MATCH($C223,'Master Leads'!$A$6:$A$495,0)),""))</f>
        <v/>
      </c>
      <c r="J223" s="21"/>
    </row>
    <row r="224" ht="15.75" customHeight="1">
      <c r="A224" s="21"/>
      <c r="B224" s="22"/>
      <c r="C224" s="21"/>
      <c r="D224" s="23" t="str">
        <f t="array" ref="D224">IF($C224="","",IFERROR(INDEX('Master Leads'!$C$6:$C$495,MATCH($C224,'Master Leads'!$A$6:$A$495,0)),""))</f>
        <v/>
      </c>
      <c r="E224" s="30"/>
      <c r="F224" s="30"/>
      <c r="G224" s="21"/>
      <c r="H224" s="22"/>
      <c r="I224" s="23" t="str">
        <f t="array" ref="I224">IF($C224="","",IFERROR(INDEX('Master Leads'!$O$6:$O$495,MATCH($C224,'Master Leads'!$A$6:$A$495,0)),""))</f>
        <v/>
      </c>
      <c r="J224" s="21"/>
    </row>
    <row r="225" ht="15.75" customHeight="1">
      <c r="A225" s="21"/>
      <c r="B225" s="22"/>
      <c r="C225" s="21"/>
      <c r="D225" s="23" t="str">
        <f t="array" ref="D225">IF($C225="","",IFERROR(INDEX('Master Leads'!$C$6:$C$495,MATCH($C225,'Master Leads'!$A$6:$A$495,0)),""))</f>
        <v/>
      </c>
      <c r="E225" s="30"/>
      <c r="F225" s="30"/>
      <c r="G225" s="21"/>
      <c r="H225" s="22"/>
      <c r="I225" s="23" t="str">
        <f t="array" ref="I225">IF($C225="","",IFERROR(INDEX('Master Leads'!$O$6:$O$495,MATCH($C225,'Master Leads'!$A$6:$A$495,0)),""))</f>
        <v/>
      </c>
      <c r="J225" s="21"/>
    </row>
    <row r="226" ht="15.75" customHeight="1">
      <c r="A226" s="21"/>
      <c r="B226" s="22"/>
      <c r="C226" s="21"/>
      <c r="D226" s="23" t="str">
        <f t="array" ref="D226">IF($C226="","",IFERROR(INDEX('Master Leads'!$C$6:$C$495,MATCH($C226,'Master Leads'!$A$6:$A$495,0)),""))</f>
        <v/>
      </c>
      <c r="E226" s="30"/>
      <c r="F226" s="30"/>
      <c r="G226" s="21"/>
      <c r="H226" s="22"/>
      <c r="I226" s="23" t="str">
        <f t="array" ref="I226">IF($C226="","",IFERROR(INDEX('Master Leads'!$O$6:$O$495,MATCH($C226,'Master Leads'!$A$6:$A$495,0)),""))</f>
        <v/>
      </c>
      <c r="J226" s="21"/>
    </row>
    <row r="227" ht="15.75" customHeight="1">
      <c r="A227" s="21"/>
      <c r="B227" s="22"/>
      <c r="C227" s="21"/>
      <c r="D227" s="23" t="str">
        <f t="array" ref="D227">IF($C227="","",IFERROR(INDEX('Master Leads'!$C$6:$C$495,MATCH($C227,'Master Leads'!$A$6:$A$495,0)),""))</f>
        <v/>
      </c>
      <c r="E227" s="30"/>
      <c r="F227" s="30"/>
      <c r="G227" s="21"/>
      <c r="H227" s="22"/>
      <c r="I227" s="23" t="str">
        <f t="array" ref="I227">IF($C227="","",IFERROR(INDEX('Master Leads'!$O$6:$O$495,MATCH($C227,'Master Leads'!$A$6:$A$495,0)),""))</f>
        <v/>
      </c>
      <c r="J227" s="21"/>
    </row>
    <row r="228" ht="15.75" customHeight="1">
      <c r="A228" s="21"/>
      <c r="B228" s="22"/>
      <c r="C228" s="21"/>
      <c r="D228" s="23" t="str">
        <f t="array" ref="D228">IF($C228="","",IFERROR(INDEX('Master Leads'!$C$6:$C$495,MATCH($C228,'Master Leads'!$A$6:$A$495,0)),""))</f>
        <v/>
      </c>
      <c r="E228" s="30"/>
      <c r="F228" s="30"/>
      <c r="G228" s="21"/>
      <c r="H228" s="22"/>
      <c r="I228" s="23" t="str">
        <f t="array" ref="I228">IF($C228="","",IFERROR(INDEX('Master Leads'!$O$6:$O$495,MATCH($C228,'Master Leads'!$A$6:$A$495,0)),""))</f>
        <v/>
      </c>
      <c r="J228" s="21"/>
    </row>
    <row r="229" ht="15.75" customHeight="1">
      <c r="A229" s="21"/>
      <c r="B229" s="22"/>
      <c r="C229" s="21"/>
      <c r="D229" s="23" t="str">
        <f t="array" ref="D229">IF($C229="","",IFERROR(INDEX('Master Leads'!$C$6:$C$495,MATCH($C229,'Master Leads'!$A$6:$A$495,0)),""))</f>
        <v/>
      </c>
      <c r="E229" s="30"/>
      <c r="F229" s="30"/>
      <c r="G229" s="21"/>
      <c r="H229" s="22"/>
      <c r="I229" s="23" t="str">
        <f t="array" ref="I229">IF($C229="","",IFERROR(INDEX('Master Leads'!$O$6:$O$495,MATCH($C229,'Master Leads'!$A$6:$A$495,0)),""))</f>
        <v/>
      </c>
      <c r="J229" s="21"/>
    </row>
    <row r="230" ht="15.75" customHeight="1">
      <c r="A230" s="21"/>
      <c r="B230" s="22"/>
      <c r="C230" s="21"/>
      <c r="D230" s="23" t="str">
        <f t="array" ref="D230">IF($C230="","",IFERROR(INDEX('Master Leads'!$C$6:$C$495,MATCH($C230,'Master Leads'!$A$6:$A$495,0)),""))</f>
        <v/>
      </c>
      <c r="E230" s="30"/>
      <c r="F230" s="30"/>
      <c r="G230" s="21"/>
      <c r="H230" s="22"/>
      <c r="I230" s="23" t="str">
        <f t="array" ref="I230">IF($C230="","",IFERROR(INDEX('Master Leads'!$O$6:$O$495,MATCH($C230,'Master Leads'!$A$6:$A$495,0)),""))</f>
        <v/>
      </c>
      <c r="J230" s="21"/>
    </row>
    <row r="231" ht="15.75" customHeight="1">
      <c r="A231" s="21"/>
      <c r="B231" s="22"/>
      <c r="C231" s="21"/>
      <c r="D231" s="23" t="str">
        <f t="array" ref="D231">IF($C231="","",IFERROR(INDEX('Master Leads'!$C$6:$C$495,MATCH($C231,'Master Leads'!$A$6:$A$495,0)),""))</f>
        <v/>
      </c>
      <c r="E231" s="30"/>
      <c r="F231" s="30"/>
      <c r="G231" s="21"/>
      <c r="H231" s="22"/>
      <c r="I231" s="23" t="str">
        <f t="array" ref="I231">IF($C231="","",IFERROR(INDEX('Master Leads'!$O$6:$O$495,MATCH($C231,'Master Leads'!$A$6:$A$495,0)),""))</f>
        <v/>
      </c>
      <c r="J231" s="21"/>
    </row>
    <row r="232" ht="15.75" customHeight="1">
      <c r="A232" s="21"/>
      <c r="B232" s="22"/>
      <c r="C232" s="21"/>
      <c r="D232" s="23" t="str">
        <f t="array" ref="D232">IF($C232="","",IFERROR(INDEX('Master Leads'!$C$6:$C$495,MATCH($C232,'Master Leads'!$A$6:$A$495,0)),""))</f>
        <v/>
      </c>
      <c r="E232" s="30"/>
      <c r="F232" s="30"/>
      <c r="G232" s="21"/>
      <c r="H232" s="22"/>
      <c r="I232" s="23" t="str">
        <f t="array" ref="I232">IF($C232="","",IFERROR(INDEX('Master Leads'!$O$6:$O$495,MATCH($C232,'Master Leads'!$A$6:$A$495,0)),""))</f>
        <v/>
      </c>
      <c r="J232" s="21"/>
    </row>
    <row r="233" ht="15.75" customHeight="1">
      <c r="A233" s="21"/>
      <c r="B233" s="22"/>
      <c r="C233" s="21"/>
      <c r="D233" s="23" t="str">
        <f t="array" ref="D233">IF($C233="","",IFERROR(INDEX('Master Leads'!$C$6:$C$495,MATCH($C233,'Master Leads'!$A$6:$A$495,0)),""))</f>
        <v/>
      </c>
      <c r="E233" s="30"/>
      <c r="F233" s="30"/>
      <c r="G233" s="21"/>
      <c r="H233" s="22"/>
      <c r="I233" s="23" t="str">
        <f t="array" ref="I233">IF($C233="","",IFERROR(INDEX('Master Leads'!$O$6:$O$495,MATCH($C233,'Master Leads'!$A$6:$A$495,0)),""))</f>
        <v/>
      </c>
      <c r="J233" s="21"/>
    </row>
    <row r="234" ht="15.75" customHeight="1">
      <c r="A234" s="21"/>
      <c r="B234" s="22"/>
      <c r="C234" s="21"/>
      <c r="D234" s="23" t="str">
        <f t="array" ref="D234">IF($C234="","",IFERROR(INDEX('Master Leads'!$C$6:$C$495,MATCH($C234,'Master Leads'!$A$6:$A$495,0)),""))</f>
        <v/>
      </c>
      <c r="E234" s="30"/>
      <c r="F234" s="30"/>
      <c r="G234" s="21"/>
      <c r="H234" s="22"/>
      <c r="I234" s="23" t="str">
        <f t="array" ref="I234">IF($C234="","",IFERROR(INDEX('Master Leads'!$O$6:$O$495,MATCH($C234,'Master Leads'!$A$6:$A$495,0)),""))</f>
        <v/>
      </c>
      <c r="J234" s="21"/>
    </row>
    <row r="235" ht="15.75" customHeight="1">
      <c r="A235" s="21"/>
      <c r="B235" s="22"/>
      <c r="C235" s="21"/>
      <c r="D235" s="23" t="str">
        <f t="array" ref="D235">IF($C235="","",IFERROR(INDEX('Master Leads'!$C$6:$C$495,MATCH($C235,'Master Leads'!$A$6:$A$495,0)),""))</f>
        <v/>
      </c>
      <c r="E235" s="30"/>
      <c r="F235" s="30"/>
      <c r="G235" s="21"/>
      <c r="H235" s="22"/>
      <c r="I235" s="23" t="str">
        <f t="array" ref="I235">IF($C235="","",IFERROR(INDEX('Master Leads'!$O$6:$O$495,MATCH($C235,'Master Leads'!$A$6:$A$495,0)),""))</f>
        <v/>
      </c>
      <c r="J235" s="21"/>
    </row>
    <row r="236" ht="15.75" customHeight="1">
      <c r="A236" s="21"/>
      <c r="B236" s="22"/>
      <c r="C236" s="21"/>
      <c r="D236" s="23" t="str">
        <f t="array" ref="D236">IF($C236="","",IFERROR(INDEX('Master Leads'!$C$6:$C$495,MATCH($C236,'Master Leads'!$A$6:$A$495,0)),""))</f>
        <v/>
      </c>
      <c r="E236" s="30"/>
      <c r="F236" s="30"/>
      <c r="G236" s="21"/>
      <c r="H236" s="22"/>
      <c r="I236" s="23" t="str">
        <f t="array" ref="I236">IF($C236="","",IFERROR(INDEX('Master Leads'!$O$6:$O$495,MATCH($C236,'Master Leads'!$A$6:$A$495,0)),""))</f>
        <v/>
      </c>
      <c r="J236" s="21"/>
    </row>
    <row r="237" ht="15.75" customHeight="1">
      <c r="A237" s="21"/>
      <c r="B237" s="22"/>
      <c r="C237" s="21"/>
      <c r="D237" s="23" t="str">
        <f t="array" ref="D237">IF($C237="","",IFERROR(INDEX('Master Leads'!$C$6:$C$495,MATCH($C237,'Master Leads'!$A$6:$A$495,0)),""))</f>
        <v/>
      </c>
      <c r="E237" s="30"/>
      <c r="F237" s="30"/>
      <c r="G237" s="21"/>
      <c r="H237" s="22"/>
      <c r="I237" s="23" t="str">
        <f t="array" ref="I237">IF($C237="","",IFERROR(INDEX('Master Leads'!$O$6:$O$495,MATCH($C237,'Master Leads'!$A$6:$A$495,0)),""))</f>
        <v/>
      </c>
      <c r="J237" s="21"/>
    </row>
    <row r="238" ht="15.75" customHeight="1">
      <c r="A238" s="21"/>
      <c r="B238" s="22"/>
      <c r="C238" s="21"/>
      <c r="D238" s="23" t="str">
        <f t="array" ref="D238">IF($C238="","",IFERROR(INDEX('Master Leads'!$C$6:$C$495,MATCH($C238,'Master Leads'!$A$6:$A$495,0)),""))</f>
        <v/>
      </c>
      <c r="E238" s="30"/>
      <c r="F238" s="30"/>
      <c r="G238" s="21"/>
      <c r="H238" s="22"/>
      <c r="I238" s="23" t="str">
        <f t="array" ref="I238">IF($C238="","",IFERROR(INDEX('Master Leads'!$O$6:$O$495,MATCH($C238,'Master Leads'!$A$6:$A$495,0)),""))</f>
        <v/>
      </c>
      <c r="J238" s="21"/>
    </row>
    <row r="239" ht="15.75" customHeight="1">
      <c r="A239" s="21"/>
      <c r="B239" s="22"/>
      <c r="C239" s="21"/>
      <c r="D239" s="23" t="str">
        <f t="array" ref="D239">IF($C239="","",IFERROR(INDEX('Master Leads'!$C$6:$C$495,MATCH($C239,'Master Leads'!$A$6:$A$495,0)),""))</f>
        <v/>
      </c>
      <c r="E239" s="30"/>
      <c r="F239" s="30"/>
      <c r="G239" s="21"/>
      <c r="H239" s="22"/>
      <c r="I239" s="23" t="str">
        <f t="array" ref="I239">IF($C239="","",IFERROR(INDEX('Master Leads'!$O$6:$O$495,MATCH($C239,'Master Leads'!$A$6:$A$495,0)),""))</f>
        <v/>
      </c>
      <c r="J239" s="21"/>
    </row>
    <row r="240" ht="15.75" customHeight="1">
      <c r="A240" s="21"/>
      <c r="B240" s="22"/>
      <c r="C240" s="21"/>
      <c r="D240" s="23" t="str">
        <f t="array" ref="D240">IF($C240="","",IFERROR(INDEX('Master Leads'!$C$6:$C$495,MATCH($C240,'Master Leads'!$A$6:$A$495,0)),""))</f>
        <v/>
      </c>
      <c r="E240" s="30"/>
      <c r="F240" s="30"/>
      <c r="G240" s="21"/>
      <c r="H240" s="22"/>
      <c r="I240" s="23" t="str">
        <f t="array" ref="I240">IF($C240="","",IFERROR(INDEX('Master Leads'!$O$6:$O$495,MATCH($C240,'Master Leads'!$A$6:$A$495,0)),""))</f>
        <v/>
      </c>
      <c r="J240" s="21"/>
    </row>
    <row r="241" ht="15.75" customHeight="1">
      <c r="A241" s="21"/>
      <c r="B241" s="22"/>
      <c r="C241" s="21"/>
      <c r="D241" s="23" t="str">
        <f t="array" ref="D241">IF($C241="","",IFERROR(INDEX('Master Leads'!$C$6:$C$495,MATCH($C241,'Master Leads'!$A$6:$A$495,0)),""))</f>
        <v/>
      </c>
      <c r="E241" s="30"/>
      <c r="F241" s="30"/>
      <c r="G241" s="21"/>
      <c r="H241" s="22"/>
      <c r="I241" s="23" t="str">
        <f t="array" ref="I241">IF($C241="","",IFERROR(INDEX('Master Leads'!$O$6:$O$495,MATCH($C241,'Master Leads'!$A$6:$A$495,0)),""))</f>
        <v/>
      </c>
      <c r="J241" s="21"/>
    </row>
    <row r="242" ht="15.75" customHeight="1">
      <c r="A242" s="21"/>
      <c r="B242" s="22"/>
      <c r="C242" s="21"/>
      <c r="D242" s="23" t="str">
        <f t="array" ref="D242">IF($C242="","",IFERROR(INDEX('Master Leads'!$C$6:$C$495,MATCH($C242,'Master Leads'!$A$6:$A$495,0)),""))</f>
        <v/>
      </c>
      <c r="E242" s="30"/>
      <c r="F242" s="30"/>
      <c r="G242" s="21"/>
      <c r="H242" s="22"/>
      <c r="I242" s="23" t="str">
        <f t="array" ref="I242">IF($C242="","",IFERROR(INDEX('Master Leads'!$O$6:$O$495,MATCH($C242,'Master Leads'!$A$6:$A$495,0)),""))</f>
        <v/>
      </c>
      <c r="J242" s="21"/>
    </row>
    <row r="243" ht="15.75" customHeight="1">
      <c r="A243" s="21"/>
      <c r="B243" s="22"/>
      <c r="C243" s="21"/>
      <c r="D243" s="23" t="str">
        <f t="array" ref="D243">IF($C243="","",IFERROR(INDEX('Master Leads'!$C$6:$C$495,MATCH($C243,'Master Leads'!$A$6:$A$495,0)),""))</f>
        <v/>
      </c>
      <c r="E243" s="30"/>
      <c r="F243" s="30"/>
      <c r="G243" s="21"/>
      <c r="H243" s="22"/>
      <c r="I243" s="23" t="str">
        <f t="array" ref="I243">IF($C243="","",IFERROR(INDEX('Master Leads'!$O$6:$O$495,MATCH($C243,'Master Leads'!$A$6:$A$495,0)),""))</f>
        <v/>
      </c>
      <c r="J243" s="21"/>
    </row>
    <row r="244" ht="15.75" customHeight="1">
      <c r="A244" s="21"/>
      <c r="B244" s="22"/>
      <c r="C244" s="21"/>
      <c r="D244" s="23" t="str">
        <f t="array" ref="D244">IF($C244="","",IFERROR(INDEX('Master Leads'!$C$6:$C$495,MATCH($C244,'Master Leads'!$A$6:$A$495,0)),""))</f>
        <v/>
      </c>
      <c r="E244" s="30"/>
      <c r="F244" s="30"/>
      <c r="G244" s="21"/>
      <c r="H244" s="22"/>
      <c r="I244" s="23" t="str">
        <f t="array" ref="I244">IF($C244="","",IFERROR(INDEX('Master Leads'!$O$6:$O$495,MATCH($C244,'Master Leads'!$A$6:$A$495,0)),""))</f>
        <v/>
      </c>
      <c r="J244" s="21"/>
    </row>
    <row r="245" ht="15.75" customHeight="1">
      <c r="A245" s="21"/>
      <c r="B245" s="22"/>
      <c r="C245" s="21"/>
      <c r="D245" s="23" t="str">
        <f t="array" ref="D245">IF($C245="","",IFERROR(INDEX('Master Leads'!$C$6:$C$495,MATCH($C245,'Master Leads'!$A$6:$A$495,0)),""))</f>
        <v/>
      </c>
      <c r="E245" s="30"/>
      <c r="F245" s="30"/>
      <c r="G245" s="21"/>
      <c r="H245" s="22"/>
      <c r="I245" s="23" t="str">
        <f t="array" ref="I245">IF($C245="","",IFERROR(INDEX('Master Leads'!$O$6:$O$495,MATCH($C245,'Master Leads'!$A$6:$A$495,0)),""))</f>
        <v/>
      </c>
      <c r="J245" s="21"/>
    </row>
    <row r="246" ht="15.75" customHeight="1">
      <c r="A246" s="21"/>
      <c r="B246" s="22"/>
      <c r="C246" s="21"/>
      <c r="D246" s="23" t="str">
        <f t="array" ref="D246">IF($C246="","",IFERROR(INDEX('Master Leads'!$C$6:$C$495,MATCH($C246,'Master Leads'!$A$6:$A$495,0)),""))</f>
        <v/>
      </c>
      <c r="E246" s="30"/>
      <c r="F246" s="30"/>
      <c r="G246" s="21"/>
      <c r="H246" s="22"/>
      <c r="I246" s="23" t="str">
        <f t="array" ref="I246">IF($C246="","",IFERROR(INDEX('Master Leads'!$O$6:$O$495,MATCH($C246,'Master Leads'!$A$6:$A$495,0)),""))</f>
        <v/>
      </c>
      <c r="J246" s="21"/>
    </row>
    <row r="247" ht="15.75" customHeight="1">
      <c r="A247" s="21"/>
      <c r="B247" s="22"/>
      <c r="C247" s="21"/>
      <c r="D247" s="23" t="str">
        <f t="array" ref="D247">IF($C247="","",IFERROR(INDEX('Master Leads'!$C$6:$C$495,MATCH($C247,'Master Leads'!$A$6:$A$495,0)),""))</f>
        <v/>
      </c>
      <c r="E247" s="30"/>
      <c r="F247" s="30"/>
      <c r="G247" s="21"/>
      <c r="H247" s="22"/>
      <c r="I247" s="23" t="str">
        <f t="array" ref="I247">IF($C247="","",IFERROR(INDEX('Master Leads'!$O$6:$O$495,MATCH($C247,'Master Leads'!$A$6:$A$495,0)),""))</f>
        <v/>
      </c>
      <c r="J247" s="21"/>
    </row>
    <row r="248" ht="15.75" customHeight="1">
      <c r="A248" s="21"/>
      <c r="B248" s="22"/>
      <c r="C248" s="21"/>
      <c r="D248" s="23" t="str">
        <f t="array" ref="D248">IF($C248="","",IFERROR(INDEX('Master Leads'!$C$6:$C$495,MATCH($C248,'Master Leads'!$A$6:$A$495,0)),""))</f>
        <v/>
      </c>
      <c r="E248" s="30"/>
      <c r="F248" s="30"/>
      <c r="G248" s="21"/>
      <c r="H248" s="22"/>
      <c r="I248" s="23" t="str">
        <f t="array" ref="I248">IF($C248="","",IFERROR(INDEX('Master Leads'!$O$6:$O$495,MATCH($C248,'Master Leads'!$A$6:$A$495,0)),""))</f>
        <v/>
      </c>
      <c r="J248" s="21"/>
    </row>
    <row r="249" ht="15.75" customHeight="1">
      <c r="A249" s="21"/>
      <c r="B249" s="22"/>
      <c r="C249" s="21"/>
      <c r="D249" s="23" t="str">
        <f t="array" ref="D249">IF($C249="","",IFERROR(INDEX('Master Leads'!$C$6:$C$495,MATCH($C249,'Master Leads'!$A$6:$A$495,0)),""))</f>
        <v/>
      </c>
      <c r="E249" s="30"/>
      <c r="F249" s="30"/>
      <c r="G249" s="21"/>
      <c r="H249" s="22"/>
      <c r="I249" s="23" t="str">
        <f t="array" ref="I249">IF($C249="","",IFERROR(INDEX('Master Leads'!$O$6:$O$495,MATCH($C249,'Master Leads'!$A$6:$A$495,0)),""))</f>
        <v/>
      </c>
      <c r="J249" s="21"/>
    </row>
    <row r="250" ht="15.75" customHeight="1">
      <c r="A250" s="21"/>
      <c r="B250" s="22"/>
      <c r="C250" s="21"/>
      <c r="D250" s="23" t="str">
        <f t="array" ref="D250">IF($C250="","",IFERROR(INDEX('Master Leads'!$C$6:$C$495,MATCH($C250,'Master Leads'!$A$6:$A$495,0)),""))</f>
        <v/>
      </c>
      <c r="E250" s="30"/>
      <c r="F250" s="30"/>
      <c r="G250" s="21"/>
      <c r="H250" s="22"/>
      <c r="I250" s="23" t="str">
        <f t="array" ref="I250">IF($C250="","",IFERROR(INDEX('Master Leads'!$O$6:$O$495,MATCH($C250,'Master Leads'!$A$6:$A$495,0)),""))</f>
        <v/>
      </c>
      <c r="J250" s="21"/>
    </row>
    <row r="251" ht="15.75" customHeight="1">
      <c r="A251" s="21"/>
      <c r="B251" s="22"/>
      <c r="C251" s="21"/>
      <c r="D251" s="23" t="str">
        <f t="array" ref="D251">IF($C251="","",IFERROR(INDEX('Master Leads'!$C$6:$C$495,MATCH($C251,'Master Leads'!$A$6:$A$495,0)),""))</f>
        <v/>
      </c>
      <c r="E251" s="30"/>
      <c r="F251" s="30"/>
      <c r="G251" s="21"/>
      <c r="H251" s="22"/>
      <c r="I251" s="23" t="str">
        <f t="array" ref="I251">IF($C251="","",IFERROR(INDEX('Master Leads'!$O$6:$O$495,MATCH($C251,'Master Leads'!$A$6:$A$495,0)),""))</f>
        <v/>
      </c>
      <c r="J251" s="21"/>
    </row>
    <row r="252" ht="15.75" customHeight="1">
      <c r="A252" s="21"/>
      <c r="B252" s="22"/>
      <c r="C252" s="21"/>
      <c r="D252" s="23" t="str">
        <f t="array" ref="D252">IF($C252="","",IFERROR(INDEX('Master Leads'!$C$6:$C$495,MATCH($C252,'Master Leads'!$A$6:$A$495,0)),""))</f>
        <v/>
      </c>
      <c r="E252" s="30"/>
      <c r="F252" s="30"/>
      <c r="G252" s="21"/>
      <c r="H252" s="22"/>
      <c r="I252" s="23" t="str">
        <f t="array" ref="I252">IF($C252="","",IFERROR(INDEX('Master Leads'!$O$6:$O$495,MATCH($C252,'Master Leads'!$A$6:$A$495,0)),""))</f>
        <v/>
      </c>
      <c r="J252" s="21"/>
    </row>
    <row r="253" ht="15.75" customHeight="1">
      <c r="A253" s="21"/>
      <c r="B253" s="22"/>
      <c r="C253" s="21"/>
      <c r="D253" s="23" t="str">
        <f t="array" ref="D253">IF($C253="","",IFERROR(INDEX('Master Leads'!$C$6:$C$495,MATCH($C253,'Master Leads'!$A$6:$A$495,0)),""))</f>
        <v/>
      </c>
      <c r="E253" s="30"/>
      <c r="F253" s="30"/>
      <c r="G253" s="21"/>
      <c r="H253" s="22"/>
      <c r="I253" s="23" t="str">
        <f t="array" ref="I253">IF($C253="","",IFERROR(INDEX('Master Leads'!$O$6:$O$495,MATCH($C253,'Master Leads'!$A$6:$A$495,0)),""))</f>
        <v/>
      </c>
      <c r="J253" s="21"/>
    </row>
    <row r="254" ht="15.75" customHeight="1">
      <c r="A254" s="21"/>
      <c r="B254" s="22"/>
      <c r="C254" s="21"/>
      <c r="D254" s="23" t="str">
        <f t="array" ref="D254">IF($C254="","",IFERROR(INDEX('Master Leads'!$C$6:$C$495,MATCH($C254,'Master Leads'!$A$6:$A$495,0)),""))</f>
        <v/>
      </c>
      <c r="E254" s="30"/>
      <c r="F254" s="30"/>
      <c r="G254" s="21"/>
      <c r="H254" s="22"/>
      <c r="I254" s="23" t="str">
        <f t="array" ref="I254">IF($C254="","",IFERROR(INDEX('Master Leads'!$O$6:$O$495,MATCH($C254,'Master Leads'!$A$6:$A$495,0)),""))</f>
        <v/>
      </c>
      <c r="J254" s="21"/>
    </row>
    <row r="255" ht="15.75" customHeight="1">
      <c r="A255" s="21"/>
      <c r="B255" s="22"/>
      <c r="C255" s="21"/>
      <c r="D255" s="23" t="str">
        <f t="array" ref="D255">IF($C255="","",IFERROR(INDEX('Master Leads'!$C$6:$C$495,MATCH($C255,'Master Leads'!$A$6:$A$495,0)),""))</f>
        <v/>
      </c>
      <c r="E255" s="30"/>
      <c r="F255" s="30"/>
      <c r="G255" s="21"/>
      <c r="H255" s="22"/>
      <c r="I255" s="23" t="str">
        <f t="array" ref="I255">IF($C255="","",IFERROR(INDEX('Master Leads'!$O$6:$O$495,MATCH($C255,'Master Leads'!$A$6:$A$495,0)),""))</f>
        <v/>
      </c>
      <c r="J255" s="21"/>
    </row>
    <row r="256" ht="15.75" customHeight="1">
      <c r="A256" s="21"/>
      <c r="B256" s="22"/>
      <c r="C256" s="21"/>
      <c r="D256" s="23" t="str">
        <f t="array" ref="D256">IF($C256="","",IFERROR(INDEX('Master Leads'!$C$6:$C$495,MATCH($C256,'Master Leads'!$A$6:$A$495,0)),""))</f>
        <v/>
      </c>
      <c r="E256" s="30"/>
      <c r="F256" s="30"/>
      <c r="G256" s="21"/>
      <c r="H256" s="22"/>
      <c r="I256" s="23" t="str">
        <f t="array" ref="I256">IF($C256="","",IFERROR(INDEX('Master Leads'!$O$6:$O$495,MATCH($C256,'Master Leads'!$A$6:$A$495,0)),""))</f>
        <v/>
      </c>
      <c r="J256" s="21"/>
    </row>
    <row r="257" ht="15.75" customHeight="1">
      <c r="A257" s="21"/>
      <c r="B257" s="22"/>
      <c r="C257" s="21"/>
      <c r="D257" s="23" t="str">
        <f t="array" ref="D257">IF($C257="","",IFERROR(INDEX('Master Leads'!$C$6:$C$495,MATCH($C257,'Master Leads'!$A$6:$A$495,0)),""))</f>
        <v/>
      </c>
      <c r="E257" s="30"/>
      <c r="F257" s="30"/>
      <c r="G257" s="21"/>
      <c r="H257" s="22"/>
      <c r="I257" s="23" t="str">
        <f t="array" ref="I257">IF($C257="","",IFERROR(INDEX('Master Leads'!$O$6:$O$495,MATCH($C257,'Master Leads'!$A$6:$A$495,0)),""))</f>
        <v/>
      </c>
      <c r="J257" s="21"/>
    </row>
    <row r="258" ht="15.75" customHeight="1">
      <c r="A258" s="21"/>
      <c r="B258" s="22"/>
      <c r="C258" s="21"/>
      <c r="D258" s="23" t="str">
        <f t="array" ref="D258">IF($C258="","",IFERROR(INDEX('Master Leads'!$C$6:$C$495,MATCH($C258,'Master Leads'!$A$6:$A$495,0)),""))</f>
        <v/>
      </c>
      <c r="E258" s="30"/>
      <c r="F258" s="30"/>
      <c r="G258" s="21"/>
      <c r="H258" s="22"/>
      <c r="I258" s="23" t="str">
        <f t="array" ref="I258">IF($C258="","",IFERROR(INDEX('Master Leads'!$O$6:$O$495,MATCH($C258,'Master Leads'!$A$6:$A$495,0)),""))</f>
        <v/>
      </c>
      <c r="J258" s="21"/>
    </row>
    <row r="259" ht="15.75" customHeight="1">
      <c r="A259" s="21"/>
      <c r="B259" s="22"/>
      <c r="C259" s="21"/>
      <c r="D259" s="23" t="str">
        <f t="array" ref="D259">IF($C259="","",IFERROR(INDEX('Master Leads'!$C$6:$C$495,MATCH($C259,'Master Leads'!$A$6:$A$495,0)),""))</f>
        <v/>
      </c>
      <c r="E259" s="30"/>
      <c r="F259" s="30"/>
      <c r="G259" s="21"/>
      <c r="H259" s="22"/>
      <c r="I259" s="23" t="str">
        <f t="array" ref="I259">IF($C259="","",IFERROR(INDEX('Master Leads'!$O$6:$O$495,MATCH($C259,'Master Leads'!$A$6:$A$495,0)),""))</f>
        <v/>
      </c>
      <c r="J259" s="21"/>
    </row>
    <row r="260" ht="15.75" customHeight="1">
      <c r="A260" s="21"/>
      <c r="B260" s="22"/>
      <c r="C260" s="21"/>
      <c r="D260" s="23" t="str">
        <f t="array" ref="D260">IF($C260="","",IFERROR(INDEX('Master Leads'!$C$6:$C$495,MATCH($C260,'Master Leads'!$A$6:$A$495,0)),""))</f>
        <v/>
      </c>
      <c r="E260" s="30"/>
      <c r="F260" s="30"/>
      <c r="G260" s="21"/>
      <c r="H260" s="22"/>
      <c r="I260" s="23" t="str">
        <f t="array" ref="I260">IF($C260="","",IFERROR(INDEX('Master Leads'!$O$6:$O$495,MATCH($C260,'Master Leads'!$A$6:$A$495,0)),""))</f>
        <v/>
      </c>
      <c r="J260" s="21"/>
    </row>
    <row r="261" ht="15.75" customHeight="1">
      <c r="A261" s="21"/>
      <c r="B261" s="22"/>
      <c r="C261" s="21"/>
      <c r="D261" s="23" t="str">
        <f t="array" ref="D261">IF($C261="","",IFERROR(INDEX('Master Leads'!$C$6:$C$495,MATCH($C261,'Master Leads'!$A$6:$A$495,0)),""))</f>
        <v/>
      </c>
      <c r="E261" s="30"/>
      <c r="F261" s="30"/>
      <c r="G261" s="21"/>
      <c r="H261" s="22"/>
      <c r="I261" s="23" t="str">
        <f t="array" ref="I261">IF($C261="","",IFERROR(INDEX('Master Leads'!$O$6:$O$495,MATCH($C261,'Master Leads'!$A$6:$A$495,0)),""))</f>
        <v/>
      </c>
      <c r="J261" s="21"/>
    </row>
    <row r="262" ht="15.75" customHeight="1">
      <c r="A262" s="21"/>
      <c r="B262" s="22"/>
      <c r="C262" s="21"/>
      <c r="D262" s="23" t="str">
        <f t="array" ref="D262">IF($C262="","",IFERROR(INDEX('Master Leads'!$C$6:$C$495,MATCH($C262,'Master Leads'!$A$6:$A$495,0)),""))</f>
        <v/>
      </c>
      <c r="E262" s="30"/>
      <c r="F262" s="30"/>
      <c r="G262" s="21"/>
      <c r="H262" s="22"/>
      <c r="I262" s="23" t="str">
        <f t="array" ref="I262">IF($C262="","",IFERROR(INDEX('Master Leads'!$O$6:$O$495,MATCH($C262,'Master Leads'!$A$6:$A$495,0)),""))</f>
        <v/>
      </c>
      <c r="J262" s="21"/>
    </row>
    <row r="263" ht="15.75" customHeight="1">
      <c r="A263" s="21"/>
      <c r="B263" s="22"/>
      <c r="C263" s="21"/>
      <c r="D263" s="23" t="str">
        <f t="array" ref="D263">IF($C263="","",IFERROR(INDEX('Master Leads'!$C$6:$C$495,MATCH($C263,'Master Leads'!$A$6:$A$495,0)),""))</f>
        <v/>
      </c>
      <c r="E263" s="30"/>
      <c r="F263" s="30"/>
      <c r="G263" s="21"/>
      <c r="H263" s="22"/>
      <c r="I263" s="23" t="str">
        <f t="array" ref="I263">IF($C263="","",IFERROR(INDEX('Master Leads'!$O$6:$O$495,MATCH($C263,'Master Leads'!$A$6:$A$495,0)),""))</f>
        <v/>
      </c>
      <c r="J263" s="21"/>
    </row>
    <row r="264" ht="15.75" customHeight="1">
      <c r="A264" s="21"/>
      <c r="B264" s="22"/>
      <c r="C264" s="21"/>
      <c r="D264" s="23" t="str">
        <f t="array" ref="D264">IF($C264="","",IFERROR(INDEX('Master Leads'!$C$6:$C$495,MATCH($C264,'Master Leads'!$A$6:$A$495,0)),""))</f>
        <v/>
      </c>
      <c r="E264" s="30"/>
      <c r="F264" s="30"/>
      <c r="G264" s="21"/>
      <c r="H264" s="22"/>
      <c r="I264" s="23" t="str">
        <f t="array" ref="I264">IF($C264="","",IFERROR(INDEX('Master Leads'!$O$6:$O$495,MATCH($C264,'Master Leads'!$A$6:$A$495,0)),""))</f>
        <v/>
      </c>
      <c r="J264" s="21"/>
    </row>
    <row r="265" ht="15.75" customHeight="1">
      <c r="A265" s="21"/>
      <c r="B265" s="22"/>
      <c r="C265" s="21"/>
      <c r="D265" s="23" t="str">
        <f t="array" ref="D265">IF($C265="","",IFERROR(INDEX('Master Leads'!$C$6:$C$495,MATCH($C265,'Master Leads'!$A$6:$A$495,0)),""))</f>
        <v/>
      </c>
      <c r="E265" s="30"/>
      <c r="F265" s="30"/>
      <c r="G265" s="21"/>
      <c r="H265" s="22"/>
      <c r="I265" s="23" t="str">
        <f t="array" ref="I265">IF($C265="","",IFERROR(INDEX('Master Leads'!$O$6:$O$495,MATCH($C265,'Master Leads'!$A$6:$A$495,0)),""))</f>
        <v/>
      </c>
      <c r="J265" s="21"/>
    </row>
    <row r="266" ht="15.75" customHeight="1">
      <c r="A266" s="21"/>
      <c r="B266" s="22"/>
      <c r="C266" s="21"/>
      <c r="D266" s="23" t="str">
        <f t="array" ref="D266">IF($C266="","",IFERROR(INDEX('Master Leads'!$C$6:$C$495,MATCH($C266,'Master Leads'!$A$6:$A$495,0)),""))</f>
        <v/>
      </c>
      <c r="E266" s="30"/>
      <c r="F266" s="30"/>
      <c r="G266" s="21"/>
      <c r="H266" s="22"/>
      <c r="I266" s="23" t="str">
        <f t="array" ref="I266">IF($C266="","",IFERROR(INDEX('Master Leads'!$O$6:$O$495,MATCH($C266,'Master Leads'!$A$6:$A$495,0)),""))</f>
        <v/>
      </c>
      <c r="J266" s="21"/>
    </row>
    <row r="267" ht="15.75" customHeight="1">
      <c r="A267" s="21"/>
      <c r="B267" s="22"/>
      <c r="C267" s="21"/>
      <c r="D267" s="23" t="str">
        <f t="array" ref="D267">IF($C267="","",IFERROR(INDEX('Master Leads'!$C$6:$C$495,MATCH($C267,'Master Leads'!$A$6:$A$495,0)),""))</f>
        <v/>
      </c>
      <c r="E267" s="30"/>
      <c r="F267" s="30"/>
      <c r="G267" s="21"/>
      <c r="H267" s="22"/>
      <c r="I267" s="23" t="str">
        <f t="array" ref="I267">IF($C267="","",IFERROR(INDEX('Master Leads'!$O$6:$O$495,MATCH($C267,'Master Leads'!$A$6:$A$495,0)),""))</f>
        <v/>
      </c>
      <c r="J267" s="21"/>
    </row>
    <row r="268" ht="15.75" customHeight="1">
      <c r="A268" s="21"/>
      <c r="B268" s="22"/>
      <c r="C268" s="21"/>
      <c r="D268" s="23" t="str">
        <f t="array" ref="D268">IF($C268="","",IFERROR(INDEX('Master Leads'!$C$6:$C$495,MATCH($C268,'Master Leads'!$A$6:$A$495,0)),""))</f>
        <v/>
      </c>
      <c r="E268" s="30"/>
      <c r="F268" s="30"/>
      <c r="G268" s="21"/>
      <c r="H268" s="22"/>
      <c r="I268" s="23" t="str">
        <f t="array" ref="I268">IF($C268="","",IFERROR(INDEX('Master Leads'!$O$6:$O$495,MATCH($C268,'Master Leads'!$A$6:$A$495,0)),""))</f>
        <v/>
      </c>
      <c r="J268" s="21"/>
    </row>
    <row r="269" ht="15.75" customHeight="1">
      <c r="A269" s="21"/>
      <c r="B269" s="22"/>
      <c r="C269" s="21"/>
      <c r="D269" s="23" t="str">
        <f t="array" ref="D269">IF($C269="","",IFERROR(INDEX('Master Leads'!$C$6:$C$495,MATCH($C269,'Master Leads'!$A$6:$A$495,0)),""))</f>
        <v/>
      </c>
      <c r="E269" s="30"/>
      <c r="F269" s="30"/>
      <c r="G269" s="21"/>
      <c r="H269" s="22"/>
      <c r="I269" s="23" t="str">
        <f t="array" ref="I269">IF($C269="","",IFERROR(INDEX('Master Leads'!$O$6:$O$495,MATCH($C269,'Master Leads'!$A$6:$A$495,0)),""))</f>
        <v/>
      </c>
      <c r="J269" s="21"/>
    </row>
    <row r="270" ht="15.75" customHeight="1">
      <c r="A270" s="21"/>
      <c r="B270" s="22"/>
      <c r="C270" s="21"/>
      <c r="D270" s="23" t="str">
        <f t="array" ref="D270">IF($C270="","",IFERROR(INDEX('Master Leads'!$C$6:$C$495,MATCH($C270,'Master Leads'!$A$6:$A$495,0)),""))</f>
        <v/>
      </c>
      <c r="E270" s="30"/>
      <c r="F270" s="30"/>
      <c r="G270" s="21"/>
      <c r="H270" s="22"/>
      <c r="I270" s="23" t="str">
        <f t="array" ref="I270">IF($C270="","",IFERROR(INDEX('Master Leads'!$O$6:$O$495,MATCH($C270,'Master Leads'!$A$6:$A$495,0)),""))</f>
        <v/>
      </c>
      <c r="J270" s="21"/>
    </row>
    <row r="271" ht="15.75" customHeight="1">
      <c r="A271" s="21"/>
      <c r="B271" s="22"/>
      <c r="C271" s="21"/>
      <c r="D271" s="23" t="str">
        <f t="array" ref="D271">IF($C271="","",IFERROR(INDEX('Master Leads'!$C$6:$C$495,MATCH($C271,'Master Leads'!$A$6:$A$495,0)),""))</f>
        <v/>
      </c>
      <c r="E271" s="30"/>
      <c r="F271" s="30"/>
      <c r="G271" s="21"/>
      <c r="H271" s="22"/>
      <c r="I271" s="23" t="str">
        <f t="array" ref="I271">IF($C271="","",IFERROR(INDEX('Master Leads'!$O$6:$O$495,MATCH($C271,'Master Leads'!$A$6:$A$495,0)),""))</f>
        <v/>
      </c>
      <c r="J271" s="21"/>
    </row>
    <row r="272" ht="15.75" customHeight="1">
      <c r="A272" s="21"/>
      <c r="B272" s="22"/>
      <c r="C272" s="21"/>
      <c r="D272" s="23" t="str">
        <f t="array" ref="D272">IF($C272="","",IFERROR(INDEX('Master Leads'!$C$6:$C$495,MATCH($C272,'Master Leads'!$A$6:$A$495,0)),""))</f>
        <v/>
      </c>
      <c r="E272" s="30"/>
      <c r="F272" s="30"/>
      <c r="G272" s="21"/>
      <c r="H272" s="22"/>
      <c r="I272" s="23" t="str">
        <f t="array" ref="I272">IF($C272="","",IFERROR(INDEX('Master Leads'!$O$6:$O$495,MATCH($C272,'Master Leads'!$A$6:$A$495,0)),""))</f>
        <v/>
      </c>
      <c r="J272" s="21"/>
    </row>
    <row r="273" ht="15.75" customHeight="1">
      <c r="A273" s="21"/>
      <c r="B273" s="22"/>
      <c r="C273" s="21"/>
      <c r="D273" s="23" t="str">
        <f t="array" ref="D273">IF($C273="","",IFERROR(INDEX('Master Leads'!$C$6:$C$495,MATCH($C273,'Master Leads'!$A$6:$A$495,0)),""))</f>
        <v/>
      </c>
      <c r="E273" s="30"/>
      <c r="F273" s="30"/>
      <c r="G273" s="21"/>
      <c r="H273" s="22"/>
      <c r="I273" s="23" t="str">
        <f t="array" ref="I273">IF($C273="","",IFERROR(INDEX('Master Leads'!$O$6:$O$495,MATCH($C273,'Master Leads'!$A$6:$A$495,0)),""))</f>
        <v/>
      </c>
      <c r="J273" s="21"/>
    </row>
    <row r="274" ht="15.75" customHeight="1">
      <c r="A274" s="21"/>
      <c r="B274" s="22"/>
      <c r="C274" s="21"/>
      <c r="D274" s="23" t="str">
        <f t="array" ref="D274">IF($C274="","",IFERROR(INDEX('Master Leads'!$C$6:$C$495,MATCH($C274,'Master Leads'!$A$6:$A$495,0)),""))</f>
        <v/>
      </c>
      <c r="E274" s="30"/>
      <c r="F274" s="30"/>
      <c r="G274" s="21"/>
      <c r="H274" s="22"/>
      <c r="I274" s="23" t="str">
        <f t="array" ref="I274">IF($C274="","",IFERROR(INDEX('Master Leads'!$O$6:$O$495,MATCH($C274,'Master Leads'!$A$6:$A$495,0)),""))</f>
        <v/>
      </c>
      <c r="J274" s="21"/>
    </row>
    <row r="275" ht="15.75" customHeight="1">
      <c r="A275" s="21"/>
      <c r="B275" s="22"/>
      <c r="C275" s="21"/>
      <c r="D275" s="23" t="str">
        <f t="array" ref="D275">IF($C275="","",IFERROR(INDEX('Master Leads'!$C$6:$C$495,MATCH($C275,'Master Leads'!$A$6:$A$495,0)),""))</f>
        <v/>
      </c>
      <c r="E275" s="30"/>
      <c r="F275" s="30"/>
      <c r="G275" s="21"/>
      <c r="H275" s="22"/>
      <c r="I275" s="23" t="str">
        <f t="array" ref="I275">IF($C275="","",IFERROR(INDEX('Master Leads'!$O$6:$O$495,MATCH($C275,'Master Leads'!$A$6:$A$495,0)),""))</f>
        <v/>
      </c>
      <c r="J275" s="21"/>
    </row>
    <row r="276" ht="15.75" customHeight="1">
      <c r="A276" s="21"/>
      <c r="B276" s="22"/>
      <c r="C276" s="21"/>
      <c r="D276" s="23" t="str">
        <f t="array" ref="D276">IF($C276="","",IFERROR(INDEX('Master Leads'!$C$6:$C$495,MATCH($C276,'Master Leads'!$A$6:$A$495,0)),""))</f>
        <v/>
      </c>
      <c r="E276" s="30"/>
      <c r="F276" s="30"/>
      <c r="G276" s="21"/>
      <c r="H276" s="22"/>
      <c r="I276" s="23" t="str">
        <f t="array" ref="I276">IF($C276="","",IFERROR(INDEX('Master Leads'!$O$6:$O$495,MATCH($C276,'Master Leads'!$A$6:$A$495,0)),""))</f>
        <v/>
      </c>
      <c r="J276" s="21"/>
    </row>
    <row r="277" ht="15.75" customHeight="1">
      <c r="A277" s="21"/>
      <c r="B277" s="22"/>
      <c r="C277" s="21"/>
      <c r="D277" s="23" t="str">
        <f t="array" ref="D277">IF($C277="","",IFERROR(INDEX('Master Leads'!$C$6:$C$495,MATCH($C277,'Master Leads'!$A$6:$A$495,0)),""))</f>
        <v/>
      </c>
      <c r="E277" s="30"/>
      <c r="F277" s="30"/>
      <c r="G277" s="21"/>
      <c r="H277" s="22"/>
      <c r="I277" s="23" t="str">
        <f t="array" ref="I277">IF($C277="","",IFERROR(INDEX('Master Leads'!$O$6:$O$495,MATCH($C277,'Master Leads'!$A$6:$A$495,0)),""))</f>
        <v/>
      </c>
      <c r="J277" s="21"/>
    </row>
    <row r="278" ht="15.75" customHeight="1">
      <c r="A278" s="21"/>
      <c r="B278" s="22"/>
      <c r="C278" s="21"/>
      <c r="D278" s="23" t="str">
        <f t="array" ref="D278">IF($C278="","",IFERROR(INDEX('Master Leads'!$C$6:$C$495,MATCH($C278,'Master Leads'!$A$6:$A$495,0)),""))</f>
        <v/>
      </c>
      <c r="E278" s="30"/>
      <c r="F278" s="30"/>
      <c r="G278" s="21"/>
      <c r="H278" s="22"/>
      <c r="I278" s="23" t="str">
        <f t="array" ref="I278">IF($C278="","",IFERROR(INDEX('Master Leads'!$O$6:$O$495,MATCH($C278,'Master Leads'!$A$6:$A$495,0)),""))</f>
        <v/>
      </c>
      <c r="J278" s="21"/>
    </row>
    <row r="279" ht="15.75" customHeight="1">
      <c r="A279" s="21"/>
      <c r="B279" s="22"/>
      <c r="C279" s="21"/>
      <c r="D279" s="23" t="str">
        <f t="array" ref="D279">IF($C279="","",IFERROR(INDEX('Master Leads'!$C$6:$C$495,MATCH($C279,'Master Leads'!$A$6:$A$495,0)),""))</f>
        <v/>
      </c>
      <c r="E279" s="30"/>
      <c r="F279" s="30"/>
      <c r="G279" s="21"/>
      <c r="H279" s="22"/>
      <c r="I279" s="23" t="str">
        <f t="array" ref="I279">IF($C279="","",IFERROR(INDEX('Master Leads'!$O$6:$O$495,MATCH($C279,'Master Leads'!$A$6:$A$495,0)),""))</f>
        <v/>
      </c>
      <c r="J279" s="21"/>
    </row>
    <row r="280" ht="15.75" customHeight="1">
      <c r="A280" s="21"/>
      <c r="B280" s="22"/>
      <c r="C280" s="21"/>
      <c r="D280" s="23" t="str">
        <f t="array" ref="D280">IF($C280="","",IFERROR(INDEX('Master Leads'!$C$6:$C$495,MATCH($C280,'Master Leads'!$A$6:$A$495,0)),""))</f>
        <v/>
      </c>
      <c r="E280" s="30"/>
      <c r="F280" s="30"/>
      <c r="G280" s="21"/>
      <c r="H280" s="22"/>
      <c r="I280" s="23" t="str">
        <f t="array" ref="I280">IF($C280="","",IFERROR(INDEX('Master Leads'!$O$6:$O$495,MATCH($C280,'Master Leads'!$A$6:$A$495,0)),""))</f>
        <v/>
      </c>
      <c r="J280" s="21"/>
    </row>
    <row r="281" ht="15.75" customHeight="1">
      <c r="A281" s="21"/>
      <c r="B281" s="22"/>
      <c r="C281" s="21"/>
      <c r="D281" s="23" t="str">
        <f t="array" ref="D281">IF($C281="","",IFERROR(INDEX('Master Leads'!$C$6:$C$495,MATCH($C281,'Master Leads'!$A$6:$A$495,0)),""))</f>
        <v/>
      </c>
      <c r="E281" s="30"/>
      <c r="F281" s="30"/>
      <c r="G281" s="21"/>
      <c r="H281" s="22"/>
      <c r="I281" s="23" t="str">
        <f t="array" ref="I281">IF($C281="","",IFERROR(INDEX('Master Leads'!$O$6:$O$495,MATCH($C281,'Master Leads'!$A$6:$A$495,0)),""))</f>
        <v/>
      </c>
      <c r="J281" s="21"/>
    </row>
    <row r="282" ht="15.75" customHeight="1">
      <c r="A282" s="21"/>
      <c r="B282" s="22"/>
      <c r="C282" s="21"/>
      <c r="D282" s="23" t="str">
        <f t="array" ref="D282">IF($C282="","",IFERROR(INDEX('Master Leads'!$C$6:$C$495,MATCH($C282,'Master Leads'!$A$6:$A$495,0)),""))</f>
        <v/>
      </c>
      <c r="E282" s="30"/>
      <c r="F282" s="30"/>
      <c r="G282" s="21"/>
      <c r="H282" s="22"/>
      <c r="I282" s="23" t="str">
        <f t="array" ref="I282">IF($C282="","",IFERROR(INDEX('Master Leads'!$O$6:$O$495,MATCH($C282,'Master Leads'!$A$6:$A$495,0)),""))</f>
        <v/>
      </c>
      <c r="J282" s="21"/>
    </row>
    <row r="283" ht="15.75" customHeight="1">
      <c r="A283" s="21"/>
      <c r="B283" s="22"/>
      <c r="C283" s="21"/>
      <c r="D283" s="23" t="str">
        <f t="array" ref="D283">IF($C283="","",IFERROR(INDEX('Master Leads'!$C$6:$C$495,MATCH($C283,'Master Leads'!$A$6:$A$495,0)),""))</f>
        <v/>
      </c>
      <c r="E283" s="30"/>
      <c r="F283" s="30"/>
      <c r="G283" s="21"/>
      <c r="H283" s="22"/>
      <c r="I283" s="23" t="str">
        <f t="array" ref="I283">IF($C283="","",IFERROR(INDEX('Master Leads'!$O$6:$O$495,MATCH($C283,'Master Leads'!$A$6:$A$495,0)),""))</f>
        <v/>
      </c>
      <c r="J283" s="21"/>
    </row>
    <row r="284" ht="15.75" customHeight="1">
      <c r="A284" s="21"/>
      <c r="B284" s="22"/>
      <c r="C284" s="21"/>
      <c r="D284" s="23" t="str">
        <f t="array" ref="D284">IF($C284="","",IFERROR(INDEX('Master Leads'!$C$6:$C$495,MATCH($C284,'Master Leads'!$A$6:$A$495,0)),""))</f>
        <v/>
      </c>
      <c r="E284" s="30"/>
      <c r="F284" s="30"/>
      <c r="G284" s="21"/>
      <c r="H284" s="22"/>
      <c r="I284" s="23" t="str">
        <f t="array" ref="I284">IF($C284="","",IFERROR(INDEX('Master Leads'!$O$6:$O$495,MATCH($C284,'Master Leads'!$A$6:$A$495,0)),""))</f>
        <v/>
      </c>
      <c r="J284" s="21"/>
    </row>
    <row r="285" ht="15.75" customHeight="1">
      <c r="A285" s="21"/>
      <c r="B285" s="22"/>
      <c r="C285" s="21"/>
      <c r="D285" s="23" t="str">
        <f t="array" ref="D285">IF($C285="","",IFERROR(INDEX('Master Leads'!$C$6:$C$495,MATCH($C285,'Master Leads'!$A$6:$A$495,0)),""))</f>
        <v/>
      </c>
      <c r="E285" s="30"/>
      <c r="F285" s="30"/>
      <c r="G285" s="21"/>
      <c r="H285" s="22"/>
      <c r="I285" s="23" t="str">
        <f t="array" ref="I285">IF($C285="","",IFERROR(INDEX('Master Leads'!$O$6:$O$495,MATCH($C285,'Master Leads'!$A$6:$A$495,0)),""))</f>
        <v/>
      </c>
      <c r="J285" s="21"/>
    </row>
    <row r="286" ht="15.75" customHeight="1">
      <c r="A286" s="21"/>
      <c r="B286" s="22"/>
      <c r="C286" s="21"/>
      <c r="D286" s="23" t="str">
        <f t="array" ref="D286">IF($C286="","",IFERROR(INDEX('Master Leads'!$C$6:$C$495,MATCH($C286,'Master Leads'!$A$6:$A$495,0)),""))</f>
        <v/>
      </c>
      <c r="E286" s="30"/>
      <c r="F286" s="30"/>
      <c r="G286" s="21"/>
      <c r="H286" s="22"/>
      <c r="I286" s="23" t="str">
        <f t="array" ref="I286">IF($C286="","",IFERROR(INDEX('Master Leads'!$O$6:$O$495,MATCH($C286,'Master Leads'!$A$6:$A$495,0)),""))</f>
        <v/>
      </c>
      <c r="J286" s="21"/>
    </row>
    <row r="287" ht="15.75" customHeight="1">
      <c r="A287" s="21"/>
      <c r="B287" s="22"/>
      <c r="C287" s="21"/>
      <c r="D287" s="23" t="str">
        <f t="array" ref="D287">IF($C287="","",IFERROR(INDEX('Master Leads'!$C$6:$C$495,MATCH($C287,'Master Leads'!$A$6:$A$495,0)),""))</f>
        <v/>
      </c>
      <c r="E287" s="30"/>
      <c r="F287" s="30"/>
      <c r="G287" s="21"/>
      <c r="H287" s="22"/>
      <c r="I287" s="23" t="str">
        <f t="array" ref="I287">IF($C287="","",IFERROR(INDEX('Master Leads'!$O$6:$O$495,MATCH($C287,'Master Leads'!$A$6:$A$495,0)),""))</f>
        <v/>
      </c>
      <c r="J287" s="21"/>
    </row>
    <row r="288" ht="15.75" customHeight="1">
      <c r="A288" s="21"/>
      <c r="B288" s="22"/>
      <c r="C288" s="21"/>
      <c r="D288" s="23" t="str">
        <f t="array" ref="D288">IF($C288="","",IFERROR(INDEX('Master Leads'!$C$6:$C$495,MATCH($C288,'Master Leads'!$A$6:$A$495,0)),""))</f>
        <v/>
      </c>
      <c r="E288" s="30"/>
      <c r="F288" s="30"/>
      <c r="G288" s="21"/>
      <c r="H288" s="22"/>
      <c r="I288" s="23" t="str">
        <f t="array" ref="I288">IF($C288="","",IFERROR(INDEX('Master Leads'!$O$6:$O$495,MATCH($C288,'Master Leads'!$A$6:$A$495,0)),""))</f>
        <v/>
      </c>
      <c r="J288" s="21"/>
    </row>
    <row r="289" ht="15.75" customHeight="1">
      <c r="A289" s="21"/>
      <c r="B289" s="22"/>
      <c r="C289" s="21"/>
      <c r="D289" s="23" t="str">
        <f t="array" ref="D289">IF($C289="","",IFERROR(INDEX('Master Leads'!$C$6:$C$495,MATCH($C289,'Master Leads'!$A$6:$A$495,0)),""))</f>
        <v/>
      </c>
      <c r="E289" s="30"/>
      <c r="F289" s="30"/>
      <c r="G289" s="21"/>
      <c r="H289" s="22"/>
      <c r="I289" s="23" t="str">
        <f t="array" ref="I289">IF($C289="","",IFERROR(INDEX('Master Leads'!$O$6:$O$495,MATCH($C289,'Master Leads'!$A$6:$A$495,0)),""))</f>
        <v/>
      </c>
      <c r="J289" s="21"/>
    </row>
    <row r="290" ht="15.75" customHeight="1">
      <c r="A290" s="21"/>
      <c r="B290" s="22"/>
      <c r="C290" s="21"/>
      <c r="D290" s="23" t="str">
        <f t="array" ref="D290">IF($C290="","",IFERROR(INDEX('Master Leads'!$C$6:$C$495,MATCH($C290,'Master Leads'!$A$6:$A$495,0)),""))</f>
        <v/>
      </c>
      <c r="E290" s="30"/>
      <c r="F290" s="30"/>
      <c r="G290" s="21"/>
      <c r="H290" s="22"/>
      <c r="I290" s="23" t="str">
        <f t="array" ref="I290">IF($C290="","",IFERROR(INDEX('Master Leads'!$O$6:$O$495,MATCH($C290,'Master Leads'!$A$6:$A$495,0)),""))</f>
        <v/>
      </c>
      <c r="J290" s="21"/>
    </row>
    <row r="291" ht="15.75" customHeight="1">
      <c r="A291" s="21"/>
      <c r="B291" s="22"/>
      <c r="C291" s="21"/>
      <c r="D291" s="23" t="str">
        <f t="array" ref="D291">IF($C291="","",IFERROR(INDEX('Master Leads'!$C$6:$C$495,MATCH($C291,'Master Leads'!$A$6:$A$495,0)),""))</f>
        <v/>
      </c>
      <c r="E291" s="30"/>
      <c r="F291" s="30"/>
      <c r="G291" s="21"/>
      <c r="H291" s="22"/>
      <c r="I291" s="23" t="str">
        <f t="array" ref="I291">IF($C291="","",IFERROR(INDEX('Master Leads'!$O$6:$O$495,MATCH($C291,'Master Leads'!$A$6:$A$495,0)),""))</f>
        <v/>
      </c>
      <c r="J291" s="21"/>
    </row>
    <row r="292" ht="15.75" customHeight="1">
      <c r="A292" s="21"/>
      <c r="B292" s="22"/>
      <c r="C292" s="21"/>
      <c r="D292" s="23" t="str">
        <f t="array" ref="D292">IF($C292="","",IFERROR(INDEX('Master Leads'!$C$6:$C$495,MATCH($C292,'Master Leads'!$A$6:$A$495,0)),""))</f>
        <v/>
      </c>
      <c r="E292" s="30"/>
      <c r="F292" s="30"/>
      <c r="G292" s="21"/>
      <c r="H292" s="22"/>
      <c r="I292" s="23" t="str">
        <f t="array" ref="I292">IF($C292="","",IFERROR(INDEX('Master Leads'!$O$6:$O$495,MATCH($C292,'Master Leads'!$A$6:$A$495,0)),""))</f>
        <v/>
      </c>
      <c r="J292" s="21"/>
    </row>
    <row r="293" ht="15.75" customHeight="1">
      <c r="A293" s="21"/>
      <c r="B293" s="22"/>
      <c r="C293" s="21"/>
      <c r="D293" s="23" t="str">
        <f t="array" ref="D293">IF($C293="","",IFERROR(INDEX('Master Leads'!$C$6:$C$495,MATCH($C293,'Master Leads'!$A$6:$A$495,0)),""))</f>
        <v/>
      </c>
      <c r="E293" s="30"/>
      <c r="F293" s="30"/>
      <c r="G293" s="21"/>
      <c r="H293" s="22"/>
      <c r="I293" s="23" t="str">
        <f t="array" ref="I293">IF($C293="","",IFERROR(INDEX('Master Leads'!$O$6:$O$495,MATCH($C293,'Master Leads'!$A$6:$A$495,0)),""))</f>
        <v/>
      </c>
      <c r="J293" s="21"/>
    </row>
    <row r="294" ht="15.75" customHeight="1">
      <c r="A294" s="21"/>
      <c r="B294" s="22"/>
      <c r="C294" s="21"/>
      <c r="D294" s="23" t="str">
        <f t="array" ref="D294">IF($C294="","",IFERROR(INDEX('Master Leads'!$C$6:$C$495,MATCH($C294,'Master Leads'!$A$6:$A$495,0)),""))</f>
        <v/>
      </c>
      <c r="E294" s="30"/>
      <c r="F294" s="30"/>
      <c r="G294" s="21"/>
      <c r="H294" s="22"/>
      <c r="I294" s="23" t="str">
        <f t="array" ref="I294">IF($C294="","",IFERROR(INDEX('Master Leads'!$O$6:$O$495,MATCH($C294,'Master Leads'!$A$6:$A$495,0)),""))</f>
        <v/>
      </c>
      <c r="J294" s="21"/>
    </row>
    <row r="295" ht="15.75" customHeight="1">
      <c r="A295" s="21"/>
      <c r="B295" s="22"/>
      <c r="C295" s="21"/>
      <c r="D295" s="23" t="str">
        <f t="array" ref="D295">IF($C295="","",IFERROR(INDEX('Master Leads'!$C$6:$C$495,MATCH($C295,'Master Leads'!$A$6:$A$495,0)),""))</f>
        <v/>
      </c>
      <c r="E295" s="30"/>
      <c r="F295" s="30"/>
      <c r="G295" s="21"/>
      <c r="H295" s="22"/>
      <c r="I295" s="23" t="str">
        <f t="array" ref="I295">IF($C295="","",IFERROR(INDEX('Master Leads'!$O$6:$O$495,MATCH($C295,'Master Leads'!$A$6:$A$495,0)),""))</f>
        <v/>
      </c>
      <c r="J295" s="21"/>
    </row>
    <row r="296" ht="15.75" customHeight="1">
      <c r="A296" s="21"/>
      <c r="B296" s="22"/>
      <c r="C296" s="21"/>
      <c r="D296" s="23" t="str">
        <f t="array" ref="D296">IF($C296="","",IFERROR(INDEX('Master Leads'!$C$6:$C$495,MATCH($C296,'Master Leads'!$A$6:$A$495,0)),""))</f>
        <v/>
      </c>
      <c r="E296" s="30"/>
      <c r="F296" s="30"/>
      <c r="G296" s="21"/>
      <c r="H296" s="22"/>
      <c r="I296" s="23" t="str">
        <f t="array" ref="I296">IF($C296="","",IFERROR(INDEX('Master Leads'!$O$6:$O$495,MATCH($C296,'Master Leads'!$A$6:$A$495,0)),""))</f>
        <v/>
      </c>
      <c r="J296" s="21"/>
    </row>
    <row r="297" ht="15.75" customHeight="1">
      <c r="A297" s="21"/>
      <c r="B297" s="22"/>
      <c r="C297" s="21"/>
      <c r="D297" s="23" t="str">
        <f t="array" ref="D297">IF($C297="","",IFERROR(INDEX('Master Leads'!$C$6:$C$495,MATCH($C297,'Master Leads'!$A$6:$A$495,0)),""))</f>
        <v/>
      </c>
      <c r="E297" s="30"/>
      <c r="F297" s="30"/>
      <c r="G297" s="21"/>
      <c r="H297" s="22"/>
      <c r="I297" s="23" t="str">
        <f t="array" ref="I297">IF($C297="","",IFERROR(INDEX('Master Leads'!$O$6:$O$495,MATCH($C297,'Master Leads'!$A$6:$A$495,0)),""))</f>
        <v/>
      </c>
      <c r="J297" s="21"/>
    </row>
    <row r="298" ht="15.75" customHeight="1">
      <c r="A298" s="21"/>
      <c r="B298" s="22"/>
      <c r="C298" s="21"/>
      <c r="D298" s="23" t="str">
        <f t="array" ref="D298">IF($C298="","",IFERROR(INDEX('Master Leads'!$C$6:$C$495,MATCH($C298,'Master Leads'!$A$6:$A$495,0)),""))</f>
        <v/>
      </c>
      <c r="E298" s="30"/>
      <c r="F298" s="30"/>
      <c r="G298" s="21"/>
      <c r="H298" s="22"/>
      <c r="I298" s="23" t="str">
        <f t="array" ref="I298">IF($C298="","",IFERROR(INDEX('Master Leads'!$O$6:$O$495,MATCH($C298,'Master Leads'!$A$6:$A$495,0)),""))</f>
        <v/>
      </c>
      <c r="J298" s="21"/>
    </row>
    <row r="299" ht="15.75" customHeight="1">
      <c r="A299" s="21"/>
      <c r="B299" s="22"/>
      <c r="C299" s="21"/>
      <c r="D299" s="23" t="str">
        <f t="array" ref="D299">IF($C299="","",IFERROR(INDEX('Master Leads'!$C$6:$C$495,MATCH($C299,'Master Leads'!$A$6:$A$495,0)),""))</f>
        <v/>
      </c>
      <c r="E299" s="30"/>
      <c r="F299" s="30"/>
      <c r="G299" s="21"/>
      <c r="H299" s="22"/>
      <c r="I299" s="23" t="str">
        <f t="array" ref="I299">IF($C299="","",IFERROR(INDEX('Master Leads'!$O$6:$O$495,MATCH($C299,'Master Leads'!$A$6:$A$495,0)),""))</f>
        <v/>
      </c>
      <c r="J299" s="21"/>
    </row>
    <row r="300" ht="15.75" customHeight="1">
      <c r="A300" s="21"/>
      <c r="B300" s="22"/>
      <c r="C300" s="21"/>
      <c r="D300" s="23" t="str">
        <f t="array" ref="D300">IF($C300="","",IFERROR(INDEX('Master Leads'!$C$6:$C$495,MATCH($C300,'Master Leads'!$A$6:$A$495,0)),""))</f>
        <v/>
      </c>
      <c r="E300" s="30"/>
      <c r="F300" s="30"/>
      <c r="G300" s="21"/>
      <c r="H300" s="22"/>
      <c r="I300" s="23" t="str">
        <f t="array" ref="I300">IF($C300="","",IFERROR(INDEX('Master Leads'!$O$6:$O$495,MATCH($C300,'Master Leads'!$A$6:$A$495,0)),""))</f>
        <v/>
      </c>
      <c r="J300" s="21"/>
    </row>
    <row r="301" ht="15.75" customHeight="1">
      <c r="A301" s="21"/>
      <c r="B301" s="22"/>
      <c r="C301" s="21"/>
      <c r="D301" s="23" t="str">
        <f t="array" ref="D301">IF($C301="","",IFERROR(INDEX('Master Leads'!$C$6:$C$495,MATCH($C301,'Master Leads'!$A$6:$A$495,0)),""))</f>
        <v/>
      </c>
      <c r="E301" s="30"/>
      <c r="F301" s="30"/>
      <c r="G301" s="21"/>
      <c r="H301" s="22"/>
      <c r="I301" s="23" t="str">
        <f t="array" ref="I301">IF($C301="","",IFERROR(INDEX('Master Leads'!$O$6:$O$495,MATCH($C301,'Master Leads'!$A$6:$A$495,0)),""))</f>
        <v/>
      </c>
      <c r="J301" s="21"/>
    </row>
    <row r="302" ht="15.75" customHeight="1">
      <c r="A302" s="21"/>
      <c r="B302" s="22"/>
      <c r="C302" s="21"/>
      <c r="D302" s="23" t="str">
        <f t="array" ref="D302">IF($C302="","",IFERROR(INDEX('Master Leads'!$C$6:$C$495,MATCH($C302,'Master Leads'!$A$6:$A$495,0)),""))</f>
        <v/>
      </c>
      <c r="E302" s="30"/>
      <c r="F302" s="30"/>
      <c r="G302" s="21"/>
      <c r="H302" s="22"/>
      <c r="I302" s="23" t="str">
        <f t="array" ref="I302">IF($C302="","",IFERROR(INDEX('Master Leads'!$O$6:$O$495,MATCH($C302,'Master Leads'!$A$6:$A$495,0)),""))</f>
        <v/>
      </c>
      <c r="J302" s="21"/>
    </row>
    <row r="303" ht="15.75" customHeight="1">
      <c r="A303" s="21"/>
      <c r="B303" s="22"/>
      <c r="C303" s="21"/>
      <c r="D303" s="23" t="str">
        <f t="array" ref="D303">IF($C303="","",IFERROR(INDEX('Master Leads'!$C$6:$C$495,MATCH($C303,'Master Leads'!$A$6:$A$495,0)),""))</f>
        <v/>
      </c>
      <c r="E303" s="30"/>
      <c r="F303" s="30"/>
      <c r="G303" s="21"/>
      <c r="H303" s="22"/>
      <c r="I303" s="23" t="str">
        <f t="array" ref="I303">IF($C303="","",IFERROR(INDEX('Master Leads'!$O$6:$O$495,MATCH($C303,'Master Leads'!$A$6:$A$495,0)),""))</f>
        <v/>
      </c>
      <c r="J303" s="21"/>
    </row>
    <row r="304" ht="15.75" customHeight="1">
      <c r="A304" s="21"/>
      <c r="B304" s="22"/>
      <c r="C304" s="21"/>
      <c r="D304" s="23" t="str">
        <f t="array" ref="D304">IF($C304="","",IFERROR(INDEX('Master Leads'!$C$6:$C$495,MATCH($C304,'Master Leads'!$A$6:$A$495,0)),""))</f>
        <v/>
      </c>
      <c r="E304" s="30"/>
      <c r="F304" s="30"/>
      <c r="G304" s="21"/>
      <c r="H304" s="22"/>
      <c r="I304" s="23" t="str">
        <f t="array" ref="I304">IF($C304="","",IFERROR(INDEX('Master Leads'!$O$6:$O$495,MATCH($C304,'Master Leads'!$A$6:$A$495,0)),""))</f>
        <v/>
      </c>
      <c r="J304" s="21"/>
    </row>
    <row r="305" ht="15.75" customHeight="1">
      <c r="A305" s="21"/>
      <c r="B305" s="22"/>
      <c r="C305" s="21"/>
      <c r="D305" s="23" t="str">
        <f t="array" ref="D305">IF($C305="","",IFERROR(INDEX('Master Leads'!$C$6:$C$495,MATCH($C305,'Master Leads'!$A$6:$A$495,0)),""))</f>
        <v/>
      </c>
      <c r="E305" s="30"/>
      <c r="F305" s="30"/>
      <c r="G305" s="21"/>
      <c r="H305" s="22"/>
      <c r="I305" s="23" t="str">
        <f t="array" ref="I305">IF($C305="","",IFERROR(INDEX('Master Leads'!$O$6:$O$495,MATCH($C305,'Master Leads'!$A$6:$A$495,0)),""))</f>
        <v/>
      </c>
      <c r="J305" s="21"/>
    </row>
    <row r="306" ht="15.75" customHeight="1">
      <c r="A306" s="21"/>
      <c r="B306" s="22"/>
      <c r="C306" s="21"/>
      <c r="D306" s="23" t="str">
        <f t="array" ref="D306">IF($C306="","",IFERROR(INDEX('Master Leads'!$C$6:$C$495,MATCH($C306,'Master Leads'!$A$6:$A$495,0)),""))</f>
        <v/>
      </c>
      <c r="E306" s="30"/>
      <c r="F306" s="30"/>
      <c r="G306" s="21"/>
      <c r="H306" s="22"/>
      <c r="I306" s="23" t="str">
        <f t="array" ref="I306">IF($C306="","",IFERROR(INDEX('Master Leads'!$O$6:$O$495,MATCH($C306,'Master Leads'!$A$6:$A$495,0)),""))</f>
        <v/>
      </c>
      <c r="J306" s="21"/>
    </row>
    <row r="307" ht="15.75" customHeight="1">
      <c r="A307" s="21"/>
      <c r="B307" s="22"/>
      <c r="C307" s="21"/>
      <c r="D307" s="23" t="str">
        <f t="array" ref="D307">IF($C307="","",IFERROR(INDEX('Master Leads'!$C$6:$C$495,MATCH($C307,'Master Leads'!$A$6:$A$495,0)),""))</f>
        <v/>
      </c>
      <c r="E307" s="30"/>
      <c r="F307" s="30"/>
      <c r="G307" s="21"/>
      <c r="H307" s="22"/>
      <c r="I307" s="23" t="str">
        <f t="array" ref="I307">IF($C307="","",IFERROR(INDEX('Master Leads'!$O$6:$O$495,MATCH($C307,'Master Leads'!$A$6:$A$495,0)),""))</f>
        <v/>
      </c>
      <c r="J307" s="21"/>
    </row>
    <row r="308" ht="15.75" customHeight="1">
      <c r="A308" s="21"/>
      <c r="B308" s="22"/>
      <c r="C308" s="21"/>
      <c r="D308" s="23" t="str">
        <f t="array" ref="D308">IF($C308="","",IFERROR(INDEX('Master Leads'!$C$6:$C$495,MATCH($C308,'Master Leads'!$A$6:$A$495,0)),""))</f>
        <v/>
      </c>
      <c r="E308" s="30"/>
      <c r="F308" s="30"/>
      <c r="G308" s="21"/>
      <c r="H308" s="22"/>
      <c r="I308" s="23" t="str">
        <f t="array" ref="I308">IF($C308="","",IFERROR(INDEX('Master Leads'!$O$6:$O$495,MATCH($C308,'Master Leads'!$A$6:$A$495,0)),""))</f>
        <v/>
      </c>
      <c r="J308" s="21"/>
    </row>
    <row r="309" ht="15.75" customHeight="1">
      <c r="A309" s="21"/>
      <c r="B309" s="22"/>
      <c r="C309" s="21"/>
      <c r="D309" s="23" t="str">
        <f t="array" ref="D309">IF($C309="","",IFERROR(INDEX('Master Leads'!$C$6:$C$495,MATCH($C309,'Master Leads'!$A$6:$A$495,0)),""))</f>
        <v/>
      </c>
      <c r="E309" s="30"/>
      <c r="F309" s="30"/>
      <c r="G309" s="21"/>
      <c r="H309" s="22"/>
      <c r="I309" s="23" t="str">
        <f t="array" ref="I309">IF($C309="","",IFERROR(INDEX('Master Leads'!$O$6:$O$495,MATCH($C309,'Master Leads'!$A$6:$A$495,0)),""))</f>
        <v/>
      </c>
      <c r="J309" s="21"/>
    </row>
    <row r="310" ht="15.75" customHeight="1">
      <c r="A310" s="21"/>
      <c r="B310" s="22"/>
      <c r="C310" s="21"/>
      <c r="D310" s="23" t="str">
        <f t="array" ref="D310">IF($C310="","",IFERROR(INDEX('Master Leads'!$C$6:$C$495,MATCH($C310,'Master Leads'!$A$6:$A$495,0)),""))</f>
        <v/>
      </c>
      <c r="E310" s="30"/>
      <c r="F310" s="30"/>
      <c r="G310" s="21"/>
      <c r="H310" s="22"/>
      <c r="I310" s="23" t="str">
        <f t="array" ref="I310">IF($C310="","",IFERROR(INDEX('Master Leads'!$O$6:$O$495,MATCH($C310,'Master Leads'!$A$6:$A$495,0)),""))</f>
        <v/>
      </c>
      <c r="J310" s="21"/>
    </row>
    <row r="311" ht="15.75" customHeight="1">
      <c r="A311" s="21"/>
      <c r="B311" s="22"/>
      <c r="C311" s="21"/>
      <c r="D311" s="23" t="str">
        <f t="array" ref="D311">IF($C311="","",IFERROR(INDEX('Master Leads'!$C$6:$C$495,MATCH($C311,'Master Leads'!$A$6:$A$495,0)),""))</f>
        <v/>
      </c>
      <c r="E311" s="30"/>
      <c r="F311" s="30"/>
      <c r="G311" s="21"/>
      <c r="H311" s="22"/>
      <c r="I311" s="23" t="str">
        <f t="array" ref="I311">IF($C311="","",IFERROR(INDEX('Master Leads'!$O$6:$O$495,MATCH($C311,'Master Leads'!$A$6:$A$495,0)),""))</f>
        <v/>
      </c>
      <c r="J311" s="21"/>
    </row>
    <row r="312" ht="15.75" customHeight="1">
      <c r="A312" s="21"/>
      <c r="B312" s="22"/>
      <c r="C312" s="21"/>
      <c r="D312" s="23" t="str">
        <f t="array" ref="D312">IF($C312="","",IFERROR(INDEX('Master Leads'!$C$6:$C$495,MATCH($C312,'Master Leads'!$A$6:$A$495,0)),""))</f>
        <v/>
      </c>
      <c r="E312" s="30"/>
      <c r="F312" s="30"/>
      <c r="G312" s="21"/>
      <c r="H312" s="22"/>
      <c r="I312" s="23" t="str">
        <f t="array" ref="I312">IF($C312="","",IFERROR(INDEX('Master Leads'!$O$6:$O$495,MATCH($C312,'Master Leads'!$A$6:$A$495,0)),""))</f>
        <v/>
      </c>
      <c r="J312" s="21"/>
    </row>
    <row r="313" ht="15.75" customHeight="1">
      <c r="A313" s="21"/>
      <c r="B313" s="22"/>
      <c r="C313" s="21"/>
      <c r="D313" s="23" t="str">
        <f t="array" ref="D313">IF($C313="","",IFERROR(INDEX('Master Leads'!$C$6:$C$495,MATCH($C313,'Master Leads'!$A$6:$A$495,0)),""))</f>
        <v/>
      </c>
      <c r="E313" s="30"/>
      <c r="F313" s="30"/>
      <c r="G313" s="21"/>
      <c r="H313" s="22"/>
      <c r="I313" s="23" t="str">
        <f t="array" ref="I313">IF($C313="","",IFERROR(INDEX('Master Leads'!$O$6:$O$495,MATCH($C313,'Master Leads'!$A$6:$A$495,0)),""))</f>
        <v/>
      </c>
      <c r="J313" s="21"/>
    </row>
    <row r="314" ht="15.75" customHeight="1">
      <c r="A314" s="21"/>
      <c r="B314" s="22"/>
      <c r="C314" s="21"/>
      <c r="D314" s="23" t="str">
        <f t="array" ref="D314">IF($C314="","",IFERROR(INDEX('Master Leads'!$C$6:$C$495,MATCH($C314,'Master Leads'!$A$6:$A$495,0)),""))</f>
        <v/>
      </c>
      <c r="E314" s="30"/>
      <c r="F314" s="30"/>
      <c r="G314" s="21"/>
      <c r="H314" s="22"/>
      <c r="I314" s="23" t="str">
        <f t="array" ref="I314">IF($C314="","",IFERROR(INDEX('Master Leads'!$O$6:$O$495,MATCH($C314,'Master Leads'!$A$6:$A$495,0)),""))</f>
        <v/>
      </c>
      <c r="J314" s="21"/>
    </row>
    <row r="315" ht="15.75" customHeight="1">
      <c r="A315" s="21"/>
      <c r="B315" s="22"/>
      <c r="C315" s="21"/>
      <c r="D315" s="23" t="str">
        <f t="array" ref="D315">IF($C315="","",IFERROR(INDEX('Master Leads'!$C$6:$C$495,MATCH($C315,'Master Leads'!$A$6:$A$495,0)),""))</f>
        <v/>
      </c>
      <c r="E315" s="30"/>
      <c r="F315" s="30"/>
      <c r="G315" s="21"/>
      <c r="H315" s="22"/>
      <c r="I315" s="23" t="str">
        <f t="array" ref="I315">IF($C315="","",IFERROR(INDEX('Master Leads'!$O$6:$O$495,MATCH($C315,'Master Leads'!$A$6:$A$495,0)),""))</f>
        <v/>
      </c>
      <c r="J315" s="21"/>
    </row>
    <row r="316" ht="15.75" customHeight="1">
      <c r="A316" s="21"/>
      <c r="B316" s="22"/>
      <c r="C316" s="21"/>
      <c r="D316" s="23" t="str">
        <f t="array" ref="D316">IF($C316="","",IFERROR(INDEX('Master Leads'!$C$6:$C$495,MATCH($C316,'Master Leads'!$A$6:$A$495,0)),""))</f>
        <v/>
      </c>
      <c r="E316" s="30"/>
      <c r="F316" s="30"/>
      <c r="G316" s="21"/>
      <c r="H316" s="22"/>
      <c r="I316" s="23" t="str">
        <f t="array" ref="I316">IF($C316="","",IFERROR(INDEX('Master Leads'!$O$6:$O$495,MATCH($C316,'Master Leads'!$A$6:$A$495,0)),""))</f>
        <v/>
      </c>
      <c r="J316" s="21"/>
    </row>
    <row r="317" ht="15.75" customHeight="1">
      <c r="A317" s="21"/>
      <c r="B317" s="22"/>
      <c r="C317" s="21"/>
      <c r="D317" s="23" t="str">
        <f t="array" ref="D317">IF($C317="","",IFERROR(INDEX('Master Leads'!$C$6:$C$495,MATCH($C317,'Master Leads'!$A$6:$A$495,0)),""))</f>
        <v/>
      </c>
      <c r="E317" s="30"/>
      <c r="F317" s="30"/>
      <c r="G317" s="21"/>
      <c r="H317" s="22"/>
      <c r="I317" s="23" t="str">
        <f t="array" ref="I317">IF($C317="","",IFERROR(INDEX('Master Leads'!$O$6:$O$495,MATCH($C317,'Master Leads'!$A$6:$A$495,0)),""))</f>
        <v/>
      </c>
      <c r="J317" s="21"/>
    </row>
    <row r="318" ht="15.75" customHeight="1">
      <c r="A318" s="21"/>
      <c r="B318" s="22"/>
      <c r="C318" s="21"/>
      <c r="D318" s="23" t="str">
        <f t="array" ref="D318">IF($C318="","",IFERROR(INDEX('Master Leads'!$C$6:$C$495,MATCH($C318,'Master Leads'!$A$6:$A$495,0)),""))</f>
        <v/>
      </c>
      <c r="E318" s="30"/>
      <c r="F318" s="30"/>
      <c r="G318" s="21"/>
      <c r="H318" s="22"/>
      <c r="I318" s="23" t="str">
        <f t="array" ref="I318">IF($C318="","",IFERROR(INDEX('Master Leads'!$O$6:$O$495,MATCH($C318,'Master Leads'!$A$6:$A$495,0)),""))</f>
        <v/>
      </c>
      <c r="J318" s="21"/>
    </row>
    <row r="319" ht="15.75" customHeight="1">
      <c r="A319" s="21"/>
      <c r="B319" s="22"/>
      <c r="C319" s="21"/>
      <c r="D319" s="23" t="str">
        <f t="array" ref="D319">IF($C319="","",IFERROR(INDEX('Master Leads'!$C$6:$C$495,MATCH($C319,'Master Leads'!$A$6:$A$495,0)),""))</f>
        <v/>
      </c>
      <c r="E319" s="30"/>
      <c r="F319" s="30"/>
      <c r="G319" s="21"/>
      <c r="H319" s="22"/>
      <c r="I319" s="23" t="str">
        <f t="array" ref="I319">IF($C319="","",IFERROR(INDEX('Master Leads'!$O$6:$O$495,MATCH($C319,'Master Leads'!$A$6:$A$495,0)),""))</f>
        <v/>
      </c>
      <c r="J319" s="21"/>
    </row>
    <row r="320" ht="15.75" customHeight="1">
      <c r="A320" s="21"/>
      <c r="B320" s="22"/>
      <c r="C320" s="21"/>
      <c r="D320" s="23" t="str">
        <f t="array" ref="D320">IF($C320="","",IFERROR(INDEX('Master Leads'!$C$6:$C$495,MATCH($C320,'Master Leads'!$A$6:$A$495,0)),""))</f>
        <v/>
      </c>
      <c r="E320" s="30"/>
      <c r="F320" s="30"/>
      <c r="G320" s="21"/>
      <c r="H320" s="22"/>
      <c r="I320" s="23" t="str">
        <f t="array" ref="I320">IF($C320="","",IFERROR(INDEX('Master Leads'!$O$6:$O$495,MATCH($C320,'Master Leads'!$A$6:$A$495,0)),""))</f>
        <v/>
      </c>
      <c r="J320" s="21"/>
    </row>
    <row r="321" ht="15.75" customHeight="1">
      <c r="A321" s="21"/>
      <c r="B321" s="22"/>
      <c r="C321" s="21"/>
      <c r="D321" s="23" t="str">
        <f t="array" ref="D321">IF($C321="","",IFERROR(INDEX('Master Leads'!$C$6:$C$495,MATCH($C321,'Master Leads'!$A$6:$A$495,0)),""))</f>
        <v/>
      </c>
      <c r="E321" s="30"/>
      <c r="F321" s="30"/>
      <c r="G321" s="21"/>
      <c r="H321" s="22"/>
      <c r="I321" s="23" t="str">
        <f t="array" ref="I321">IF($C321="","",IFERROR(INDEX('Master Leads'!$O$6:$O$495,MATCH($C321,'Master Leads'!$A$6:$A$495,0)),""))</f>
        <v/>
      </c>
      <c r="J321" s="21"/>
    </row>
    <row r="322" ht="15.75" customHeight="1">
      <c r="A322" s="21"/>
      <c r="B322" s="22"/>
      <c r="C322" s="21"/>
      <c r="D322" s="23" t="str">
        <f t="array" ref="D322">IF($C322="","",IFERROR(INDEX('Master Leads'!$C$6:$C$495,MATCH($C322,'Master Leads'!$A$6:$A$495,0)),""))</f>
        <v/>
      </c>
      <c r="E322" s="30"/>
      <c r="F322" s="30"/>
      <c r="G322" s="21"/>
      <c r="H322" s="22"/>
      <c r="I322" s="23" t="str">
        <f t="array" ref="I322">IF($C322="","",IFERROR(INDEX('Master Leads'!$O$6:$O$495,MATCH($C322,'Master Leads'!$A$6:$A$495,0)),""))</f>
        <v/>
      </c>
      <c r="J322" s="21"/>
    </row>
    <row r="323" ht="15.75" customHeight="1">
      <c r="A323" s="21"/>
      <c r="B323" s="22"/>
      <c r="C323" s="21"/>
      <c r="D323" s="23" t="str">
        <f t="array" ref="D323">IF($C323="","",IFERROR(INDEX('Master Leads'!$C$6:$C$495,MATCH($C323,'Master Leads'!$A$6:$A$495,0)),""))</f>
        <v/>
      </c>
      <c r="E323" s="30"/>
      <c r="F323" s="30"/>
      <c r="G323" s="21"/>
      <c r="H323" s="22"/>
      <c r="I323" s="23" t="str">
        <f t="array" ref="I323">IF($C323="","",IFERROR(INDEX('Master Leads'!$O$6:$O$495,MATCH($C323,'Master Leads'!$A$6:$A$495,0)),""))</f>
        <v/>
      </c>
      <c r="J323" s="21"/>
    </row>
    <row r="324" ht="15.75" customHeight="1">
      <c r="A324" s="21"/>
      <c r="B324" s="22"/>
      <c r="C324" s="21"/>
      <c r="D324" s="23" t="str">
        <f t="array" ref="D324">IF($C324="","",IFERROR(INDEX('Master Leads'!$C$6:$C$495,MATCH($C324,'Master Leads'!$A$6:$A$495,0)),""))</f>
        <v/>
      </c>
      <c r="E324" s="30"/>
      <c r="F324" s="30"/>
      <c r="G324" s="21"/>
      <c r="H324" s="22"/>
      <c r="I324" s="23" t="str">
        <f t="array" ref="I324">IF($C324="","",IFERROR(INDEX('Master Leads'!$O$6:$O$495,MATCH($C324,'Master Leads'!$A$6:$A$495,0)),""))</f>
        <v/>
      </c>
      <c r="J324" s="21"/>
    </row>
    <row r="325" ht="15.75" customHeight="1">
      <c r="A325" s="21"/>
      <c r="B325" s="22"/>
      <c r="C325" s="21"/>
      <c r="D325" s="23" t="str">
        <f t="array" ref="D325">IF($C325="","",IFERROR(INDEX('Master Leads'!$C$6:$C$495,MATCH($C325,'Master Leads'!$A$6:$A$495,0)),""))</f>
        <v/>
      </c>
      <c r="E325" s="30"/>
      <c r="F325" s="30"/>
      <c r="G325" s="21"/>
      <c r="H325" s="22"/>
      <c r="I325" s="23" t="str">
        <f t="array" ref="I325">IF($C325="","",IFERROR(INDEX('Master Leads'!$O$6:$O$495,MATCH($C325,'Master Leads'!$A$6:$A$495,0)),""))</f>
        <v/>
      </c>
      <c r="J325" s="21"/>
    </row>
    <row r="326" ht="15.75" customHeight="1">
      <c r="A326" s="21"/>
      <c r="B326" s="22"/>
      <c r="C326" s="21"/>
      <c r="D326" s="23" t="str">
        <f t="array" ref="D326">IF($C326="","",IFERROR(INDEX('Master Leads'!$C$6:$C$495,MATCH($C326,'Master Leads'!$A$6:$A$495,0)),""))</f>
        <v/>
      </c>
      <c r="E326" s="30"/>
      <c r="F326" s="30"/>
      <c r="G326" s="21"/>
      <c r="H326" s="22"/>
      <c r="I326" s="23" t="str">
        <f t="array" ref="I326">IF($C326="","",IFERROR(INDEX('Master Leads'!$O$6:$O$495,MATCH($C326,'Master Leads'!$A$6:$A$495,0)),""))</f>
        <v/>
      </c>
      <c r="J326" s="21"/>
    </row>
    <row r="327" ht="15.75" customHeight="1">
      <c r="A327" s="21"/>
      <c r="B327" s="22"/>
      <c r="C327" s="21"/>
      <c r="D327" s="23" t="str">
        <f t="array" ref="D327">IF($C327="","",IFERROR(INDEX('Master Leads'!$C$6:$C$495,MATCH($C327,'Master Leads'!$A$6:$A$495,0)),""))</f>
        <v/>
      </c>
      <c r="E327" s="30"/>
      <c r="F327" s="30"/>
      <c r="G327" s="21"/>
      <c r="H327" s="22"/>
      <c r="I327" s="23" t="str">
        <f t="array" ref="I327">IF($C327="","",IFERROR(INDEX('Master Leads'!$O$6:$O$495,MATCH($C327,'Master Leads'!$A$6:$A$495,0)),""))</f>
        <v/>
      </c>
      <c r="J327" s="21"/>
    </row>
    <row r="328" ht="15.75" customHeight="1">
      <c r="A328" s="21"/>
      <c r="B328" s="22"/>
      <c r="C328" s="21"/>
      <c r="D328" s="23" t="str">
        <f t="array" ref="D328">IF($C328="","",IFERROR(INDEX('Master Leads'!$C$6:$C$495,MATCH($C328,'Master Leads'!$A$6:$A$495,0)),""))</f>
        <v/>
      </c>
      <c r="E328" s="30"/>
      <c r="F328" s="30"/>
      <c r="G328" s="21"/>
      <c r="H328" s="22"/>
      <c r="I328" s="23" t="str">
        <f t="array" ref="I328">IF($C328="","",IFERROR(INDEX('Master Leads'!$O$6:$O$495,MATCH($C328,'Master Leads'!$A$6:$A$495,0)),""))</f>
        <v/>
      </c>
      <c r="J328" s="21"/>
    </row>
    <row r="329" ht="15.75" customHeight="1">
      <c r="A329" s="21"/>
      <c r="B329" s="22"/>
      <c r="C329" s="21"/>
      <c r="D329" s="23" t="str">
        <f t="array" ref="D329">IF($C329="","",IFERROR(INDEX('Master Leads'!$C$6:$C$495,MATCH($C329,'Master Leads'!$A$6:$A$495,0)),""))</f>
        <v/>
      </c>
      <c r="E329" s="30"/>
      <c r="F329" s="30"/>
      <c r="G329" s="21"/>
      <c r="H329" s="22"/>
      <c r="I329" s="23" t="str">
        <f t="array" ref="I329">IF($C329="","",IFERROR(INDEX('Master Leads'!$O$6:$O$495,MATCH($C329,'Master Leads'!$A$6:$A$495,0)),""))</f>
        <v/>
      </c>
      <c r="J329" s="21"/>
    </row>
    <row r="330" ht="15.75" customHeight="1">
      <c r="A330" s="21"/>
      <c r="B330" s="22"/>
      <c r="C330" s="21"/>
      <c r="D330" s="23" t="str">
        <f t="array" ref="D330">IF($C330="","",IFERROR(INDEX('Master Leads'!$C$6:$C$495,MATCH($C330,'Master Leads'!$A$6:$A$495,0)),""))</f>
        <v/>
      </c>
      <c r="E330" s="30"/>
      <c r="F330" s="30"/>
      <c r="G330" s="21"/>
      <c r="H330" s="22"/>
      <c r="I330" s="23" t="str">
        <f t="array" ref="I330">IF($C330="","",IFERROR(INDEX('Master Leads'!$O$6:$O$495,MATCH($C330,'Master Leads'!$A$6:$A$495,0)),""))</f>
        <v/>
      </c>
      <c r="J330" s="21"/>
    </row>
    <row r="331" ht="15.75" customHeight="1">
      <c r="A331" s="21"/>
      <c r="B331" s="22"/>
      <c r="C331" s="21"/>
      <c r="D331" s="23" t="str">
        <f t="array" ref="D331">IF($C331="","",IFERROR(INDEX('Master Leads'!$C$6:$C$495,MATCH($C331,'Master Leads'!$A$6:$A$495,0)),""))</f>
        <v/>
      </c>
      <c r="E331" s="30"/>
      <c r="F331" s="30"/>
      <c r="G331" s="21"/>
      <c r="H331" s="22"/>
      <c r="I331" s="23" t="str">
        <f t="array" ref="I331">IF($C331="","",IFERROR(INDEX('Master Leads'!$O$6:$O$495,MATCH($C331,'Master Leads'!$A$6:$A$495,0)),""))</f>
        <v/>
      </c>
      <c r="J331" s="21"/>
    </row>
    <row r="332" ht="15.75" customHeight="1">
      <c r="A332" s="21"/>
      <c r="B332" s="22"/>
      <c r="C332" s="21"/>
      <c r="D332" s="23" t="str">
        <f t="array" ref="D332">IF($C332="","",IFERROR(INDEX('Master Leads'!$C$6:$C$495,MATCH($C332,'Master Leads'!$A$6:$A$495,0)),""))</f>
        <v/>
      </c>
      <c r="E332" s="30"/>
      <c r="F332" s="30"/>
      <c r="G332" s="21"/>
      <c r="H332" s="22"/>
      <c r="I332" s="23" t="str">
        <f t="array" ref="I332">IF($C332="","",IFERROR(INDEX('Master Leads'!$O$6:$O$495,MATCH($C332,'Master Leads'!$A$6:$A$495,0)),""))</f>
        <v/>
      </c>
      <c r="J332" s="21"/>
    </row>
    <row r="333" ht="15.75" customHeight="1">
      <c r="A333" s="21"/>
      <c r="B333" s="22"/>
      <c r="C333" s="21"/>
      <c r="D333" s="23" t="str">
        <f t="array" ref="D333">IF($C333="","",IFERROR(INDEX('Master Leads'!$C$6:$C$495,MATCH($C333,'Master Leads'!$A$6:$A$495,0)),""))</f>
        <v/>
      </c>
      <c r="E333" s="30"/>
      <c r="F333" s="30"/>
      <c r="G333" s="21"/>
      <c r="H333" s="22"/>
      <c r="I333" s="23" t="str">
        <f t="array" ref="I333">IF($C333="","",IFERROR(INDEX('Master Leads'!$O$6:$O$495,MATCH($C333,'Master Leads'!$A$6:$A$495,0)),""))</f>
        <v/>
      </c>
      <c r="J333" s="21"/>
    </row>
    <row r="334" ht="15.75" customHeight="1">
      <c r="A334" s="21"/>
      <c r="B334" s="22"/>
      <c r="C334" s="21"/>
      <c r="D334" s="23" t="str">
        <f t="array" ref="D334">IF($C334="","",IFERROR(INDEX('Master Leads'!$C$6:$C$495,MATCH($C334,'Master Leads'!$A$6:$A$495,0)),""))</f>
        <v/>
      </c>
      <c r="E334" s="30"/>
      <c r="F334" s="30"/>
      <c r="G334" s="21"/>
      <c r="H334" s="22"/>
      <c r="I334" s="23" t="str">
        <f t="array" ref="I334">IF($C334="","",IFERROR(INDEX('Master Leads'!$O$6:$O$495,MATCH($C334,'Master Leads'!$A$6:$A$495,0)),""))</f>
        <v/>
      </c>
      <c r="J334" s="21"/>
    </row>
    <row r="335" ht="15.75" customHeight="1">
      <c r="A335" s="21"/>
      <c r="B335" s="22"/>
      <c r="C335" s="21"/>
      <c r="D335" s="23" t="str">
        <f t="array" ref="D335">IF($C335="","",IFERROR(INDEX('Master Leads'!$C$6:$C$495,MATCH($C335,'Master Leads'!$A$6:$A$495,0)),""))</f>
        <v/>
      </c>
      <c r="E335" s="30"/>
      <c r="F335" s="30"/>
      <c r="G335" s="21"/>
      <c r="H335" s="22"/>
      <c r="I335" s="23" t="str">
        <f t="array" ref="I335">IF($C335="","",IFERROR(INDEX('Master Leads'!$O$6:$O$495,MATCH($C335,'Master Leads'!$A$6:$A$495,0)),""))</f>
        <v/>
      </c>
      <c r="J335" s="21"/>
    </row>
    <row r="336" ht="15.75" customHeight="1">
      <c r="A336" s="21"/>
      <c r="B336" s="22"/>
      <c r="C336" s="21"/>
      <c r="D336" s="23" t="str">
        <f t="array" ref="D336">IF($C336="","",IFERROR(INDEX('Master Leads'!$C$6:$C$495,MATCH($C336,'Master Leads'!$A$6:$A$495,0)),""))</f>
        <v/>
      </c>
      <c r="E336" s="30"/>
      <c r="F336" s="30"/>
      <c r="G336" s="21"/>
      <c r="H336" s="22"/>
      <c r="I336" s="23" t="str">
        <f t="array" ref="I336">IF($C336="","",IFERROR(INDEX('Master Leads'!$O$6:$O$495,MATCH($C336,'Master Leads'!$A$6:$A$495,0)),""))</f>
        <v/>
      </c>
      <c r="J336" s="21"/>
    </row>
    <row r="337" ht="15.75" customHeight="1">
      <c r="A337" s="21"/>
      <c r="B337" s="22"/>
      <c r="C337" s="21"/>
      <c r="D337" s="23" t="str">
        <f t="array" ref="D337">IF($C337="","",IFERROR(INDEX('Master Leads'!$C$6:$C$495,MATCH($C337,'Master Leads'!$A$6:$A$495,0)),""))</f>
        <v/>
      </c>
      <c r="E337" s="30"/>
      <c r="F337" s="30"/>
      <c r="G337" s="21"/>
      <c r="H337" s="22"/>
      <c r="I337" s="23" t="str">
        <f t="array" ref="I337">IF($C337="","",IFERROR(INDEX('Master Leads'!$O$6:$O$495,MATCH($C337,'Master Leads'!$A$6:$A$495,0)),""))</f>
        <v/>
      </c>
      <c r="J337" s="21"/>
    </row>
    <row r="338" ht="15.75" customHeight="1">
      <c r="A338" s="21"/>
      <c r="B338" s="22"/>
      <c r="C338" s="21"/>
      <c r="D338" s="23" t="str">
        <f t="array" ref="D338">IF($C338="","",IFERROR(INDEX('Master Leads'!$C$6:$C$495,MATCH($C338,'Master Leads'!$A$6:$A$495,0)),""))</f>
        <v/>
      </c>
      <c r="E338" s="30"/>
      <c r="F338" s="30"/>
      <c r="G338" s="21"/>
      <c r="H338" s="22"/>
      <c r="I338" s="23" t="str">
        <f t="array" ref="I338">IF($C338="","",IFERROR(INDEX('Master Leads'!$O$6:$O$495,MATCH($C338,'Master Leads'!$A$6:$A$495,0)),""))</f>
        <v/>
      </c>
      <c r="J338" s="21"/>
    </row>
    <row r="339" ht="15.75" customHeight="1">
      <c r="A339" s="21"/>
      <c r="B339" s="22"/>
      <c r="C339" s="21"/>
      <c r="D339" s="23" t="str">
        <f t="array" ref="D339">IF($C339="","",IFERROR(INDEX('Master Leads'!$C$6:$C$495,MATCH($C339,'Master Leads'!$A$6:$A$495,0)),""))</f>
        <v/>
      </c>
      <c r="E339" s="30"/>
      <c r="F339" s="30"/>
      <c r="G339" s="21"/>
      <c r="H339" s="22"/>
      <c r="I339" s="23" t="str">
        <f t="array" ref="I339">IF($C339="","",IFERROR(INDEX('Master Leads'!$O$6:$O$495,MATCH($C339,'Master Leads'!$A$6:$A$495,0)),""))</f>
        <v/>
      </c>
      <c r="J339" s="21"/>
    </row>
    <row r="340" ht="15.75" customHeight="1">
      <c r="A340" s="21"/>
      <c r="B340" s="22"/>
      <c r="C340" s="21"/>
      <c r="D340" s="23" t="str">
        <f t="array" ref="D340">IF($C340="","",IFERROR(INDEX('Master Leads'!$C$6:$C$495,MATCH($C340,'Master Leads'!$A$6:$A$495,0)),""))</f>
        <v/>
      </c>
      <c r="E340" s="30"/>
      <c r="F340" s="30"/>
      <c r="G340" s="21"/>
      <c r="H340" s="22"/>
      <c r="I340" s="23" t="str">
        <f t="array" ref="I340">IF($C340="","",IFERROR(INDEX('Master Leads'!$O$6:$O$495,MATCH($C340,'Master Leads'!$A$6:$A$495,0)),""))</f>
        <v/>
      </c>
      <c r="J340" s="21"/>
    </row>
    <row r="341" ht="15.75" customHeight="1">
      <c r="A341" s="21"/>
      <c r="B341" s="22"/>
      <c r="C341" s="21"/>
      <c r="D341" s="23" t="str">
        <f t="array" ref="D341">IF($C341="","",IFERROR(INDEX('Master Leads'!$C$6:$C$495,MATCH($C341,'Master Leads'!$A$6:$A$495,0)),""))</f>
        <v/>
      </c>
      <c r="E341" s="30"/>
      <c r="F341" s="30"/>
      <c r="G341" s="21"/>
      <c r="H341" s="22"/>
      <c r="I341" s="23" t="str">
        <f t="array" ref="I341">IF($C341="","",IFERROR(INDEX('Master Leads'!$O$6:$O$495,MATCH($C341,'Master Leads'!$A$6:$A$495,0)),""))</f>
        <v/>
      </c>
      <c r="J341" s="21"/>
    </row>
    <row r="342" ht="15.75" customHeight="1">
      <c r="A342" s="21"/>
      <c r="B342" s="22"/>
      <c r="C342" s="21"/>
      <c r="D342" s="23" t="str">
        <f t="array" ref="D342">IF($C342="","",IFERROR(INDEX('Master Leads'!$C$6:$C$495,MATCH($C342,'Master Leads'!$A$6:$A$495,0)),""))</f>
        <v/>
      </c>
      <c r="E342" s="30"/>
      <c r="F342" s="30"/>
      <c r="G342" s="21"/>
      <c r="H342" s="22"/>
      <c r="I342" s="23" t="str">
        <f t="array" ref="I342">IF($C342="","",IFERROR(INDEX('Master Leads'!$O$6:$O$495,MATCH($C342,'Master Leads'!$A$6:$A$495,0)),""))</f>
        <v/>
      </c>
      <c r="J342" s="21"/>
    </row>
    <row r="343" ht="15.75" customHeight="1">
      <c r="A343" s="21"/>
      <c r="B343" s="22"/>
      <c r="C343" s="21"/>
      <c r="D343" s="23" t="str">
        <f t="array" ref="D343">IF($C343="","",IFERROR(INDEX('Master Leads'!$C$6:$C$495,MATCH($C343,'Master Leads'!$A$6:$A$495,0)),""))</f>
        <v/>
      </c>
      <c r="E343" s="30"/>
      <c r="F343" s="30"/>
      <c r="G343" s="21"/>
      <c r="H343" s="22"/>
      <c r="I343" s="23" t="str">
        <f t="array" ref="I343">IF($C343="","",IFERROR(INDEX('Master Leads'!$O$6:$O$495,MATCH($C343,'Master Leads'!$A$6:$A$495,0)),""))</f>
        <v/>
      </c>
      <c r="J343" s="21"/>
    </row>
    <row r="344" ht="15.75" customHeight="1">
      <c r="A344" s="21"/>
      <c r="B344" s="22"/>
      <c r="C344" s="21"/>
      <c r="D344" s="23" t="str">
        <f t="array" ref="D344">IF($C344="","",IFERROR(INDEX('Master Leads'!$C$6:$C$495,MATCH($C344,'Master Leads'!$A$6:$A$495,0)),""))</f>
        <v/>
      </c>
      <c r="E344" s="30"/>
      <c r="F344" s="30"/>
      <c r="G344" s="21"/>
      <c r="H344" s="22"/>
      <c r="I344" s="23" t="str">
        <f t="array" ref="I344">IF($C344="","",IFERROR(INDEX('Master Leads'!$O$6:$O$495,MATCH($C344,'Master Leads'!$A$6:$A$495,0)),""))</f>
        <v/>
      </c>
      <c r="J344" s="21"/>
    </row>
    <row r="345" ht="15.75" customHeight="1">
      <c r="A345" s="21"/>
      <c r="B345" s="22"/>
      <c r="C345" s="21"/>
      <c r="D345" s="23" t="str">
        <f t="array" ref="D345">IF($C345="","",IFERROR(INDEX('Master Leads'!$C$6:$C$495,MATCH($C345,'Master Leads'!$A$6:$A$495,0)),""))</f>
        <v/>
      </c>
      <c r="E345" s="30"/>
      <c r="F345" s="30"/>
      <c r="G345" s="21"/>
      <c r="H345" s="22"/>
      <c r="I345" s="23" t="str">
        <f t="array" ref="I345">IF($C345="","",IFERROR(INDEX('Master Leads'!$O$6:$O$495,MATCH($C345,'Master Leads'!$A$6:$A$495,0)),""))</f>
        <v/>
      </c>
      <c r="J345" s="21"/>
    </row>
    <row r="346" ht="15.75" customHeight="1">
      <c r="A346" s="21"/>
      <c r="B346" s="22"/>
      <c r="C346" s="21"/>
      <c r="D346" s="23" t="str">
        <f t="array" ref="D346">IF($C346="","",IFERROR(INDEX('Master Leads'!$C$6:$C$495,MATCH($C346,'Master Leads'!$A$6:$A$495,0)),""))</f>
        <v/>
      </c>
      <c r="E346" s="30"/>
      <c r="F346" s="30"/>
      <c r="G346" s="21"/>
      <c r="H346" s="22"/>
      <c r="I346" s="23" t="str">
        <f t="array" ref="I346">IF($C346="","",IFERROR(INDEX('Master Leads'!$O$6:$O$495,MATCH($C346,'Master Leads'!$A$6:$A$495,0)),""))</f>
        <v/>
      </c>
      <c r="J346" s="21"/>
    </row>
    <row r="347" ht="15.75" customHeight="1">
      <c r="A347" s="21"/>
      <c r="B347" s="22"/>
      <c r="C347" s="21"/>
      <c r="D347" s="23" t="str">
        <f t="array" ref="D347">IF($C347="","",IFERROR(INDEX('Master Leads'!$C$6:$C$495,MATCH($C347,'Master Leads'!$A$6:$A$495,0)),""))</f>
        <v/>
      </c>
      <c r="E347" s="30"/>
      <c r="F347" s="30"/>
      <c r="G347" s="21"/>
      <c r="H347" s="22"/>
      <c r="I347" s="23" t="str">
        <f t="array" ref="I347">IF($C347="","",IFERROR(INDEX('Master Leads'!$O$6:$O$495,MATCH($C347,'Master Leads'!$A$6:$A$495,0)),""))</f>
        <v/>
      </c>
      <c r="J347" s="21"/>
    </row>
    <row r="348" ht="15.75" customHeight="1">
      <c r="A348" s="21"/>
      <c r="B348" s="22"/>
      <c r="C348" s="21"/>
      <c r="D348" s="23" t="str">
        <f t="array" ref="D348">IF($C348="","",IFERROR(INDEX('Master Leads'!$C$6:$C$495,MATCH($C348,'Master Leads'!$A$6:$A$495,0)),""))</f>
        <v/>
      </c>
      <c r="E348" s="30"/>
      <c r="F348" s="30"/>
      <c r="G348" s="21"/>
      <c r="H348" s="22"/>
      <c r="I348" s="23" t="str">
        <f t="array" ref="I348">IF($C348="","",IFERROR(INDEX('Master Leads'!$O$6:$O$495,MATCH($C348,'Master Leads'!$A$6:$A$495,0)),""))</f>
        <v/>
      </c>
      <c r="J348" s="21"/>
    </row>
    <row r="349" ht="15.75" customHeight="1">
      <c r="A349" s="21"/>
      <c r="B349" s="22"/>
      <c r="C349" s="21"/>
      <c r="D349" s="23" t="str">
        <f t="array" ref="D349">IF($C349="","",IFERROR(INDEX('Master Leads'!$C$6:$C$495,MATCH($C349,'Master Leads'!$A$6:$A$495,0)),""))</f>
        <v/>
      </c>
      <c r="E349" s="30"/>
      <c r="F349" s="30"/>
      <c r="G349" s="21"/>
      <c r="H349" s="22"/>
      <c r="I349" s="23" t="str">
        <f t="array" ref="I349">IF($C349="","",IFERROR(INDEX('Master Leads'!$O$6:$O$495,MATCH($C349,'Master Leads'!$A$6:$A$495,0)),""))</f>
        <v/>
      </c>
      <c r="J349" s="21"/>
    </row>
    <row r="350" ht="15.75" customHeight="1">
      <c r="A350" s="21"/>
      <c r="B350" s="22"/>
      <c r="C350" s="21"/>
      <c r="D350" s="23" t="str">
        <f t="array" ref="D350">IF($C350="","",IFERROR(INDEX('Master Leads'!$C$6:$C$495,MATCH($C350,'Master Leads'!$A$6:$A$495,0)),""))</f>
        <v/>
      </c>
      <c r="E350" s="30"/>
      <c r="F350" s="30"/>
      <c r="G350" s="21"/>
      <c r="H350" s="22"/>
      <c r="I350" s="23" t="str">
        <f t="array" ref="I350">IF($C350="","",IFERROR(INDEX('Master Leads'!$O$6:$O$495,MATCH($C350,'Master Leads'!$A$6:$A$495,0)),""))</f>
        <v/>
      </c>
      <c r="J350" s="21"/>
    </row>
    <row r="351" ht="15.75" customHeight="1">
      <c r="A351" s="21"/>
      <c r="B351" s="22"/>
      <c r="C351" s="21"/>
      <c r="D351" s="23" t="str">
        <f t="array" ref="D351">IF($C351="","",IFERROR(INDEX('Master Leads'!$C$6:$C$495,MATCH($C351,'Master Leads'!$A$6:$A$495,0)),""))</f>
        <v/>
      </c>
      <c r="E351" s="30"/>
      <c r="F351" s="30"/>
      <c r="G351" s="21"/>
      <c r="H351" s="22"/>
      <c r="I351" s="23" t="str">
        <f t="array" ref="I351">IF($C351="","",IFERROR(INDEX('Master Leads'!$O$6:$O$495,MATCH($C351,'Master Leads'!$A$6:$A$495,0)),""))</f>
        <v/>
      </c>
      <c r="J351" s="21"/>
    </row>
    <row r="352" ht="15.75" customHeight="1">
      <c r="A352" s="21"/>
      <c r="B352" s="22"/>
      <c r="C352" s="21"/>
      <c r="D352" s="23" t="str">
        <f t="array" ref="D352">IF($C352="","",IFERROR(INDEX('Master Leads'!$C$6:$C$495,MATCH($C352,'Master Leads'!$A$6:$A$495,0)),""))</f>
        <v/>
      </c>
      <c r="E352" s="30"/>
      <c r="F352" s="30"/>
      <c r="G352" s="21"/>
      <c r="H352" s="22"/>
      <c r="I352" s="23" t="str">
        <f t="array" ref="I352">IF($C352="","",IFERROR(INDEX('Master Leads'!$O$6:$O$495,MATCH($C352,'Master Leads'!$A$6:$A$495,0)),""))</f>
        <v/>
      </c>
      <c r="J352" s="21"/>
    </row>
    <row r="353" ht="15.75" customHeight="1">
      <c r="A353" s="21"/>
      <c r="B353" s="22"/>
      <c r="C353" s="21"/>
      <c r="D353" s="23" t="str">
        <f t="array" ref="D353">IF($C353="","",IFERROR(INDEX('Master Leads'!$C$6:$C$495,MATCH($C353,'Master Leads'!$A$6:$A$495,0)),""))</f>
        <v/>
      </c>
      <c r="E353" s="30"/>
      <c r="F353" s="30"/>
      <c r="G353" s="21"/>
      <c r="H353" s="22"/>
      <c r="I353" s="23" t="str">
        <f t="array" ref="I353">IF($C353="","",IFERROR(INDEX('Master Leads'!$O$6:$O$495,MATCH($C353,'Master Leads'!$A$6:$A$495,0)),""))</f>
        <v/>
      </c>
      <c r="J353" s="21"/>
    </row>
    <row r="354" ht="15.75" customHeight="1">
      <c r="A354" s="21"/>
      <c r="B354" s="22"/>
      <c r="C354" s="21"/>
      <c r="D354" s="23" t="str">
        <f t="array" ref="D354">IF($C354="","",IFERROR(INDEX('Master Leads'!$C$6:$C$495,MATCH($C354,'Master Leads'!$A$6:$A$495,0)),""))</f>
        <v/>
      </c>
      <c r="E354" s="30"/>
      <c r="F354" s="30"/>
      <c r="G354" s="21"/>
      <c r="H354" s="22"/>
      <c r="I354" s="23" t="str">
        <f t="array" ref="I354">IF($C354="","",IFERROR(INDEX('Master Leads'!$O$6:$O$495,MATCH($C354,'Master Leads'!$A$6:$A$495,0)),""))</f>
        <v/>
      </c>
      <c r="J354" s="21"/>
    </row>
    <row r="355" ht="15.75" customHeight="1">
      <c r="A355" s="21"/>
      <c r="B355" s="22"/>
      <c r="C355" s="21"/>
      <c r="D355" s="23" t="str">
        <f t="array" ref="D355">IF($C355="","",IFERROR(INDEX('Master Leads'!$C$6:$C$495,MATCH($C355,'Master Leads'!$A$6:$A$495,0)),""))</f>
        <v/>
      </c>
      <c r="E355" s="30"/>
      <c r="F355" s="30"/>
      <c r="G355" s="21"/>
      <c r="H355" s="22"/>
      <c r="I355" s="23" t="str">
        <f t="array" ref="I355">IF($C355="","",IFERROR(INDEX('Master Leads'!$O$6:$O$495,MATCH($C355,'Master Leads'!$A$6:$A$495,0)),""))</f>
        <v/>
      </c>
      <c r="J355" s="21"/>
    </row>
    <row r="356" ht="15.75" customHeight="1">
      <c r="A356" s="21"/>
      <c r="B356" s="22"/>
      <c r="C356" s="21"/>
      <c r="D356" s="23" t="str">
        <f t="array" ref="D356">IF($C356="","",IFERROR(INDEX('Master Leads'!$C$6:$C$495,MATCH($C356,'Master Leads'!$A$6:$A$495,0)),""))</f>
        <v/>
      </c>
      <c r="E356" s="30"/>
      <c r="F356" s="30"/>
      <c r="G356" s="21"/>
      <c r="H356" s="22"/>
      <c r="I356" s="23" t="str">
        <f t="array" ref="I356">IF($C356="","",IFERROR(INDEX('Master Leads'!$O$6:$O$495,MATCH($C356,'Master Leads'!$A$6:$A$495,0)),""))</f>
        <v/>
      </c>
      <c r="J356" s="21"/>
    </row>
    <row r="357" ht="15.75" customHeight="1">
      <c r="A357" s="21"/>
      <c r="B357" s="22"/>
      <c r="C357" s="21"/>
      <c r="D357" s="23" t="str">
        <f t="array" ref="D357">IF($C357="","",IFERROR(INDEX('Master Leads'!$C$6:$C$495,MATCH($C357,'Master Leads'!$A$6:$A$495,0)),""))</f>
        <v/>
      </c>
      <c r="E357" s="30"/>
      <c r="F357" s="30"/>
      <c r="G357" s="21"/>
      <c r="H357" s="22"/>
      <c r="I357" s="23" t="str">
        <f t="array" ref="I357">IF($C357="","",IFERROR(INDEX('Master Leads'!$O$6:$O$495,MATCH($C357,'Master Leads'!$A$6:$A$495,0)),""))</f>
        <v/>
      </c>
      <c r="J357" s="21"/>
    </row>
    <row r="358" ht="15.75" customHeight="1">
      <c r="A358" s="21"/>
      <c r="B358" s="22"/>
      <c r="C358" s="21"/>
      <c r="D358" s="23" t="str">
        <f t="array" ref="D358">IF($C358="","",IFERROR(INDEX('Master Leads'!$C$6:$C$495,MATCH($C358,'Master Leads'!$A$6:$A$495,0)),""))</f>
        <v/>
      </c>
      <c r="E358" s="30"/>
      <c r="F358" s="30"/>
      <c r="G358" s="21"/>
      <c r="H358" s="22"/>
      <c r="I358" s="23" t="str">
        <f t="array" ref="I358">IF($C358="","",IFERROR(INDEX('Master Leads'!$O$6:$O$495,MATCH($C358,'Master Leads'!$A$6:$A$495,0)),""))</f>
        <v/>
      </c>
      <c r="J358" s="21"/>
    </row>
    <row r="359" ht="15.75" customHeight="1">
      <c r="A359" s="21"/>
      <c r="B359" s="22"/>
      <c r="C359" s="21"/>
      <c r="D359" s="23" t="str">
        <f t="array" ref="D359">IF($C359="","",IFERROR(INDEX('Master Leads'!$C$6:$C$495,MATCH($C359,'Master Leads'!$A$6:$A$495,0)),""))</f>
        <v/>
      </c>
      <c r="E359" s="30"/>
      <c r="F359" s="30"/>
      <c r="G359" s="21"/>
      <c r="H359" s="22"/>
      <c r="I359" s="23" t="str">
        <f t="array" ref="I359">IF($C359="","",IFERROR(INDEX('Master Leads'!$O$6:$O$495,MATCH($C359,'Master Leads'!$A$6:$A$495,0)),""))</f>
        <v/>
      </c>
      <c r="J359" s="21"/>
    </row>
    <row r="360" ht="15.75" customHeight="1">
      <c r="A360" s="21"/>
      <c r="B360" s="22"/>
      <c r="C360" s="21"/>
      <c r="D360" s="23" t="str">
        <f t="array" ref="D360">IF($C360="","",IFERROR(INDEX('Master Leads'!$C$6:$C$495,MATCH($C360,'Master Leads'!$A$6:$A$495,0)),""))</f>
        <v/>
      </c>
      <c r="E360" s="30"/>
      <c r="F360" s="30"/>
      <c r="G360" s="21"/>
      <c r="H360" s="22"/>
      <c r="I360" s="23" t="str">
        <f t="array" ref="I360">IF($C360="","",IFERROR(INDEX('Master Leads'!$O$6:$O$495,MATCH($C360,'Master Leads'!$A$6:$A$495,0)),""))</f>
        <v/>
      </c>
      <c r="J360" s="21"/>
    </row>
    <row r="361" ht="15.75" customHeight="1">
      <c r="A361" s="21"/>
      <c r="B361" s="22"/>
      <c r="C361" s="21"/>
      <c r="D361" s="23" t="str">
        <f t="array" ref="D361">IF($C361="","",IFERROR(INDEX('Master Leads'!$C$6:$C$495,MATCH($C361,'Master Leads'!$A$6:$A$495,0)),""))</f>
        <v/>
      </c>
      <c r="E361" s="30"/>
      <c r="F361" s="30"/>
      <c r="G361" s="21"/>
      <c r="H361" s="22"/>
      <c r="I361" s="23" t="str">
        <f t="array" ref="I361">IF($C361="","",IFERROR(INDEX('Master Leads'!$O$6:$O$495,MATCH($C361,'Master Leads'!$A$6:$A$495,0)),""))</f>
        <v/>
      </c>
      <c r="J361" s="21"/>
    </row>
    <row r="362" ht="15.75" customHeight="1">
      <c r="A362" s="21"/>
      <c r="B362" s="22"/>
      <c r="C362" s="21"/>
      <c r="D362" s="23" t="str">
        <f t="array" ref="D362">IF($C362="","",IFERROR(INDEX('Master Leads'!$C$6:$C$495,MATCH($C362,'Master Leads'!$A$6:$A$495,0)),""))</f>
        <v/>
      </c>
      <c r="E362" s="30"/>
      <c r="F362" s="30"/>
      <c r="G362" s="21"/>
      <c r="H362" s="22"/>
      <c r="I362" s="23" t="str">
        <f t="array" ref="I362">IF($C362="","",IFERROR(INDEX('Master Leads'!$O$6:$O$495,MATCH($C362,'Master Leads'!$A$6:$A$495,0)),""))</f>
        <v/>
      </c>
      <c r="J362" s="21"/>
    </row>
    <row r="363" ht="15.75" customHeight="1">
      <c r="A363" s="21"/>
      <c r="B363" s="22"/>
      <c r="C363" s="21"/>
      <c r="D363" s="23" t="str">
        <f t="array" ref="D363">IF($C363="","",IFERROR(INDEX('Master Leads'!$C$6:$C$495,MATCH($C363,'Master Leads'!$A$6:$A$495,0)),""))</f>
        <v/>
      </c>
      <c r="E363" s="30"/>
      <c r="F363" s="30"/>
      <c r="G363" s="21"/>
      <c r="H363" s="22"/>
      <c r="I363" s="23" t="str">
        <f t="array" ref="I363">IF($C363="","",IFERROR(INDEX('Master Leads'!$O$6:$O$495,MATCH($C363,'Master Leads'!$A$6:$A$495,0)),""))</f>
        <v/>
      </c>
      <c r="J363" s="21"/>
    </row>
    <row r="364" ht="15.75" customHeight="1">
      <c r="A364" s="21"/>
      <c r="B364" s="22"/>
      <c r="C364" s="21"/>
      <c r="D364" s="23" t="str">
        <f t="array" ref="D364">IF($C364="","",IFERROR(INDEX('Master Leads'!$C$6:$C$495,MATCH($C364,'Master Leads'!$A$6:$A$495,0)),""))</f>
        <v/>
      </c>
      <c r="E364" s="30"/>
      <c r="F364" s="30"/>
      <c r="G364" s="21"/>
      <c r="H364" s="22"/>
      <c r="I364" s="23" t="str">
        <f t="array" ref="I364">IF($C364="","",IFERROR(INDEX('Master Leads'!$O$6:$O$495,MATCH($C364,'Master Leads'!$A$6:$A$495,0)),""))</f>
        <v/>
      </c>
      <c r="J364" s="21"/>
    </row>
    <row r="365" ht="15.75" customHeight="1">
      <c r="A365" s="21"/>
      <c r="B365" s="22"/>
      <c r="C365" s="21"/>
      <c r="D365" s="23" t="str">
        <f t="array" ref="D365">IF($C365="","",IFERROR(INDEX('Master Leads'!$C$6:$C$495,MATCH($C365,'Master Leads'!$A$6:$A$495,0)),""))</f>
        <v/>
      </c>
      <c r="E365" s="30"/>
      <c r="F365" s="30"/>
      <c r="G365" s="21"/>
      <c r="H365" s="22"/>
      <c r="I365" s="23" t="str">
        <f t="array" ref="I365">IF($C365="","",IFERROR(INDEX('Master Leads'!$O$6:$O$495,MATCH($C365,'Master Leads'!$A$6:$A$495,0)),""))</f>
        <v/>
      </c>
      <c r="J365" s="21"/>
    </row>
    <row r="366" ht="15.75" customHeight="1">
      <c r="A366" s="21"/>
      <c r="B366" s="22"/>
      <c r="C366" s="21"/>
      <c r="D366" s="23" t="str">
        <f t="array" ref="D366">IF($C366="","",IFERROR(INDEX('Master Leads'!$C$6:$C$495,MATCH($C366,'Master Leads'!$A$6:$A$495,0)),""))</f>
        <v/>
      </c>
      <c r="E366" s="30"/>
      <c r="F366" s="30"/>
      <c r="G366" s="21"/>
      <c r="H366" s="22"/>
      <c r="I366" s="23" t="str">
        <f t="array" ref="I366">IF($C366="","",IFERROR(INDEX('Master Leads'!$O$6:$O$495,MATCH($C366,'Master Leads'!$A$6:$A$495,0)),""))</f>
        <v/>
      </c>
      <c r="J366" s="21"/>
    </row>
    <row r="367" ht="15.75" customHeight="1">
      <c r="A367" s="21"/>
      <c r="B367" s="22"/>
      <c r="C367" s="21"/>
      <c r="D367" s="23" t="str">
        <f t="array" ref="D367">IF($C367="","",IFERROR(INDEX('Master Leads'!$C$6:$C$495,MATCH($C367,'Master Leads'!$A$6:$A$495,0)),""))</f>
        <v/>
      </c>
      <c r="E367" s="30"/>
      <c r="F367" s="30"/>
      <c r="G367" s="21"/>
      <c r="H367" s="22"/>
      <c r="I367" s="23" t="str">
        <f t="array" ref="I367">IF($C367="","",IFERROR(INDEX('Master Leads'!$O$6:$O$495,MATCH($C367,'Master Leads'!$A$6:$A$495,0)),""))</f>
        <v/>
      </c>
      <c r="J367" s="21"/>
    </row>
    <row r="368" ht="15.75" customHeight="1">
      <c r="A368" s="21"/>
      <c r="B368" s="22"/>
      <c r="C368" s="21"/>
      <c r="D368" s="23" t="str">
        <f t="array" ref="D368">IF($C368="","",IFERROR(INDEX('Master Leads'!$C$6:$C$495,MATCH($C368,'Master Leads'!$A$6:$A$495,0)),""))</f>
        <v/>
      </c>
      <c r="E368" s="30"/>
      <c r="F368" s="30"/>
      <c r="G368" s="21"/>
      <c r="H368" s="22"/>
      <c r="I368" s="23" t="str">
        <f t="array" ref="I368">IF($C368="","",IFERROR(INDEX('Master Leads'!$O$6:$O$495,MATCH($C368,'Master Leads'!$A$6:$A$495,0)),""))</f>
        <v/>
      </c>
      <c r="J368" s="21"/>
    </row>
    <row r="369" ht="15.75" customHeight="1">
      <c r="A369" s="21"/>
      <c r="B369" s="22"/>
      <c r="C369" s="21"/>
      <c r="D369" s="23" t="str">
        <f t="array" ref="D369">IF($C369="","",IFERROR(INDEX('Master Leads'!$C$6:$C$495,MATCH($C369,'Master Leads'!$A$6:$A$495,0)),""))</f>
        <v/>
      </c>
      <c r="E369" s="30"/>
      <c r="F369" s="30"/>
      <c r="G369" s="21"/>
      <c r="H369" s="22"/>
      <c r="I369" s="23" t="str">
        <f t="array" ref="I369">IF($C369="","",IFERROR(INDEX('Master Leads'!$O$6:$O$495,MATCH($C369,'Master Leads'!$A$6:$A$495,0)),""))</f>
        <v/>
      </c>
      <c r="J369" s="21"/>
    </row>
    <row r="370" ht="15.75" customHeight="1">
      <c r="A370" s="21"/>
      <c r="B370" s="22"/>
      <c r="C370" s="21"/>
      <c r="D370" s="23" t="str">
        <f t="array" ref="D370">IF($C370="","",IFERROR(INDEX('Master Leads'!$C$6:$C$495,MATCH($C370,'Master Leads'!$A$6:$A$495,0)),""))</f>
        <v/>
      </c>
      <c r="E370" s="30"/>
      <c r="F370" s="30"/>
      <c r="G370" s="21"/>
      <c r="H370" s="22"/>
      <c r="I370" s="23" t="str">
        <f t="array" ref="I370">IF($C370="","",IFERROR(INDEX('Master Leads'!$O$6:$O$495,MATCH($C370,'Master Leads'!$A$6:$A$495,0)),""))</f>
        <v/>
      </c>
      <c r="J370" s="21"/>
    </row>
    <row r="371" ht="15.75" customHeight="1">
      <c r="A371" s="21"/>
      <c r="B371" s="22"/>
      <c r="C371" s="21"/>
      <c r="D371" s="23" t="str">
        <f t="array" ref="D371">IF($C371="","",IFERROR(INDEX('Master Leads'!$C$6:$C$495,MATCH($C371,'Master Leads'!$A$6:$A$495,0)),""))</f>
        <v/>
      </c>
      <c r="E371" s="30"/>
      <c r="F371" s="30"/>
      <c r="G371" s="21"/>
      <c r="H371" s="22"/>
      <c r="I371" s="23" t="str">
        <f t="array" ref="I371">IF($C371="","",IFERROR(INDEX('Master Leads'!$O$6:$O$495,MATCH($C371,'Master Leads'!$A$6:$A$495,0)),""))</f>
        <v/>
      </c>
      <c r="J371" s="21"/>
    </row>
    <row r="372" ht="15.75" customHeight="1">
      <c r="A372" s="21"/>
      <c r="B372" s="22"/>
      <c r="C372" s="21"/>
      <c r="D372" s="23" t="str">
        <f t="array" ref="D372">IF($C372="","",IFERROR(INDEX('Master Leads'!$C$6:$C$495,MATCH($C372,'Master Leads'!$A$6:$A$495,0)),""))</f>
        <v/>
      </c>
      <c r="E372" s="30"/>
      <c r="F372" s="30"/>
      <c r="G372" s="21"/>
      <c r="H372" s="22"/>
      <c r="I372" s="23" t="str">
        <f t="array" ref="I372">IF($C372="","",IFERROR(INDEX('Master Leads'!$O$6:$O$495,MATCH($C372,'Master Leads'!$A$6:$A$495,0)),""))</f>
        <v/>
      </c>
      <c r="J372" s="21"/>
    </row>
    <row r="373" ht="15.75" customHeight="1">
      <c r="A373" s="21"/>
      <c r="B373" s="22"/>
      <c r="C373" s="21"/>
      <c r="D373" s="23" t="str">
        <f t="array" ref="D373">IF($C373="","",IFERROR(INDEX('Master Leads'!$C$6:$C$495,MATCH($C373,'Master Leads'!$A$6:$A$495,0)),""))</f>
        <v/>
      </c>
      <c r="E373" s="30"/>
      <c r="F373" s="30"/>
      <c r="G373" s="21"/>
      <c r="H373" s="22"/>
      <c r="I373" s="23" t="str">
        <f t="array" ref="I373">IF($C373="","",IFERROR(INDEX('Master Leads'!$O$6:$O$495,MATCH($C373,'Master Leads'!$A$6:$A$495,0)),""))</f>
        <v/>
      </c>
      <c r="J373" s="21"/>
    </row>
    <row r="374" ht="15.75" customHeight="1">
      <c r="A374" s="21"/>
      <c r="B374" s="22"/>
      <c r="C374" s="21"/>
      <c r="D374" s="23" t="str">
        <f t="array" ref="D374">IF($C374="","",IFERROR(INDEX('Master Leads'!$C$6:$C$495,MATCH($C374,'Master Leads'!$A$6:$A$495,0)),""))</f>
        <v/>
      </c>
      <c r="E374" s="30"/>
      <c r="F374" s="30"/>
      <c r="G374" s="21"/>
      <c r="H374" s="22"/>
      <c r="I374" s="23" t="str">
        <f t="array" ref="I374">IF($C374="","",IFERROR(INDEX('Master Leads'!$O$6:$O$495,MATCH($C374,'Master Leads'!$A$6:$A$495,0)),""))</f>
        <v/>
      </c>
      <c r="J374" s="21"/>
    </row>
    <row r="375" ht="15.75" customHeight="1">
      <c r="A375" s="21"/>
      <c r="B375" s="22"/>
      <c r="C375" s="21"/>
      <c r="D375" s="23" t="str">
        <f t="array" ref="D375">IF($C375="","",IFERROR(INDEX('Master Leads'!$C$6:$C$495,MATCH($C375,'Master Leads'!$A$6:$A$495,0)),""))</f>
        <v/>
      </c>
      <c r="E375" s="30"/>
      <c r="F375" s="30"/>
      <c r="G375" s="21"/>
      <c r="H375" s="22"/>
      <c r="I375" s="23" t="str">
        <f t="array" ref="I375">IF($C375="","",IFERROR(INDEX('Master Leads'!$O$6:$O$495,MATCH($C375,'Master Leads'!$A$6:$A$495,0)),""))</f>
        <v/>
      </c>
      <c r="J375" s="21"/>
    </row>
    <row r="376" ht="15.75" customHeight="1">
      <c r="A376" s="21"/>
      <c r="B376" s="22"/>
      <c r="C376" s="21"/>
      <c r="D376" s="23" t="str">
        <f t="array" ref="D376">IF($C376="","",IFERROR(INDEX('Master Leads'!$C$6:$C$495,MATCH($C376,'Master Leads'!$A$6:$A$495,0)),""))</f>
        <v/>
      </c>
      <c r="E376" s="30"/>
      <c r="F376" s="30"/>
      <c r="G376" s="21"/>
      <c r="H376" s="22"/>
      <c r="I376" s="23" t="str">
        <f t="array" ref="I376">IF($C376="","",IFERROR(INDEX('Master Leads'!$O$6:$O$495,MATCH($C376,'Master Leads'!$A$6:$A$495,0)),""))</f>
        <v/>
      </c>
      <c r="J376" s="21"/>
    </row>
    <row r="377" ht="15.75" customHeight="1">
      <c r="A377" s="21"/>
      <c r="B377" s="22"/>
      <c r="C377" s="21"/>
      <c r="D377" s="23" t="str">
        <f t="array" ref="D377">IF($C377="","",IFERROR(INDEX('Master Leads'!$C$6:$C$495,MATCH($C377,'Master Leads'!$A$6:$A$495,0)),""))</f>
        <v/>
      </c>
      <c r="E377" s="30"/>
      <c r="F377" s="30"/>
      <c r="G377" s="21"/>
      <c r="H377" s="22"/>
      <c r="I377" s="23" t="str">
        <f t="array" ref="I377">IF($C377="","",IFERROR(INDEX('Master Leads'!$O$6:$O$495,MATCH($C377,'Master Leads'!$A$6:$A$495,0)),""))</f>
        <v/>
      </c>
      <c r="J377" s="21"/>
    </row>
    <row r="378" ht="15.75" customHeight="1">
      <c r="A378" s="21"/>
      <c r="B378" s="22"/>
      <c r="C378" s="21"/>
      <c r="D378" s="23" t="str">
        <f t="array" ref="D378">IF($C378="","",IFERROR(INDEX('Master Leads'!$C$6:$C$495,MATCH($C378,'Master Leads'!$A$6:$A$495,0)),""))</f>
        <v/>
      </c>
      <c r="E378" s="30"/>
      <c r="F378" s="30"/>
      <c r="G378" s="21"/>
      <c r="H378" s="22"/>
      <c r="I378" s="23" t="str">
        <f t="array" ref="I378">IF($C378="","",IFERROR(INDEX('Master Leads'!$O$6:$O$495,MATCH($C378,'Master Leads'!$A$6:$A$495,0)),""))</f>
        <v/>
      </c>
      <c r="J378" s="21"/>
    </row>
    <row r="379" ht="15.75" customHeight="1">
      <c r="A379" s="21"/>
      <c r="B379" s="22"/>
      <c r="C379" s="21"/>
      <c r="D379" s="23" t="str">
        <f t="array" ref="D379">IF($C379="","",IFERROR(INDEX('Master Leads'!$C$6:$C$495,MATCH($C379,'Master Leads'!$A$6:$A$495,0)),""))</f>
        <v/>
      </c>
      <c r="E379" s="30"/>
      <c r="F379" s="30"/>
      <c r="G379" s="21"/>
      <c r="H379" s="22"/>
      <c r="I379" s="23" t="str">
        <f t="array" ref="I379">IF($C379="","",IFERROR(INDEX('Master Leads'!$O$6:$O$495,MATCH($C379,'Master Leads'!$A$6:$A$495,0)),""))</f>
        <v/>
      </c>
      <c r="J379" s="21"/>
    </row>
    <row r="380" ht="15.75" customHeight="1">
      <c r="A380" s="21"/>
      <c r="B380" s="22"/>
      <c r="C380" s="21"/>
      <c r="D380" s="23" t="str">
        <f t="array" ref="D380">IF($C380="","",IFERROR(INDEX('Master Leads'!$C$6:$C$495,MATCH($C380,'Master Leads'!$A$6:$A$495,0)),""))</f>
        <v/>
      </c>
      <c r="E380" s="30"/>
      <c r="F380" s="30"/>
      <c r="G380" s="21"/>
      <c r="H380" s="22"/>
      <c r="I380" s="23" t="str">
        <f t="array" ref="I380">IF($C380="","",IFERROR(INDEX('Master Leads'!$O$6:$O$495,MATCH($C380,'Master Leads'!$A$6:$A$495,0)),""))</f>
        <v/>
      </c>
      <c r="J380" s="21"/>
    </row>
    <row r="381" ht="15.75" customHeight="1">
      <c r="A381" s="21"/>
      <c r="B381" s="22"/>
      <c r="C381" s="21"/>
      <c r="D381" s="23" t="str">
        <f t="array" ref="D381">IF($C381="","",IFERROR(INDEX('Master Leads'!$C$6:$C$495,MATCH($C381,'Master Leads'!$A$6:$A$495,0)),""))</f>
        <v/>
      </c>
      <c r="E381" s="30"/>
      <c r="F381" s="30"/>
      <c r="G381" s="21"/>
      <c r="H381" s="22"/>
      <c r="I381" s="23" t="str">
        <f t="array" ref="I381">IF($C381="","",IFERROR(INDEX('Master Leads'!$O$6:$O$495,MATCH($C381,'Master Leads'!$A$6:$A$495,0)),""))</f>
        <v/>
      </c>
      <c r="J381" s="21"/>
    </row>
    <row r="382" ht="15.75" customHeight="1">
      <c r="A382" s="21"/>
      <c r="B382" s="22"/>
      <c r="C382" s="21"/>
      <c r="D382" s="23" t="str">
        <f t="array" ref="D382">IF($C382="","",IFERROR(INDEX('Master Leads'!$C$6:$C$495,MATCH($C382,'Master Leads'!$A$6:$A$495,0)),""))</f>
        <v/>
      </c>
      <c r="E382" s="30"/>
      <c r="F382" s="30"/>
      <c r="G382" s="21"/>
      <c r="H382" s="22"/>
      <c r="I382" s="23" t="str">
        <f t="array" ref="I382">IF($C382="","",IFERROR(INDEX('Master Leads'!$O$6:$O$495,MATCH($C382,'Master Leads'!$A$6:$A$495,0)),""))</f>
        <v/>
      </c>
      <c r="J382" s="21"/>
    </row>
    <row r="383" ht="15.75" customHeight="1">
      <c r="A383" s="21"/>
      <c r="B383" s="22"/>
      <c r="C383" s="21"/>
      <c r="D383" s="23" t="str">
        <f t="array" ref="D383">IF($C383="","",IFERROR(INDEX('Master Leads'!$C$6:$C$495,MATCH($C383,'Master Leads'!$A$6:$A$495,0)),""))</f>
        <v/>
      </c>
      <c r="E383" s="30"/>
      <c r="F383" s="30"/>
      <c r="G383" s="21"/>
      <c r="H383" s="22"/>
      <c r="I383" s="23" t="str">
        <f t="array" ref="I383">IF($C383="","",IFERROR(INDEX('Master Leads'!$O$6:$O$495,MATCH($C383,'Master Leads'!$A$6:$A$495,0)),""))</f>
        <v/>
      </c>
      <c r="J383" s="21"/>
    </row>
    <row r="384" ht="15.75" customHeight="1">
      <c r="A384" s="21"/>
      <c r="B384" s="22"/>
      <c r="C384" s="21"/>
      <c r="D384" s="23" t="str">
        <f t="array" ref="D384">IF($C384="","",IFERROR(INDEX('Master Leads'!$C$6:$C$495,MATCH($C384,'Master Leads'!$A$6:$A$495,0)),""))</f>
        <v/>
      </c>
      <c r="E384" s="30"/>
      <c r="F384" s="30"/>
      <c r="G384" s="21"/>
      <c r="H384" s="22"/>
      <c r="I384" s="23" t="str">
        <f t="array" ref="I384">IF($C384="","",IFERROR(INDEX('Master Leads'!$O$6:$O$495,MATCH($C384,'Master Leads'!$A$6:$A$495,0)),""))</f>
        <v/>
      </c>
      <c r="J384" s="21"/>
    </row>
    <row r="385" ht="15.75" customHeight="1">
      <c r="A385" s="21"/>
      <c r="B385" s="22"/>
      <c r="C385" s="21"/>
      <c r="D385" s="23" t="str">
        <f t="array" ref="D385">IF($C385="","",IFERROR(INDEX('Master Leads'!$C$6:$C$495,MATCH($C385,'Master Leads'!$A$6:$A$495,0)),""))</f>
        <v/>
      </c>
      <c r="E385" s="30"/>
      <c r="F385" s="30"/>
      <c r="G385" s="21"/>
      <c r="H385" s="22"/>
      <c r="I385" s="23" t="str">
        <f t="array" ref="I385">IF($C385="","",IFERROR(INDEX('Master Leads'!$O$6:$O$495,MATCH($C385,'Master Leads'!$A$6:$A$495,0)),""))</f>
        <v/>
      </c>
      <c r="J385" s="21"/>
    </row>
    <row r="386" ht="15.75" customHeight="1">
      <c r="A386" s="21"/>
      <c r="B386" s="22"/>
      <c r="C386" s="21"/>
      <c r="D386" s="23" t="str">
        <f t="array" ref="D386">IF($C386="","",IFERROR(INDEX('Master Leads'!$C$6:$C$495,MATCH($C386,'Master Leads'!$A$6:$A$495,0)),""))</f>
        <v/>
      </c>
      <c r="E386" s="30"/>
      <c r="F386" s="30"/>
      <c r="G386" s="21"/>
      <c r="H386" s="22"/>
      <c r="I386" s="23" t="str">
        <f t="array" ref="I386">IF($C386="","",IFERROR(INDEX('Master Leads'!$O$6:$O$495,MATCH($C386,'Master Leads'!$A$6:$A$495,0)),""))</f>
        <v/>
      </c>
      <c r="J386" s="21"/>
    </row>
    <row r="387" ht="15.75" customHeight="1">
      <c r="A387" s="21"/>
      <c r="B387" s="22"/>
      <c r="C387" s="21"/>
      <c r="D387" s="23" t="str">
        <f t="array" ref="D387">IF($C387="","",IFERROR(INDEX('Master Leads'!$C$6:$C$495,MATCH($C387,'Master Leads'!$A$6:$A$495,0)),""))</f>
        <v/>
      </c>
      <c r="E387" s="30"/>
      <c r="F387" s="30"/>
      <c r="G387" s="21"/>
      <c r="H387" s="22"/>
      <c r="I387" s="23" t="str">
        <f t="array" ref="I387">IF($C387="","",IFERROR(INDEX('Master Leads'!$O$6:$O$495,MATCH($C387,'Master Leads'!$A$6:$A$495,0)),""))</f>
        <v/>
      </c>
      <c r="J387" s="21"/>
    </row>
    <row r="388" ht="15.75" customHeight="1">
      <c r="A388" s="21"/>
      <c r="B388" s="22"/>
      <c r="C388" s="21"/>
      <c r="D388" s="23" t="str">
        <f t="array" ref="D388">IF($C388="","",IFERROR(INDEX('Master Leads'!$C$6:$C$495,MATCH($C388,'Master Leads'!$A$6:$A$495,0)),""))</f>
        <v/>
      </c>
      <c r="E388" s="30"/>
      <c r="F388" s="30"/>
      <c r="G388" s="21"/>
      <c r="H388" s="22"/>
      <c r="I388" s="23" t="str">
        <f t="array" ref="I388">IF($C388="","",IFERROR(INDEX('Master Leads'!$O$6:$O$495,MATCH($C388,'Master Leads'!$A$6:$A$495,0)),""))</f>
        <v/>
      </c>
      <c r="J388" s="21"/>
    </row>
    <row r="389" ht="15.75" customHeight="1">
      <c r="A389" s="21"/>
      <c r="B389" s="22"/>
      <c r="C389" s="21"/>
      <c r="D389" s="23" t="str">
        <f t="array" ref="D389">IF($C389="","",IFERROR(INDEX('Master Leads'!$C$6:$C$495,MATCH($C389,'Master Leads'!$A$6:$A$495,0)),""))</f>
        <v/>
      </c>
      <c r="E389" s="30"/>
      <c r="F389" s="30"/>
      <c r="G389" s="21"/>
      <c r="H389" s="22"/>
      <c r="I389" s="23" t="str">
        <f t="array" ref="I389">IF($C389="","",IFERROR(INDEX('Master Leads'!$O$6:$O$495,MATCH($C389,'Master Leads'!$A$6:$A$495,0)),""))</f>
        <v/>
      </c>
      <c r="J389" s="21"/>
    </row>
    <row r="390" ht="15.75" customHeight="1">
      <c r="A390" s="21"/>
      <c r="B390" s="22"/>
      <c r="C390" s="21"/>
      <c r="D390" s="23" t="str">
        <f t="array" ref="D390">IF($C390="","",IFERROR(INDEX('Master Leads'!$C$6:$C$495,MATCH($C390,'Master Leads'!$A$6:$A$495,0)),""))</f>
        <v/>
      </c>
      <c r="E390" s="30"/>
      <c r="F390" s="30"/>
      <c r="G390" s="21"/>
      <c r="H390" s="22"/>
      <c r="I390" s="23" t="str">
        <f t="array" ref="I390">IF($C390="","",IFERROR(INDEX('Master Leads'!$O$6:$O$495,MATCH($C390,'Master Leads'!$A$6:$A$495,0)),""))</f>
        <v/>
      </c>
      <c r="J390" s="21"/>
    </row>
    <row r="391" ht="15.75" customHeight="1">
      <c r="A391" s="21"/>
      <c r="B391" s="22"/>
      <c r="C391" s="21"/>
      <c r="D391" s="23" t="str">
        <f t="array" ref="D391">IF($C391="","",IFERROR(INDEX('Master Leads'!$C$6:$C$495,MATCH($C391,'Master Leads'!$A$6:$A$495,0)),""))</f>
        <v/>
      </c>
      <c r="E391" s="30"/>
      <c r="F391" s="30"/>
      <c r="G391" s="21"/>
      <c r="H391" s="22"/>
      <c r="I391" s="23" t="str">
        <f t="array" ref="I391">IF($C391="","",IFERROR(INDEX('Master Leads'!$O$6:$O$495,MATCH($C391,'Master Leads'!$A$6:$A$495,0)),""))</f>
        <v/>
      </c>
      <c r="J391" s="21"/>
    </row>
    <row r="392" ht="15.75" customHeight="1">
      <c r="A392" s="21"/>
      <c r="B392" s="22"/>
      <c r="C392" s="21"/>
      <c r="D392" s="23" t="str">
        <f t="array" ref="D392">IF($C392="","",IFERROR(INDEX('Master Leads'!$C$6:$C$495,MATCH($C392,'Master Leads'!$A$6:$A$495,0)),""))</f>
        <v/>
      </c>
      <c r="E392" s="30"/>
      <c r="F392" s="30"/>
      <c r="G392" s="21"/>
      <c r="H392" s="22"/>
      <c r="I392" s="23" t="str">
        <f t="array" ref="I392">IF($C392="","",IFERROR(INDEX('Master Leads'!$O$6:$O$495,MATCH($C392,'Master Leads'!$A$6:$A$495,0)),""))</f>
        <v/>
      </c>
      <c r="J392" s="21"/>
    </row>
    <row r="393" ht="15.75" customHeight="1">
      <c r="A393" s="21"/>
      <c r="B393" s="22"/>
      <c r="C393" s="21"/>
      <c r="D393" s="23" t="str">
        <f t="array" ref="D393">IF($C393="","",IFERROR(INDEX('Master Leads'!$C$6:$C$495,MATCH($C393,'Master Leads'!$A$6:$A$495,0)),""))</f>
        <v/>
      </c>
      <c r="E393" s="30"/>
      <c r="F393" s="30"/>
      <c r="G393" s="21"/>
      <c r="H393" s="22"/>
      <c r="I393" s="23" t="str">
        <f t="array" ref="I393">IF($C393="","",IFERROR(INDEX('Master Leads'!$O$6:$O$495,MATCH($C393,'Master Leads'!$A$6:$A$495,0)),""))</f>
        <v/>
      </c>
      <c r="J393" s="21"/>
    </row>
    <row r="394" ht="15.75" customHeight="1">
      <c r="A394" s="21"/>
      <c r="B394" s="22"/>
      <c r="C394" s="21"/>
      <c r="D394" s="23" t="str">
        <f t="array" ref="D394">IF($C394="","",IFERROR(INDEX('Master Leads'!$C$6:$C$495,MATCH($C394,'Master Leads'!$A$6:$A$495,0)),""))</f>
        <v/>
      </c>
      <c r="E394" s="30"/>
      <c r="F394" s="30"/>
      <c r="G394" s="21"/>
      <c r="H394" s="22"/>
      <c r="I394" s="23" t="str">
        <f t="array" ref="I394">IF($C394="","",IFERROR(INDEX('Master Leads'!$O$6:$O$495,MATCH($C394,'Master Leads'!$A$6:$A$495,0)),""))</f>
        <v/>
      </c>
      <c r="J394" s="21"/>
    </row>
    <row r="395" ht="15.75" customHeight="1">
      <c r="A395" s="21"/>
      <c r="B395" s="22"/>
      <c r="C395" s="21"/>
      <c r="D395" s="23" t="str">
        <f t="array" ref="D395">IF($C395="","",IFERROR(INDEX('Master Leads'!$C$6:$C$495,MATCH($C395,'Master Leads'!$A$6:$A$495,0)),""))</f>
        <v/>
      </c>
      <c r="E395" s="30"/>
      <c r="F395" s="30"/>
      <c r="G395" s="21"/>
      <c r="H395" s="22"/>
      <c r="I395" s="23" t="str">
        <f t="array" ref="I395">IF($C395="","",IFERROR(INDEX('Master Leads'!$O$6:$O$495,MATCH($C395,'Master Leads'!$A$6:$A$495,0)),""))</f>
        <v/>
      </c>
      <c r="J395" s="21"/>
    </row>
    <row r="396" ht="15.75" customHeight="1">
      <c r="A396" s="21"/>
      <c r="B396" s="22"/>
      <c r="C396" s="21"/>
      <c r="D396" s="23" t="str">
        <f t="array" ref="D396">IF($C396="","",IFERROR(INDEX('Master Leads'!$C$6:$C$495,MATCH($C396,'Master Leads'!$A$6:$A$495,0)),""))</f>
        <v/>
      </c>
      <c r="E396" s="30"/>
      <c r="F396" s="30"/>
      <c r="G396" s="21"/>
      <c r="H396" s="22"/>
      <c r="I396" s="23" t="str">
        <f t="array" ref="I396">IF($C396="","",IFERROR(INDEX('Master Leads'!$O$6:$O$495,MATCH($C396,'Master Leads'!$A$6:$A$495,0)),""))</f>
        <v/>
      </c>
      <c r="J396" s="21"/>
    </row>
    <row r="397" ht="15.75" customHeight="1">
      <c r="A397" s="21"/>
      <c r="B397" s="22"/>
      <c r="C397" s="21"/>
      <c r="D397" s="23" t="str">
        <f t="array" ref="D397">IF($C397="","",IFERROR(INDEX('Master Leads'!$C$6:$C$495,MATCH($C397,'Master Leads'!$A$6:$A$495,0)),""))</f>
        <v/>
      </c>
      <c r="E397" s="30"/>
      <c r="F397" s="30"/>
      <c r="G397" s="21"/>
      <c r="H397" s="22"/>
      <c r="I397" s="23" t="str">
        <f t="array" ref="I397">IF($C397="","",IFERROR(INDEX('Master Leads'!$O$6:$O$495,MATCH($C397,'Master Leads'!$A$6:$A$495,0)),""))</f>
        <v/>
      </c>
      <c r="J397" s="21"/>
    </row>
    <row r="398" ht="15.75" customHeight="1">
      <c r="A398" s="21"/>
      <c r="B398" s="22"/>
      <c r="C398" s="21"/>
      <c r="D398" s="23" t="str">
        <f t="array" ref="D398">IF($C398="","",IFERROR(INDEX('Master Leads'!$C$6:$C$495,MATCH($C398,'Master Leads'!$A$6:$A$495,0)),""))</f>
        <v/>
      </c>
      <c r="E398" s="30"/>
      <c r="F398" s="30"/>
      <c r="G398" s="21"/>
      <c r="H398" s="22"/>
      <c r="I398" s="23" t="str">
        <f t="array" ref="I398">IF($C398="","",IFERROR(INDEX('Master Leads'!$O$6:$O$495,MATCH($C398,'Master Leads'!$A$6:$A$495,0)),""))</f>
        <v/>
      </c>
      <c r="J398" s="21"/>
    </row>
    <row r="399" ht="15.75" customHeight="1">
      <c r="A399" s="21"/>
      <c r="B399" s="22"/>
      <c r="C399" s="21"/>
      <c r="D399" s="23" t="str">
        <f t="array" ref="D399">IF($C399="","",IFERROR(INDEX('Master Leads'!$C$6:$C$495,MATCH($C399,'Master Leads'!$A$6:$A$495,0)),""))</f>
        <v/>
      </c>
      <c r="E399" s="30"/>
      <c r="F399" s="30"/>
      <c r="G399" s="21"/>
      <c r="H399" s="22"/>
      <c r="I399" s="23" t="str">
        <f t="array" ref="I399">IF($C399="","",IFERROR(INDEX('Master Leads'!$O$6:$O$495,MATCH($C399,'Master Leads'!$A$6:$A$495,0)),""))</f>
        <v/>
      </c>
      <c r="J399" s="21"/>
    </row>
    <row r="400" ht="15.75" customHeight="1">
      <c r="A400" s="21"/>
      <c r="B400" s="22"/>
      <c r="C400" s="21"/>
      <c r="D400" s="23" t="str">
        <f t="array" ref="D400">IF($C400="","",IFERROR(INDEX('Master Leads'!$C$6:$C$495,MATCH($C400,'Master Leads'!$A$6:$A$495,0)),""))</f>
        <v/>
      </c>
      <c r="E400" s="30"/>
      <c r="F400" s="30"/>
      <c r="G400" s="21"/>
      <c r="H400" s="22"/>
      <c r="I400" s="23" t="str">
        <f t="array" ref="I400">IF($C400="","",IFERROR(INDEX('Master Leads'!$O$6:$O$495,MATCH($C400,'Master Leads'!$A$6:$A$495,0)),""))</f>
        <v/>
      </c>
      <c r="J400" s="21"/>
    </row>
    <row r="401" ht="15.75" customHeight="1">
      <c r="A401" s="21"/>
      <c r="B401" s="22"/>
      <c r="C401" s="21"/>
      <c r="D401" s="23" t="str">
        <f t="array" ref="D401">IF($C401="","",IFERROR(INDEX('Master Leads'!$C$6:$C$495,MATCH($C401,'Master Leads'!$A$6:$A$495,0)),""))</f>
        <v/>
      </c>
      <c r="E401" s="30"/>
      <c r="F401" s="30"/>
      <c r="G401" s="21"/>
      <c r="H401" s="22"/>
      <c r="I401" s="23" t="str">
        <f t="array" ref="I401">IF($C401="","",IFERROR(INDEX('Master Leads'!$O$6:$O$495,MATCH($C401,'Master Leads'!$A$6:$A$495,0)),""))</f>
        <v/>
      </c>
      <c r="J401" s="21"/>
    </row>
    <row r="402" ht="15.75" customHeight="1">
      <c r="A402" s="21"/>
      <c r="B402" s="22"/>
      <c r="C402" s="21"/>
      <c r="D402" s="23" t="str">
        <f t="array" ref="D402">IF($C402="","",IFERROR(INDEX('Master Leads'!$C$6:$C$495,MATCH($C402,'Master Leads'!$A$6:$A$495,0)),""))</f>
        <v/>
      </c>
      <c r="E402" s="30"/>
      <c r="F402" s="30"/>
      <c r="G402" s="21"/>
      <c r="H402" s="22"/>
      <c r="I402" s="23" t="str">
        <f t="array" ref="I402">IF($C402="","",IFERROR(INDEX('Master Leads'!$O$6:$O$495,MATCH($C402,'Master Leads'!$A$6:$A$495,0)),""))</f>
        <v/>
      </c>
      <c r="J402" s="21"/>
    </row>
    <row r="403" ht="15.75" customHeight="1">
      <c r="A403" s="21"/>
      <c r="B403" s="22"/>
      <c r="C403" s="21"/>
      <c r="D403" s="23" t="str">
        <f t="array" ref="D403">IF($C403="","",IFERROR(INDEX('Master Leads'!$C$6:$C$495,MATCH($C403,'Master Leads'!$A$6:$A$495,0)),""))</f>
        <v/>
      </c>
      <c r="E403" s="30"/>
      <c r="F403" s="30"/>
      <c r="G403" s="21"/>
      <c r="H403" s="22"/>
      <c r="I403" s="23" t="str">
        <f t="array" ref="I403">IF($C403="","",IFERROR(INDEX('Master Leads'!$O$6:$O$495,MATCH($C403,'Master Leads'!$A$6:$A$495,0)),""))</f>
        <v/>
      </c>
      <c r="J403" s="21"/>
    </row>
    <row r="404" ht="15.75" customHeight="1">
      <c r="A404" s="21"/>
      <c r="B404" s="22"/>
      <c r="C404" s="21"/>
      <c r="D404" s="23" t="str">
        <f t="array" ref="D404">IF($C404="","",IFERROR(INDEX('Master Leads'!$C$6:$C$495,MATCH($C404,'Master Leads'!$A$6:$A$495,0)),""))</f>
        <v/>
      </c>
      <c r="E404" s="30"/>
      <c r="F404" s="30"/>
      <c r="G404" s="21"/>
      <c r="H404" s="22"/>
      <c r="I404" s="23" t="str">
        <f t="array" ref="I404">IF($C404="","",IFERROR(INDEX('Master Leads'!$O$6:$O$495,MATCH($C404,'Master Leads'!$A$6:$A$495,0)),""))</f>
        <v/>
      </c>
      <c r="J404" s="21"/>
    </row>
    <row r="405" ht="15.75" customHeight="1">
      <c r="A405" s="21"/>
      <c r="B405" s="22"/>
      <c r="C405" s="21"/>
      <c r="D405" s="23" t="str">
        <f t="array" ref="D405">IF($C405="","",IFERROR(INDEX('Master Leads'!$C$6:$C$495,MATCH($C405,'Master Leads'!$A$6:$A$495,0)),""))</f>
        <v/>
      </c>
      <c r="E405" s="30"/>
      <c r="F405" s="30"/>
      <c r="G405" s="21"/>
      <c r="H405" s="22"/>
      <c r="I405" s="23" t="str">
        <f t="array" ref="I405">IF($C405="","",IFERROR(INDEX('Master Leads'!$O$6:$O$495,MATCH($C405,'Master Leads'!$A$6:$A$495,0)),""))</f>
        <v/>
      </c>
      <c r="J405" s="21"/>
    </row>
    <row r="406" ht="15.75" customHeight="1">
      <c r="A406" s="21"/>
      <c r="B406" s="22"/>
      <c r="C406" s="21"/>
      <c r="D406" s="23" t="str">
        <f t="array" ref="D406">IF($C406="","",IFERROR(INDEX('Master Leads'!$C$6:$C$495,MATCH($C406,'Master Leads'!$A$6:$A$495,0)),""))</f>
        <v/>
      </c>
      <c r="E406" s="30"/>
      <c r="F406" s="30"/>
      <c r="G406" s="21"/>
      <c r="H406" s="22"/>
      <c r="I406" s="23" t="str">
        <f t="array" ref="I406">IF($C406="","",IFERROR(INDEX('Master Leads'!$O$6:$O$495,MATCH($C406,'Master Leads'!$A$6:$A$495,0)),""))</f>
        <v/>
      </c>
      <c r="J406" s="21"/>
    </row>
    <row r="407" ht="15.75" customHeight="1">
      <c r="A407" s="21"/>
      <c r="B407" s="22"/>
      <c r="C407" s="21"/>
      <c r="D407" s="23" t="str">
        <f t="array" ref="D407">IF($C407="","",IFERROR(INDEX('Master Leads'!$C$6:$C$495,MATCH($C407,'Master Leads'!$A$6:$A$495,0)),""))</f>
        <v/>
      </c>
      <c r="E407" s="30"/>
      <c r="F407" s="30"/>
      <c r="G407" s="21"/>
      <c r="H407" s="22"/>
      <c r="I407" s="23" t="str">
        <f t="array" ref="I407">IF($C407="","",IFERROR(INDEX('Master Leads'!$O$6:$O$495,MATCH($C407,'Master Leads'!$A$6:$A$495,0)),""))</f>
        <v/>
      </c>
      <c r="J407" s="21"/>
    </row>
    <row r="408" ht="15.75" customHeight="1">
      <c r="A408" s="21"/>
      <c r="B408" s="22"/>
      <c r="C408" s="21"/>
      <c r="D408" s="23" t="str">
        <f t="array" ref="D408">IF($C408="","",IFERROR(INDEX('Master Leads'!$C$6:$C$495,MATCH($C408,'Master Leads'!$A$6:$A$495,0)),""))</f>
        <v/>
      </c>
      <c r="E408" s="30"/>
      <c r="F408" s="30"/>
      <c r="G408" s="21"/>
      <c r="H408" s="22"/>
      <c r="I408" s="23" t="str">
        <f t="array" ref="I408">IF($C408="","",IFERROR(INDEX('Master Leads'!$O$6:$O$495,MATCH($C408,'Master Leads'!$A$6:$A$495,0)),""))</f>
        <v/>
      </c>
      <c r="J408" s="21"/>
    </row>
    <row r="409" ht="15.75" customHeight="1">
      <c r="A409" s="21"/>
      <c r="B409" s="22"/>
      <c r="C409" s="21"/>
      <c r="D409" s="23" t="str">
        <f t="array" ref="D409">IF($C409="","",IFERROR(INDEX('Master Leads'!$C$6:$C$495,MATCH($C409,'Master Leads'!$A$6:$A$495,0)),""))</f>
        <v/>
      </c>
      <c r="E409" s="30"/>
      <c r="F409" s="30"/>
      <c r="G409" s="21"/>
      <c r="H409" s="22"/>
      <c r="I409" s="23" t="str">
        <f t="array" ref="I409">IF($C409="","",IFERROR(INDEX('Master Leads'!$O$6:$O$495,MATCH($C409,'Master Leads'!$A$6:$A$495,0)),""))</f>
        <v/>
      </c>
      <c r="J409" s="21"/>
    </row>
    <row r="410" ht="15.75" customHeight="1">
      <c r="A410" s="21"/>
      <c r="B410" s="22"/>
      <c r="C410" s="21"/>
      <c r="D410" s="23" t="str">
        <f t="array" ref="D410">IF($C410="","",IFERROR(INDEX('Master Leads'!$C$6:$C$495,MATCH($C410,'Master Leads'!$A$6:$A$495,0)),""))</f>
        <v/>
      </c>
      <c r="E410" s="30"/>
      <c r="F410" s="30"/>
      <c r="G410" s="21"/>
      <c r="H410" s="22"/>
      <c r="I410" s="23" t="str">
        <f t="array" ref="I410">IF($C410="","",IFERROR(INDEX('Master Leads'!$O$6:$O$495,MATCH($C410,'Master Leads'!$A$6:$A$495,0)),""))</f>
        <v/>
      </c>
      <c r="J410" s="21"/>
    </row>
    <row r="411" ht="15.75" customHeight="1">
      <c r="A411" s="21"/>
      <c r="B411" s="22"/>
      <c r="C411" s="21"/>
      <c r="D411" s="23" t="str">
        <f t="array" ref="D411">IF($C411="","",IFERROR(INDEX('Master Leads'!$C$6:$C$495,MATCH($C411,'Master Leads'!$A$6:$A$495,0)),""))</f>
        <v/>
      </c>
      <c r="E411" s="30"/>
      <c r="F411" s="30"/>
      <c r="G411" s="21"/>
      <c r="H411" s="22"/>
      <c r="I411" s="23" t="str">
        <f t="array" ref="I411">IF($C411="","",IFERROR(INDEX('Master Leads'!$O$6:$O$495,MATCH($C411,'Master Leads'!$A$6:$A$495,0)),""))</f>
        <v/>
      </c>
      <c r="J411" s="21"/>
    </row>
    <row r="412" ht="15.75" customHeight="1">
      <c r="A412" s="21"/>
      <c r="B412" s="22"/>
      <c r="C412" s="21"/>
      <c r="D412" s="23" t="str">
        <f t="array" ref="D412">IF($C412="","",IFERROR(INDEX('Master Leads'!$C$6:$C$495,MATCH($C412,'Master Leads'!$A$6:$A$495,0)),""))</f>
        <v/>
      </c>
      <c r="E412" s="30"/>
      <c r="F412" s="30"/>
      <c r="G412" s="21"/>
      <c r="H412" s="22"/>
      <c r="I412" s="23" t="str">
        <f t="array" ref="I412">IF($C412="","",IFERROR(INDEX('Master Leads'!$O$6:$O$495,MATCH($C412,'Master Leads'!$A$6:$A$495,0)),""))</f>
        <v/>
      </c>
      <c r="J412" s="21"/>
    </row>
    <row r="413" ht="15.75" customHeight="1">
      <c r="A413" s="21"/>
      <c r="B413" s="22"/>
      <c r="C413" s="21"/>
      <c r="D413" s="23" t="str">
        <f t="array" ref="D413">IF($C413="","",IFERROR(INDEX('Master Leads'!$C$6:$C$495,MATCH($C413,'Master Leads'!$A$6:$A$495,0)),""))</f>
        <v/>
      </c>
      <c r="E413" s="30"/>
      <c r="F413" s="30"/>
      <c r="G413" s="21"/>
      <c r="H413" s="22"/>
      <c r="I413" s="23" t="str">
        <f t="array" ref="I413">IF($C413="","",IFERROR(INDEX('Master Leads'!$O$6:$O$495,MATCH($C413,'Master Leads'!$A$6:$A$495,0)),""))</f>
        <v/>
      </c>
      <c r="J413" s="21"/>
    </row>
    <row r="414" ht="15.75" customHeight="1">
      <c r="A414" s="21"/>
      <c r="B414" s="22"/>
      <c r="C414" s="21"/>
      <c r="D414" s="23" t="str">
        <f t="array" ref="D414">IF($C414="","",IFERROR(INDEX('Master Leads'!$C$6:$C$495,MATCH($C414,'Master Leads'!$A$6:$A$495,0)),""))</f>
        <v/>
      </c>
      <c r="E414" s="30"/>
      <c r="F414" s="30"/>
      <c r="G414" s="21"/>
      <c r="H414" s="22"/>
      <c r="I414" s="23" t="str">
        <f t="array" ref="I414">IF($C414="","",IFERROR(INDEX('Master Leads'!$O$6:$O$495,MATCH($C414,'Master Leads'!$A$6:$A$495,0)),""))</f>
        <v/>
      </c>
      <c r="J414" s="21"/>
    </row>
    <row r="415" ht="15.75" customHeight="1">
      <c r="A415" s="21"/>
      <c r="B415" s="22"/>
      <c r="C415" s="21"/>
      <c r="D415" s="23" t="str">
        <f t="array" ref="D415">IF($C415="","",IFERROR(INDEX('Master Leads'!$C$6:$C$495,MATCH($C415,'Master Leads'!$A$6:$A$495,0)),""))</f>
        <v/>
      </c>
      <c r="E415" s="30"/>
      <c r="F415" s="30"/>
      <c r="G415" s="21"/>
      <c r="H415" s="22"/>
      <c r="I415" s="23" t="str">
        <f t="array" ref="I415">IF($C415="","",IFERROR(INDEX('Master Leads'!$O$6:$O$495,MATCH($C415,'Master Leads'!$A$6:$A$495,0)),""))</f>
        <v/>
      </c>
      <c r="J415" s="21"/>
    </row>
    <row r="416" ht="15.75" customHeight="1">
      <c r="A416" s="21"/>
      <c r="B416" s="22"/>
      <c r="C416" s="21"/>
      <c r="D416" s="23" t="str">
        <f t="array" ref="D416">IF($C416="","",IFERROR(INDEX('Master Leads'!$C$6:$C$495,MATCH($C416,'Master Leads'!$A$6:$A$495,0)),""))</f>
        <v/>
      </c>
      <c r="E416" s="30"/>
      <c r="F416" s="30"/>
      <c r="G416" s="21"/>
      <c r="H416" s="22"/>
      <c r="I416" s="23" t="str">
        <f t="array" ref="I416">IF($C416="","",IFERROR(INDEX('Master Leads'!$O$6:$O$495,MATCH($C416,'Master Leads'!$A$6:$A$495,0)),""))</f>
        <v/>
      </c>
      <c r="J416" s="21"/>
    </row>
    <row r="417" ht="15.75" customHeight="1">
      <c r="A417" s="21"/>
      <c r="B417" s="22"/>
      <c r="C417" s="21"/>
      <c r="D417" s="23" t="str">
        <f t="array" ref="D417">IF($C417="","",IFERROR(INDEX('Master Leads'!$C$6:$C$495,MATCH($C417,'Master Leads'!$A$6:$A$495,0)),""))</f>
        <v/>
      </c>
      <c r="E417" s="30"/>
      <c r="F417" s="30"/>
      <c r="G417" s="21"/>
      <c r="H417" s="22"/>
      <c r="I417" s="23" t="str">
        <f t="array" ref="I417">IF($C417="","",IFERROR(INDEX('Master Leads'!$O$6:$O$495,MATCH($C417,'Master Leads'!$A$6:$A$495,0)),""))</f>
        <v/>
      </c>
      <c r="J417" s="21"/>
    </row>
    <row r="418" ht="15.75" customHeight="1">
      <c r="A418" s="21"/>
      <c r="B418" s="22"/>
      <c r="C418" s="21"/>
      <c r="D418" s="23" t="str">
        <f t="array" ref="D418">IF($C418="","",IFERROR(INDEX('Master Leads'!$C$6:$C$495,MATCH($C418,'Master Leads'!$A$6:$A$495,0)),""))</f>
        <v/>
      </c>
      <c r="E418" s="30"/>
      <c r="F418" s="30"/>
      <c r="G418" s="21"/>
      <c r="H418" s="22"/>
      <c r="I418" s="23" t="str">
        <f t="array" ref="I418">IF($C418="","",IFERROR(INDEX('Master Leads'!$O$6:$O$495,MATCH($C418,'Master Leads'!$A$6:$A$495,0)),""))</f>
        <v/>
      </c>
      <c r="J418" s="21"/>
    </row>
    <row r="419" ht="15.75" customHeight="1">
      <c r="A419" s="21"/>
      <c r="B419" s="22"/>
      <c r="C419" s="21"/>
      <c r="D419" s="23" t="str">
        <f t="array" ref="D419">IF($C419="","",IFERROR(INDEX('Master Leads'!$C$6:$C$495,MATCH($C419,'Master Leads'!$A$6:$A$495,0)),""))</f>
        <v/>
      </c>
      <c r="E419" s="30"/>
      <c r="F419" s="30"/>
      <c r="G419" s="21"/>
      <c r="H419" s="22"/>
      <c r="I419" s="23" t="str">
        <f t="array" ref="I419">IF($C419="","",IFERROR(INDEX('Master Leads'!$O$6:$O$495,MATCH($C419,'Master Leads'!$A$6:$A$495,0)),""))</f>
        <v/>
      </c>
      <c r="J419" s="21"/>
    </row>
    <row r="420" ht="15.75" customHeight="1">
      <c r="A420" s="21"/>
      <c r="B420" s="22"/>
      <c r="C420" s="21"/>
      <c r="D420" s="23" t="str">
        <f t="array" ref="D420">IF($C420="","",IFERROR(INDEX('Master Leads'!$C$6:$C$495,MATCH($C420,'Master Leads'!$A$6:$A$495,0)),""))</f>
        <v/>
      </c>
      <c r="E420" s="30"/>
      <c r="F420" s="30"/>
      <c r="G420" s="21"/>
      <c r="H420" s="22"/>
      <c r="I420" s="23" t="str">
        <f t="array" ref="I420">IF($C420="","",IFERROR(INDEX('Master Leads'!$O$6:$O$495,MATCH($C420,'Master Leads'!$A$6:$A$495,0)),""))</f>
        <v/>
      </c>
      <c r="J420" s="21"/>
    </row>
    <row r="421" ht="15.75" customHeight="1">
      <c r="A421" s="21"/>
      <c r="B421" s="22"/>
      <c r="C421" s="21"/>
      <c r="D421" s="23" t="str">
        <f t="array" ref="D421">IF($C421="","",IFERROR(INDEX('Master Leads'!$C$6:$C$495,MATCH($C421,'Master Leads'!$A$6:$A$495,0)),""))</f>
        <v/>
      </c>
      <c r="E421" s="30"/>
      <c r="F421" s="30"/>
      <c r="G421" s="21"/>
      <c r="H421" s="22"/>
      <c r="I421" s="23" t="str">
        <f t="array" ref="I421">IF($C421="","",IFERROR(INDEX('Master Leads'!$O$6:$O$495,MATCH($C421,'Master Leads'!$A$6:$A$495,0)),""))</f>
        <v/>
      </c>
      <c r="J421" s="21"/>
    </row>
    <row r="422" ht="15.75" customHeight="1">
      <c r="A422" s="21"/>
      <c r="B422" s="22"/>
      <c r="C422" s="21"/>
      <c r="D422" s="23" t="str">
        <f t="array" ref="D422">IF($C422="","",IFERROR(INDEX('Master Leads'!$C$6:$C$495,MATCH($C422,'Master Leads'!$A$6:$A$495,0)),""))</f>
        <v/>
      </c>
      <c r="E422" s="30"/>
      <c r="F422" s="30"/>
      <c r="G422" s="21"/>
      <c r="H422" s="22"/>
      <c r="I422" s="23" t="str">
        <f t="array" ref="I422">IF($C422="","",IFERROR(INDEX('Master Leads'!$O$6:$O$495,MATCH($C422,'Master Leads'!$A$6:$A$495,0)),""))</f>
        <v/>
      </c>
      <c r="J422" s="21"/>
    </row>
    <row r="423" ht="15.75" customHeight="1">
      <c r="A423" s="21"/>
      <c r="B423" s="22"/>
      <c r="C423" s="21"/>
      <c r="D423" s="23" t="str">
        <f t="array" ref="D423">IF($C423="","",IFERROR(INDEX('Master Leads'!$C$6:$C$495,MATCH($C423,'Master Leads'!$A$6:$A$495,0)),""))</f>
        <v/>
      </c>
      <c r="E423" s="30"/>
      <c r="F423" s="30"/>
      <c r="G423" s="21"/>
      <c r="H423" s="22"/>
      <c r="I423" s="23" t="str">
        <f t="array" ref="I423">IF($C423="","",IFERROR(INDEX('Master Leads'!$O$6:$O$495,MATCH($C423,'Master Leads'!$A$6:$A$495,0)),""))</f>
        <v/>
      </c>
      <c r="J423" s="21"/>
    </row>
    <row r="424" ht="15.75" customHeight="1">
      <c r="A424" s="21"/>
      <c r="B424" s="22"/>
      <c r="C424" s="21"/>
      <c r="D424" s="23" t="str">
        <f t="array" ref="D424">IF($C424="","",IFERROR(INDEX('Master Leads'!$C$6:$C$495,MATCH($C424,'Master Leads'!$A$6:$A$495,0)),""))</f>
        <v/>
      </c>
      <c r="E424" s="30"/>
      <c r="F424" s="30"/>
      <c r="G424" s="21"/>
      <c r="H424" s="22"/>
      <c r="I424" s="23" t="str">
        <f t="array" ref="I424">IF($C424="","",IFERROR(INDEX('Master Leads'!$O$6:$O$495,MATCH($C424,'Master Leads'!$A$6:$A$495,0)),""))</f>
        <v/>
      </c>
      <c r="J424" s="21"/>
    </row>
    <row r="425" ht="15.75" customHeight="1">
      <c r="A425" s="21"/>
      <c r="B425" s="22"/>
      <c r="C425" s="21"/>
      <c r="D425" s="23" t="str">
        <f t="array" ref="D425">IF($C425="","",IFERROR(INDEX('Master Leads'!$C$6:$C$495,MATCH($C425,'Master Leads'!$A$6:$A$495,0)),""))</f>
        <v/>
      </c>
      <c r="E425" s="30"/>
      <c r="F425" s="30"/>
      <c r="G425" s="21"/>
      <c r="H425" s="22"/>
      <c r="I425" s="23" t="str">
        <f t="array" ref="I425">IF($C425="","",IFERROR(INDEX('Master Leads'!$O$6:$O$495,MATCH($C425,'Master Leads'!$A$6:$A$495,0)),""))</f>
        <v/>
      </c>
      <c r="J425" s="21"/>
    </row>
    <row r="426" ht="15.75" customHeight="1">
      <c r="A426" s="21"/>
      <c r="B426" s="22"/>
      <c r="C426" s="21"/>
      <c r="D426" s="23" t="str">
        <f t="array" ref="D426">IF($C426="","",IFERROR(INDEX('Master Leads'!$C$6:$C$495,MATCH($C426,'Master Leads'!$A$6:$A$495,0)),""))</f>
        <v/>
      </c>
      <c r="E426" s="30"/>
      <c r="F426" s="30"/>
      <c r="G426" s="21"/>
      <c r="H426" s="22"/>
      <c r="I426" s="23" t="str">
        <f t="array" ref="I426">IF($C426="","",IFERROR(INDEX('Master Leads'!$O$6:$O$495,MATCH($C426,'Master Leads'!$A$6:$A$495,0)),""))</f>
        <v/>
      </c>
      <c r="J426" s="21"/>
    </row>
    <row r="427" ht="15.75" customHeight="1">
      <c r="A427" s="21"/>
      <c r="B427" s="22"/>
      <c r="C427" s="21"/>
      <c r="D427" s="23" t="str">
        <f t="array" ref="D427">IF($C427="","",IFERROR(INDEX('Master Leads'!$C$6:$C$495,MATCH($C427,'Master Leads'!$A$6:$A$495,0)),""))</f>
        <v/>
      </c>
      <c r="E427" s="30"/>
      <c r="F427" s="30"/>
      <c r="G427" s="21"/>
      <c r="H427" s="22"/>
      <c r="I427" s="23" t="str">
        <f t="array" ref="I427">IF($C427="","",IFERROR(INDEX('Master Leads'!$O$6:$O$495,MATCH($C427,'Master Leads'!$A$6:$A$495,0)),""))</f>
        <v/>
      </c>
      <c r="J427" s="21"/>
    </row>
    <row r="428" ht="15.75" customHeight="1">
      <c r="A428" s="21"/>
      <c r="B428" s="22"/>
      <c r="C428" s="21"/>
      <c r="D428" s="23" t="str">
        <f t="array" ref="D428">IF($C428="","",IFERROR(INDEX('Master Leads'!$C$6:$C$495,MATCH($C428,'Master Leads'!$A$6:$A$495,0)),""))</f>
        <v/>
      </c>
      <c r="E428" s="30"/>
      <c r="F428" s="30"/>
      <c r="G428" s="21"/>
      <c r="H428" s="22"/>
      <c r="I428" s="23" t="str">
        <f t="array" ref="I428">IF($C428="","",IFERROR(INDEX('Master Leads'!$O$6:$O$495,MATCH($C428,'Master Leads'!$A$6:$A$495,0)),""))</f>
        <v/>
      </c>
      <c r="J428" s="21"/>
    </row>
    <row r="429" ht="15.75" customHeight="1">
      <c r="A429" s="21"/>
      <c r="B429" s="22"/>
      <c r="C429" s="21"/>
      <c r="D429" s="23" t="str">
        <f t="array" ref="D429">IF($C429="","",IFERROR(INDEX('Master Leads'!$C$6:$C$495,MATCH($C429,'Master Leads'!$A$6:$A$495,0)),""))</f>
        <v/>
      </c>
      <c r="E429" s="30"/>
      <c r="F429" s="30"/>
      <c r="G429" s="21"/>
      <c r="H429" s="22"/>
      <c r="I429" s="23" t="str">
        <f t="array" ref="I429">IF($C429="","",IFERROR(INDEX('Master Leads'!$O$6:$O$495,MATCH($C429,'Master Leads'!$A$6:$A$495,0)),""))</f>
        <v/>
      </c>
      <c r="J429" s="21"/>
    </row>
    <row r="430" ht="15.75" customHeight="1">
      <c r="A430" s="21"/>
      <c r="B430" s="22"/>
      <c r="C430" s="21"/>
      <c r="D430" s="23" t="str">
        <f t="array" ref="D430">IF($C430="","",IFERROR(INDEX('Master Leads'!$C$6:$C$495,MATCH($C430,'Master Leads'!$A$6:$A$495,0)),""))</f>
        <v/>
      </c>
      <c r="E430" s="30"/>
      <c r="F430" s="30"/>
      <c r="G430" s="21"/>
      <c r="H430" s="22"/>
      <c r="I430" s="23" t="str">
        <f t="array" ref="I430">IF($C430="","",IFERROR(INDEX('Master Leads'!$O$6:$O$495,MATCH($C430,'Master Leads'!$A$6:$A$495,0)),""))</f>
        <v/>
      </c>
      <c r="J430" s="21"/>
    </row>
    <row r="431" ht="15.75" customHeight="1">
      <c r="A431" s="21"/>
      <c r="B431" s="22"/>
      <c r="C431" s="21"/>
      <c r="D431" s="23" t="str">
        <f t="array" ref="D431">IF($C431="","",IFERROR(INDEX('Master Leads'!$C$6:$C$495,MATCH($C431,'Master Leads'!$A$6:$A$495,0)),""))</f>
        <v/>
      </c>
      <c r="E431" s="30"/>
      <c r="F431" s="30"/>
      <c r="G431" s="21"/>
      <c r="H431" s="22"/>
      <c r="I431" s="23" t="str">
        <f t="array" ref="I431">IF($C431="","",IFERROR(INDEX('Master Leads'!$O$6:$O$495,MATCH($C431,'Master Leads'!$A$6:$A$495,0)),""))</f>
        <v/>
      </c>
      <c r="J431" s="21"/>
    </row>
    <row r="432" ht="15.75" customHeight="1">
      <c r="A432" s="21"/>
      <c r="B432" s="22"/>
      <c r="C432" s="21"/>
      <c r="D432" s="23" t="str">
        <f t="array" ref="D432">IF($C432="","",IFERROR(INDEX('Master Leads'!$C$6:$C$495,MATCH($C432,'Master Leads'!$A$6:$A$495,0)),""))</f>
        <v/>
      </c>
      <c r="E432" s="30"/>
      <c r="F432" s="30"/>
      <c r="G432" s="21"/>
      <c r="H432" s="22"/>
      <c r="I432" s="23" t="str">
        <f t="array" ref="I432">IF($C432="","",IFERROR(INDEX('Master Leads'!$O$6:$O$495,MATCH($C432,'Master Leads'!$A$6:$A$495,0)),""))</f>
        <v/>
      </c>
      <c r="J432" s="21"/>
    </row>
    <row r="433" ht="15.75" customHeight="1">
      <c r="A433" s="21"/>
      <c r="B433" s="22"/>
      <c r="C433" s="21"/>
      <c r="D433" s="23" t="str">
        <f t="array" ref="D433">IF($C433="","",IFERROR(INDEX('Master Leads'!$C$6:$C$495,MATCH($C433,'Master Leads'!$A$6:$A$495,0)),""))</f>
        <v/>
      </c>
      <c r="E433" s="30"/>
      <c r="F433" s="30"/>
      <c r="G433" s="21"/>
      <c r="H433" s="22"/>
      <c r="I433" s="23" t="str">
        <f t="array" ref="I433">IF($C433="","",IFERROR(INDEX('Master Leads'!$O$6:$O$495,MATCH($C433,'Master Leads'!$A$6:$A$495,0)),""))</f>
        <v/>
      </c>
      <c r="J433" s="21"/>
    </row>
    <row r="434" ht="15.75" customHeight="1">
      <c r="A434" s="21"/>
      <c r="B434" s="22"/>
      <c r="C434" s="21"/>
      <c r="D434" s="23" t="str">
        <f t="array" ref="D434">IF($C434="","",IFERROR(INDEX('Master Leads'!$C$6:$C$495,MATCH($C434,'Master Leads'!$A$6:$A$495,0)),""))</f>
        <v/>
      </c>
      <c r="E434" s="30"/>
      <c r="F434" s="30"/>
      <c r="G434" s="21"/>
      <c r="H434" s="22"/>
      <c r="I434" s="23" t="str">
        <f t="array" ref="I434">IF($C434="","",IFERROR(INDEX('Master Leads'!$O$6:$O$495,MATCH($C434,'Master Leads'!$A$6:$A$495,0)),""))</f>
        <v/>
      </c>
      <c r="J434" s="21"/>
    </row>
    <row r="435" ht="15.75" customHeight="1">
      <c r="A435" s="21"/>
      <c r="B435" s="22"/>
      <c r="C435" s="21"/>
      <c r="D435" s="23" t="str">
        <f t="array" ref="D435">IF($C435="","",IFERROR(INDEX('Master Leads'!$C$6:$C$495,MATCH($C435,'Master Leads'!$A$6:$A$495,0)),""))</f>
        <v/>
      </c>
      <c r="E435" s="30"/>
      <c r="F435" s="30"/>
      <c r="G435" s="21"/>
      <c r="H435" s="22"/>
      <c r="I435" s="23" t="str">
        <f t="array" ref="I435">IF($C435="","",IFERROR(INDEX('Master Leads'!$O$6:$O$495,MATCH($C435,'Master Leads'!$A$6:$A$495,0)),""))</f>
        <v/>
      </c>
      <c r="J435" s="21"/>
    </row>
    <row r="436" ht="15.75" customHeight="1">
      <c r="A436" s="21"/>
      <c r="B436" s="22"/>
      <c r="C436" s="21"/>
      <c r="D436" s="23" t="str">
        <f t="array" ref="D436">IF($C436="","",IFERROR(INDEX('Master Leads'!$C$6:$C$495,MATCH($C436,'Master Leads'!$A$6:$A$495,0)),""))</f>
        <v/>
      </c>
      <c r="E436" s="30"/>
      <c r="F436" s="30"/>
      <c r="G436" s="21"/>
      <c r="H436" s="22"/>
      <c r="I436" s="23" t="str">
        <f t="array" ref="I436">IF($C436="","",IFERROR(INDEX('Master Leads'!$O$6:$O$495,MATCH($C436,'Master Leads'!$A$6:$A$495,0)),""))</f>
        <v/>
      </c>
      <c r="J436" s="21"/>
    </row>
    <row r="437" ht="15.75" customHeight="1">
      <c r="A437" s="21"/>
      <c r="B437" s="22"/>
      <c r="C437" s="21"/>
      <c r="D437" s="23" t="str">
        <f t="array" ref="D437">IF($C437="","",IFERROR(INDEX('Master Leads'!$C$6:$C$495,MATCH($C437,'Master Leads'!$A$6:$A$495,0)),""))</f>
        <v/>
      </c>
      <c r="E437" s="30"/>
      <c r="F437" s="30"/>
      <c r="G437" s="21"/>
      <c r="H437" s="22"/>
      <c r="I437" s="23" t="str">
        <f t="array" ref="I437">IF($C437="","",IFERROR(INDEX('Master Leads'!$O$6:$O$495,MATCH($C437,'Master Leads'!$A$6:$A$495,0)),""))</f>
        <v/>
      </c>
      <c r="J437" s="21"/>
    </row>
    <row r="438" ht="15.75" customHeight="1">
      <c r="A438" s="21"/>
      <c r="B438" s="22"/>
      <c r="C438" s="21"/>
      <c r="D438" s="23" t="str">
        <f t="array" ref="D438">IF($C438="","",IFERROR(INDEX('Master Leads'!$C$6:$C$495,MATCH($C438,'Master Leads'!$A$6:$A$495,0)),""))</f>
        <v/>
      </c>
      <c r="E438" s="30"/>
      <c r="F438" s="30"/>
      <c r="G438" s="21"/>
      <c r="H438" s="22"/>
      <c r="I438" s="23" t="str">
        <f t="array" ref="I438">IF($C438="","",IFERROR(INDEX('Master Leads'!$O$6:$O$495,MATCH($C438,'Master Leads'!$A$6:$A$495,0)),""))</f>
        <v/>
      </c>
      <c r="J438" s="21"/>
    </row>
    <row r="439" ht="15.75" customHeight="1">
      <c r="A439" s="21"/>
      <c r="B439" s="22"/>
      <c r="C439" s="21"/>
      <c r="D439" s="23" t="str">
        <f t="array" ref="D439">IF($C439="","",IFERROR(INDEX('Master Leads'!$C$6:$C$495,MATCH($C439,'Master Leads'!$A$6:$A$495,0)),""))</f>
        <v/>
      </c>
      <c r="E439" s="30"/>
      <c r="F439" s="30"/>
      <c r="G439" s="21"/>
      <c r="H439" s="22"/>
      <c r="I439" s="23" t="str">
        <f t="array" ref="I439">IF($C439="","",IFERROR(INDEX('Master Leads'!$O$6:$O$495,MATCH($C439,'Master Leads'!$A$6:$A$495,0)),""))</f>
        <v/>
      </c>
      <c r="J439" s="21"/>
    </row>
    <row r="440" ht="15.75" customHeight="1">
      <c r="A440" s="21"/>
      <c r="B440" s="22"/>
      <c r="C440" s="21"/>
      <c r="D440" s="23" t="str">
        <f t="array" ref="D440">IF($C440="","",IFERROR(INDEX('Master Leads'!$C$6:$C$495,MATCH($C440,'Master Leads'!$A$6:$A$495,0)),""))</f>
        <v/>
      </c>
      <c r="E440" s="30"/>
      <c r="F440" s="30"/>
      <c r="G440" s="21"/>
      <c r="H440" s="22"/>
      <c r="I440" s="23" t="str">
        <f t="array" ref="I440">IF($C440="","",IFERROR(INDEX('Master Leads'!$O$6:$O$495,MATCH($C440,'Master Leads'!$A$6:$A$495,0)),""))</f>
        <v/>
      </c>
      <c r="J440" s="21"/>
    </row>
    <row r="441" ht="15.75" customHeight="1">
      <c r="A441" s="21"/>
      <c r="B441" s="22"/>
      <c r="C441" s="21"/>
      <c r="D441" s="23" t="str">
        <f t="array" ref="D441">IF($C441="","",IFERROR(INDEX('Master Leads'!$C$6:$C$495,MATCH($C441,'Master Leads'!$A$6:$A$495,0)),""))</f>
        <v/>
      </c>
      <c r="E441" s="30"/>
      <c r="F441" s="30"/>
      <c r="G441" s="21"/>
      <c r="H441" s="22"/>
      <c r="I441" s="23" t="str">
        <f t="array" ref="I441">IF($C441="","",IFERROR(INDEX('Master Leads'!$O$6:$O$495,MATCH($C441,'Master Leads'!$A$6:$A$495,0)),""))</f>
        <v/>
      </c>
      <c r="J441" s="21"/>
    </row>
    <row r="442" ht="15.75" customHeight="1">
      <c r="A442" s="21"/>
      <c r="B442" s="22"/>
      <c r="C442" s="21"/>
      <c r="D442" s="23" t="str">
        <f t="array" ref="D442">IF($C442="","",IFERROR(INDEX('Master Leads'!$C$6:$C$495,MATCH($C442,'Master Leads'!$A$6:$A$495,0)),""))</f>
        <v/>
      </c>
      <c r="E442" s="30"/>
      <c r="F442" s="30"/>
      <c r="G442" s="21"/>
      <c r="H442" s="22"/>
      <c r="I442" s="23" t="str">
        <f t="array" ref="I442">IF($C442="","",IFERROR(INDEX('Master Leads'!$O$6:$O$495,MATCH($C442,'Master Leads'!$A$6:$A$495,0)),""))</f>
        <v/>
      </c>
      <c r="J442" s="21"/>
    </row>
    <row r="443" ht="15.75" customHeight="1">
      <c r="A443" s="21"/>
      <c r="B443" s="22"/>
      <c r="C443" s="21"/>
      <c r="D443" s="23" t="str">
        <f t="array" ref="D443">IF($C443="","",IFERROR(INDEX('Master Leads'!$C$6:$C$495,MATCH($C443,'Master Leads'!$A$6:$A$495,0)),""))</f>
        <v/>
      </c>
      <c r="E443" s="30"/>
      <c r="F443" s="30"/>
      <c r="G443" s="21"/>
      <c r="H443" s="22"/>
      <c r="I443" s="23" t="str">
        <f t="array" ref="I443">IF($C443="","",IFERROR(INDEX('Master Leads'!$O$6:$O$495,MATCH($C443,'Master Leads'!$A$6:$A$495,0)),""))</f>
        <v/>
      </c>
      <c r="J443" s="21"/>
    </row>
    <row r="444" ht="15.75" customHeight="1">
      <c r="A444" s="21"/>
      <c r="B444" s="22"/>
      <c r="C444" s="21"/>
      <c r="D444" s="23" t="str">
        <f t="array" ref="D444">IF($C444="","",IFERROR(INDEX('Master Leads'!$C$6:$C$495,MATCH($C444,'Master Leads'!$A$6:$A$495,0)),""))</f>
        <v/>
      </c>
      <c r="E444" s="30"/>
      <c r="F444" s="30"/>
      <c r="G444" s="21"/>
      <c r="H444" s="22"/>
      <c r="I444" s="23" t="str">
        <f t="array" ref="I444">IF($C444="","",IFERROR(INDEX('Master Leads'!$O$6:$O$495,MATCH($C444,'Master Leads'!$A$6:$A$495,0)),""))</f>
        <v/>
      </c>
      <c r="J444" s="21"/>
    </row>
    <row r="445" ht="15.75" customHeight="1">
      <c r="A445" s="21"/>
      <c r="B445" s="22"/>
      <c r="C445" s="21"/>
      <c r="D445" s="23" t="str">
        <f t="array" ref="D445">IF($C445="","",IFERROR(INDEX('Master Leads'!$C$6:$C$495,MATCH($C445,'Master Leads'!$A$6:$A$495,0)),""))</f>
        <v/>
      </c>
      <c r="E445" s="30"/>
      <c r="F445" s="30"/>
      <c r="G445" s="21"/>
      <c r="H445" s="22"/>
      <c r="I445" s="23" t="str">
        <f t="array" ref="I445">IF($C445="","",IFERROR(INDEX('Master Leads'!$O$6:$O$495,MATCH($C445,'Master Leads'!$A$6:$A$495,0)),""))</f>
        <v/>
      </c>
      <c r="J445" s="21"/>
    </row>
    <row r="446" ht="15.75" customHeight="1">
      <c r="A446" s="21"/>
      <c r="B446" s="22"/>
      <c r="C446" s="21"/>
      <c r="D446" s="23" t="str">
        <f t="array" ref="D446">IF($C446="","",IFERROR(INDEX('Master Leads'!$C$6:$C$495,MATCH($C446,'Master Leads'!$A$6:$A$495,0)),""))</f>
        <v/>
      </c>
      <c r="E446" s="30"/>
      <c r="F446" s="30"/>
      <c r="G446" s="21"/>
      <c r="H446" s="22"/>
      <c r="I446" s="23" t="str">
        <f t="array" ref="I446">IF($C446="","",IFERROR(INDEX('Master Leads'!$O$6:$O$495,MATCH($C446,'Master Leads'!$A$6:$A$495,0)),""))</f>
        <v/>
      </c>
      <c r="J446" s="21"/>
    </row>
    <row r="447" ht="15.75" customHeight="1">
      <c r="A447" s="21"/>
      <c r="B447" s="22"/>
      <c r="C447" s="21"/>
      <c r="D447" s="23" t="str">
        <f t="array" ref="D447">IF($C447="","",IFERROR(INDEX('Master Leads'!$C$6:$C$495,MATCH($C447,'Master Leads'!$A$6:$A$495,0)),""))</f>
        <v/>
      </c>
      <c r="E447" s="30"/>
      <c r="F447" s="30"/>
      <c r="G447" s="21"/>
      <c r="H447" s="22"/>
      <c r="I447" s="23" t="str">
        <f t="array" ref="I447">IF($C447="","",IFERROR(INDEX('Master Leads'!$O$6:$O$495,MATCH($C447,'Master Leads'!$A$6:$A$495,0)),""))</f>
        <v/>
      </c>
      <c r="J447" s="21"/>
    </row>
    <row r="448" ht="15.75" customHeight="1">
      <c r="A448" s="21"/>
      <c r="B448" s="22"/>
      <c r="C448" s="21"/>
      <c r="D448" s="23" t="str">
        <f t="array" ref="D448">IF($C448="","",IFERROR(INDEX('Master Leads'!$C$6:$C$495,MATCH($C448,'Master Leads'!$A$6:$A$495,0)),""))</f>
        <v/>
      </c>
      <c r="E448" s="30"/>
      <c r="F448" s="30"/>
      <c r="G448" s="21"/>
      <c r="H448" s="22"/>
      <c r="I448" s="23" t="str">
        <f t="array" ref="I448">IF($C448="","",IFERROR(INDEX('Master Leads'!$O$6:$O$495,MATCH($C448,'Master Leads'!$A$6:$A$495,0)),""))</f>
        <v/>
      </c>
      <c r="J448" s="21"/>
    </row>
    <row r="449" ht="15.75" customHeight="1">
      <c r="A449" s="21"/>
      <c r="B449" s="22"/>
      <c r="C449" s="21"/>
      <c r="D449" s="23" t="str">
        <f t="array" ref="D449">IF($C449="","",IFERROR(INDEX('Master Leads'!$C$6:$C$495,MATCH($C449,'Master Leads'!$A$6:$A$495,0)),""))</f>
        <v/>
      </c>
      <c r="E449" s="30"/>
      <c r="F449" s="30"/>
      <c r="G449" s="21"/>
      <c r="H449" s="22"/>
      <c r="I449" s="23" t="str">
        <f t="array" ref="I449">IF($C449="","",IFERROR(INDEX('Master Leads'!$O$6:$O$495,MATCH($C449,'Master Leads'!$A$6:$A$495,0)),""))</f>
        <v/>
      </c>
      <c r="J449" s="21"/>
    </row>
    <row r="450" ht="15.75" customHeight="1">
      <c r="A450" s="21"/>
      <c r="B450" s="22"/>
      <c r="C450" s="21"/>
      <c r="D450" s="23" t="str">
        <f t="array" ref="D450">IF($C450="","",IFERROR(INDEX('Master Leads'!$C$6:$C$495,MATCH($C450,'Master Leads'!$A$6:$A$495,0)),""))</f>
        <v/>
      </c>
      <c r="E450" s="30"/>
      <c r="F450" s="30"/>
      <c r="G450" s="21"/>
      <c r="H450" s="22"/>
      <c r="I450" s="23" t="str">
        <f t="array" ref="I450">IF($C450="","",IFERROR(INDEX('Master Leads'!$O$6:$O$495,MATCH($C450,'Master Leads'!$A$6:$A$495,0)),""))</f>
        <v/>
      </c>
      <c r="J450" s="21"/>
    </row>
    <row r="451" ht="15.75" customHeight="1">
      <c r="A451" s="21"/>
      <c r="B451" s="22"/>
      <c r="C451" s="21"/>
      <c r="D451" s="23" t="str">
        <f t="array" ref="D451">IF($C451="","",IFERROR(INDEX('Master Leads'!$C$6:$C$495,MATCH($C451,'Master Leads'!$A$6:$A$495,0)),""))</f>
        <v/>
      </c>
      <c r="E451" s="30"/>
      <c r="F451" s="30"/>
      <c r="G451" s="21"/>
      <c r="H451" s="22"/>
      <c r="I451" s="23" t="str">
        <f t="array" ref="I451">IF($C451="","",IFERROR(INDEX('Master Leads'!$O$6:$O$495,MATCH($C451,'Master Leads'!$A$6:$A$495,0)),""))</f>
        <v/>
      </c>
      <c r="J451" s="21"/>
    </row>
    <row r="452" ht="15.75" customHeight="1">
      <c r="A452" s="21"/>
      <c r="B452" s="22"/>
      <c r="C452" s="21"/>
      <c r="D452" s="23" t="str">
        <f t="array" ref="D452">IF($C452="","",IFERROR(INDEX('Master Leads'!$C$6:$C$495,MATCH($C452,'Master Leads'!$A$6:$A$495,0)),""))</f>
        <v/>
      </c>
      <c r="E452" s="30"/>
      <c r="F452" s="30"/>
      <c r="G452" s="21"/>
      <c r="H452" s="22"/>
      <c r="I452" s="23" t="str">
        <f t="array" ref="I452">IF($C452="","",IFERROR(INDEX('Master Leads'!$O$6:$O$495,MATCH($C452,'Master Leads'!$A$6:$A$495,0)),""))</f>
        <v/>
      </c>
      <c r="J452" s="21"/>
    </row>
    <row r="453" ht="15.75" customHeight="1">
      <c r="A453" s="21"/>
      <c r="B453" s="22"/>
      <c r="C453" s="21"/>
      <c r="D453" s="23" t="str">
        <f t="array" ref="D453">IF($C453="","",IFERROR(INDEX('Master Leads'!$C$6:$C$495,MATCH($C453,'Master Leads'!$A$6:$A$495,0)),""))</f>
        <v/>
      </c>
      <c r="E453" s="30"/>
      <c r="F453" s="30"/>
      <c r="G453" s="21"/>
      <c r="H453" s="22"/>
      <c r="I453" s="23" t="str">
        <f t="array" ref="I453">IF($C453="","",IFERROR(INDEX('Master Leads'!$O$6:$O$495,MATCH($C453,'Master Leads'!$A$6:$A$495,0)),""))</f>
        <v/>
      </c>
      <c r="J453" s="21"/>
    </row>
    <row r="454" ht="15.75" customHeight="1">
      <c r="A454" s="21"/>
      <c r="B454" s="22"/>
      <c r="C454" s="21"/>
      <c r="D454" s="23" t="str">
        <f t="array" ref="D454">IF($C454="","",IFERROR(INDEX('Master Leads'!$C$6:$C$495,MATCH($C454,'Master Leads'!$A$6:$A$495,0)),""))</f>
        <v/>
      </c>
      <c r="E454" s="30"/>
      <c r="F454" s="30"/>
      <c r="G454" s="21"/>
      <c r="H454" s="22"/>
      <c r="I454" s="23" t="str">
        <f t="array" ref="I454">IF($C454="","",IFERROR(INDEX('Master Leads'!$O$6:$O$495,MATCH($C454,'Master Leads'!$A$6:$A$495,0)),""))</f>
        <v/>
      </c>
      <c r="J454" s="21"/>
    </row>
    <row r="455" ht="15.75" customHeight="1">
      <c r="A455" s="21"/>
      <c r="B455" s="22"/>
      <c r="C455" s="21"/>
      <c r="D455" s="23" t="str">
        <f t="array" ref="D455">IF($C455="","",IFERROR(INDEX('Master Leads'!$C$6:$C$495,MATCH($C455,'Master Leads'!$A$6:$A$495,0)),""))</f>
        <v/>
      </c>
      <c r="E455" s="30"/>
      <c r="F455" s="30"/>
      <c r="G455" s="21"/>
      <c r="H455" s="22"/>
      <c r="I455" s="23" t="str">
        <f t="array" ref="I455">IF($C455="","",IFERROR(INDEX('Master Leads'!$O$6:$O$495,MATCH($C455,'Master Leads'!$A$6:$A$495,0)),""))</f>
        <v/>
      </c>
      <c r="J455" s="21"/>
    </row>
    <row r="456" ht="15.75" customHeight="1">
      <c r="A456" s="21"/>
      <c r="B456" s="22"/>
      <c r="C456" s="21"/>
      <c r="D456" s="23" t="str">
        <f t="array" ref="D456">IF($C456="","",IFERROR(INDEX('Master Leads'!$C$6:$C$495,MATCH($C456,'Master Leads'!$A$6:$A$495,0)),""))</f>
        <v/>
      </c>
      <c r="E456" s="30"/>
      <c r="F456" s="30"/>
      <c r="G456" s="21"/>
      <c r="H456" s="22"/>
      <c r="I456" s="23" t="str">
        <f t="array" ref="I456">IF($C456="","",IFERROR(INDEX('Master Leads'!$O$6:$O$495,MATCH($C456,'Master Leads'!$A$6:$A$495,0)),""))</f>
        <v/>
      </c>
      <c r="J456" s="21"/>
    </row>
    <row r="457" ht="15.75" customHeight="1">
      <c r="A457" s="21"/>
      <c r="B457" s="22"/>
      <c r="C457" s="21"/>
      <c r="D457" s="23" t="str">
        <f t="array" ref="D457">IF($C457="","",IFERROR(INDEX('Master Leads'!$C$6:$C$495,MATCH($C457,'Master Leads'!$A$6:$A$495,0)),""))</f>
        <v/>
      </c>
      <c r="E457" s="30"/>
      <c r="F457" s="30"/>
      <c r="G457" s="21"/>
      <c r="H457" s="22"/>
      <c r="I457" s="23" t="str">
        <f t="array" ref="I457">IF($C457="","",IFERROR(INDEX('Master Leads'!$O$6:$O$495,MATCH($C457,'Master Leads'!$A$6:$A$495,0)),""))</f>
        <v/>
      </c>
      <c r="J457" s="21"/>
    </row>
    <row r="458" ht="15.75" customHeight="1">
      <c r="A458" s="21"/>
      <c r="B458" s="22"/>
      <c r="C458" s="21"/>
      <c r="D458" s="23" t="str">
        <f t="array" ref="D458">IF($C458="","",IFERROR(INDEX('Master Leads'!$C$6:$C$495,MATCH($C458,'Master Leads'!$A$6:$A$495,0)),""))</f>
        <v/>
      </c>
      <c r="E458" s="30"/>
      <c r="F458" s="30"/>
      <c r="G458" s="21"/>
      <c r="H458" s="22"/>
      <c r="I458" s="23" t="str">
        <f t="array" ref="I458">IF($C458="","",IFERROR(INDEX('Master Leads'!$O$6:$O$495,MATCH($C458,'Master Leads'!$A$6:$A$495,0)),""))</f>
        <v/>
      </c>
      <c r="J458" s="21"/>
    </row>
    <row r="459" ht="15.75" customHeight="1">
      <c r="A459" s="21"/>
      <c r="B459" s="22"/>
      <c r="C459" s="21"/>
      <c r="D459" s="23" t="str">
        <f t="array" ref="D459">IF($C459="","",IFERROR(INDEX('Master Leads'!$C$6:$C$495,MATCH($C459,'Master Leads'!$A$6:$A$495,0)),""))</f>
        <v/>
      </c>
      <c r="E459" s="30"/>
      <c r="F459" s="30"/>
      <c r="G459" s="21"/>
      <c r="H459" s="22"/>
      <c r="I459" s="23" t="str">
        <f t="array" ref="I459">IF($C459="","",IFERROR(INDEX('Master Leads'!$O$6:$O$495,MATCH($C459,'Master Leads'!$A$6:$A$495,0)),""))</f>
        <v/>
      </c>
      <c r="J459" s="21"/>
    </row>
    <row r="460" ht="15.75" customHeight="1">
      <c r="A460" s="21"/>
      <c r="B460" s="22"/>
      <c r="C460" s="21"/>
      <c r="D460" s="23" t="str">
        <f t="array" ref="D460">IF($C460="","",IFERROR(INDEX('Master Leads'!$C$6:$C$495,MATCH($C460,'Master Leads'!$A$6:$A$495,0)),""))</f>
        <v/>
      </c>
      <c r="E460" s="30"/>
      <c r="F460" s="30"/>
      <c r="G460" s="21"/>
      <c r="H460" s="22"/>
      <c r="I460" s="23" t="str">
        <f t="array" ref="I460">IF($C460="","",IFERROR(INDEX('Master Leads'!$O$6:$O$495,MATCH($C460,'Master Leads'!$A$6:$A$495,0)),""))</f>
        <v/>
      </c>
      <c r="J460" s="21"/>
    </row>
    <row r="461" ht="15.75" customHeight="1">
      <c r="A461" s="21"/>
      <c r="B461" s="22"/>
      <c r="C461" s="21"/>
      <c r="D461" s="23" t="str">
        <f t="array" ref="D461">IF($C461="","",IFERROR(INDEX('Master Leads'!$C$6:$C$495,MATCH($C461,'Master Leads'!$A$6:$A$495,0)),""))</f>
        <v/>
      </c>
      <c r="E461" s="30"/>
      <c r="F461" s="30"/>
      <c r="G461" s="21"/>
      <c r="H461" s="22"/>
      <c r="I461" s="23" t="str">
        <f t="array" ref="I461">IF($C461="","",IFERROR(INDEX('Master Leads'!$O$6:$O$495,MATCH($C461,'Master Leads'!$A$6:$A$495,0)),""))</f>
        <v/>
      </c>
      <c r="J461" s="21"/>
    </row>
    <row r="462" ht="15.75" customHeight="1">
      <c r="A462" s="21"/>
      <c r="B462" s="22"/>
      <c r="C462" s="21"/>
      <c r="D462" s="23" t="str">
        <f t="array" ref="D462">IF($C462="","",IFERROR(INDEX('Master Leads'!$C$6:$C$495,MATCH($C462,'Master Leads'!$A$6:$A$495,0)),""))</f>
        <v/>
      </c>
      <c r="E462" s="30"/>
      <c r="F462" s="30"/>
      <c r="G462" s="21"/>
      <c r="H462" s="22"/>
      <c r="I462" s="23" t="str">
        <f t="array" ref="I462">IF($C462="","",IFERROR(INDEX('Master Leads'!$O$6:$O$495,MATCH($C462,'Master Leads'!$A$6:$A$495,0)),""))</f>
        <v/>
      </c>
      <c r="J462" s="21"/>
    </row>
    <row r="463" ht="15.75" customHeight="1">
      <c r="A463" s="21"/>
      <c r="B463" s="22"/>
      <c r="C463" s="21"/>
      <c r="D463" s="23" t="str">
        <f t="array" ref="D463">IF($C463="","",IFERROR(INDEX('Master Leads'!$C$6:$C$495,MATCH($C463,'Master Leads'!$A$6:$A$495,0)),""))</f>
        <v/>
      </c>
      <c r="E463" s="30"/>
      <c r="F463" s="30"/>
      <c r="G463" s="21"/>
      <c r="H463" s="22"/>
      <c r="I463" s="23" t="str">
        <f t="array" ref="I463">IF($C463="","",IFERROR(INDEX('Master Leads'!$O$6:$O$495,MATCH($C463,'Master Leads'!$A$6:$A$495,0)),""))</f>
        <v/>
      </c>
      <c r="J463" s="21"/>
    </row>
    <row r="464" ht="15.75" customHeight="1">
      <c r="A464" s="21"/>
      <c r="B464" s="22"/>
      <c r="C464" s="21"/>
      <c r="D464" s="23" t="str">
        <f t="array" ref="D464">IF($C464="","",IFERROR(INDEX('Master Leads'!$C$6:$C$495,MATCH($C464,'Master Leads'!$A$6:$A$495,0)),""))</f>
        <v/>
      </c>
      <c r="E464" s="30"/>
      <c r="F464" s="30"/>
      <c r="G464" s="21"/>
      <c r="H464" s="22"/>
      <c r="I464" s="23" t="str">
        <f t="array" ref="I464">IF($C464="","",IFERROR(INDEX('Master Leads'!$O$6:$O$495,MATCH($C464,'Master Leads'!$A$6:$A$495,0)),""))</f>
        <v/>
      </c>
      <c r="J464" s="21"/>
    </row>
    <row r="465" ht="15.75" customHeight="1">
      <c r="A465" s="21"/>
      <c r="B465" s="22"/>
      <c r="C465" s="21"/>
      <c r="D465" s="23" t="str">
        <f t="array" ref="D465">IF($C465="","",IFERROR(INDEX('Master Leads'!$C$6:$C$495,MATCH($C465,'Master Leads'!$A$6:$A$495,0)),""))</f>
        <v/>
      </c>
      <c r="E465" s="30"/>
      <c r="F465" s="30"/>
      <c r="G465" s="21"/>
      <c r="H465" s="22"/>
      <c r="I465" s="23" t="str">
        <f t="array" ref="I465">IF($C465="","",IFERROR(INDEX('Master Leads'!$O$6:$O$495,MATCH($C465,'Master Leads'!$A$6:$A$495,0)),""))</f>
        <v/>
      </c>
      <c r="J465" s="21"/>
    </row>
    <row r="466" ht="15.75" customHeight="1">
      <c r="A466" s="21"/>
      <c r="B466" s="22"/>
      <c r="C466" s="21"/>
      <c r="D466" s="23" t="str">
        <f t="array" ref="D466">IF($C466="","",IFERROR(INDEX('Master Leads'!$C$6:$C$495,MATCH($C466,'Master Leads'!$A$6:$A$495,0)),""))</f>
        <v/>
      </c>
      <c r="E466" s="30"/>
      <c r="F466" s="30"/>
      <c r="G466" s="21"/>
      <c r="H466" s="22"/>
      <c r="I466" s="23" t="str">
        <f t="array" ref="I466">IF($C466="","",IFERROR(INDEX('Master Leads'!$O$6:$O$495,MATCH($C466,'Master Leads'!$A$6:$A$495,0)),""))</f>
        <v/>
      </c>
      <c r="J466" s="21"/>
    </row>
    <row r="467" ht="15.75" customHeight="1">
      <c r="A467" s="21"/>
      <c r="B467" s="22"/>
      <c r="C467" s="21"/>
      <c r="D467" s="23" t="str">
        <f t="array" ref="D467">IF($C467="","",IFERROR(INDEX('Master Leads'!$C$6:$C$495,MATCH($C467,'Master Leads'!$A$6:$A$495,0)),""))</f>
        <v/>
      </c>
      <c r="E467" s="30"/>
      <c r="F467" s="30"/>
      <c r="G467" s="21"/>
      <c r="H467" s="22"/>
      <c r="I467" s="23" t="str">
        <f t="array" ref="I467">IF($C467="","",IFERROR(INDEX('Master Leads'!$O$6:$O$495,MATCH($C467,'Master Leads'!$A$6:$A$495,0)),""))</f>
        <v/>
      </c>
      <c r="J467" s="21"/>
    </row>
    <row r="468" ht="15.75" customHeight="1">
      <c r="A468" s="21"/>
      <c r="B468" s="22"/>
      <c r="C468" s="21"/>
      <c r="D468" s="23" t="str">
        <f t="array" ref="D468">IF($C468="","",IFERROR(INDEX('Master Leads'!$C$6:$C$495,MATCH($C468,'Master Leads'!$A$6:$A$495,0)),""))</f>
        <v/>
      </c>
      <c r="E468" s="30"/>
      <c r="F468" s="30"/>
      <c r="G468" s="21"/>
      <c r="H468" s="22"/>
      <c r="I468" s="23" t="str">
        <f t="array" ref="I468">IF($C468="","",IFERROR(INDEX('Master Leads'!$O$6:$O$495,MATCH($C468,'Master Leads'!$A$6:$A$495,0)),""))</f>
        <v/>
      </c>
      <c r="J468" s="21"/>
    </row>
    <row r="469" ht="15.75" customHeight="1">
      <c r="A469" s="21"/>
      <c r="B469" s="22"/>
      <c r="C469" s="21"/>
      <c r="D469" s="23" t="str">
        <f t="array" ref="D469">IF($C469="","",IFERROR(INDEX('Master Leads'!$C$6:$C$495,MATCH($C469,'Master Leads'!$A$6:$A$495,0)),""))</f>
        <v/>
      </c>
      <c r="E469" s="30"/>
      <c r="F469" s="30"/>
      <c r="G469" s="21"/>
      <c r="H469" s="22"/>
      <c r="I469" s="23" t="str">
        <f t="array" ref="I469">IF($C469="","",IFERROR(INDEX('Master Leads'!$O$6:$O$495,MATCH($C469,'Master Leads'!$A$6:$A$495,0)),""))</f>
        <v/>
      </c>
      <c r="J469" s="21"/>
    </row>
    <row r="470" ht="15.75" customHeight="1">
      <c r="A470" s="21"/>
      <c r="B470" s="22"/>
      <c r="C470" s="21"/>
      <c r="D470" s="23" t="str">
        <f t="array" ref="D470">IF($C470="","",IFERROR(INDEX('Master Leads'!$C$6:$C$495,MATCH($C470,'Master Leads'!$A$6:$A$495,0)),""))</f>
        <v/>
      </c>
      <c r="E470" s="30"/>
      <c r="F470" s="30"/>
      <c r="G470" s="21"/>
      <c r="H470" s="22"/>
      <c r="I470" s="23" t="str">
        <f t="array" ref="I470">IF($C470="","",IFERROR(INDEX('Master Leads'!$O$6:$O$495,MATCH($C470,'Master Leads'!$A$6:$A$495,0)),""))</f>
        <v/>
      </c>
      <c r="J470" s="21"/>
    </row>
    <row r="471" ht="15.75" customHeight="1">
      <c r="A471" s="21"/>
      <c r="B471" s="22"/>
      <c r="C471" s="21"/>
      <c r="D471" s="23" t="str">
        <f t="array" ref="D471">IF($C471="","",IFERROR(INDEX('Master Leads'!$C$6:$C$495,MATCH($C471,'Master Leads'!$A$6:$A$495,0)),""))</f>
        <v/>
      </c>
      <c r="E471" s="30"/>
      <c r="F471" s="30"/>
      <c r="G471" s="21"/>
      <c r="H471" s="22"/>
      <c r="I471" s="23" t="str">
        <f t="array" ref="I471">IF($C471="","",IFERROR(INDEX('Master Leads'!$O$6:$O$495,MATCH($C471,'Master Leads'!$A$6:$A$495,0)),""))</f>
        <v/>
      </c>
      <c r="J471" s="21"/>
    </row>
    <row r="472" ht="15.75" customHeight="1">
      <c r="A472" s="21"/>
      <c r="B472" s="22"/>
      <c r="C472" s="21"/>
      <c r="D472" s="23" t="str">
        <f t="array" ref="D472">IF($C472="","",IFERROR(INDEX('Master Leads'!$C$6:$C$495,MATCH($C472,'Master Leads'!$A$6:$A$495,0)),""))</f>
        <v/>
      </c>
      <c r="E472" s="30"/>
      <c r="F472" s="30"/>
      <c r="G472" s="21"/>
      <c r="H472" s="22"/>
      <c r="I472" s="23" t="str">
        <f t="array" ref="I472">IF($C472="","",IFERROR(INDEX('Master Leads'!$O$6:$O$495,MATCH($C472,'Master Leads'!$A$6:$A$495,0)),""))</f>
        <v/>
      </c>
      <c r="J472" s="21"/>
    </row>
    <row r="473" ht="15.75" customHeight="1">
      <c r="A473" s="21"/>
      <c r="B473" s="22"/>
      <c r="C473" s="21"/>
      <c r="D473" s="23" t="str">
        <f t="array" ref="D473">IF($C473="","",IFERROR(INDEX('Master Leads'!$C$6:$C$495,MATCH($C473,'Master Leads'!$A$6:$A$495,0)),""))</f>
        <v/>
      </c>
      <c r="E473" s="30"/>
      <c r="F473" s="30"/>
      <c r="G473" s="21"/>
      <c r="H473" s="22"/>
      <c r="I473" s="23" t="str">
        <f t="array" ref="I473">IF($C473="","",IFERROR(INDEX('Master Leads'!$O$6:$O$495,MATCH($C473,'Master Leads'!$A$6:$A$495,0)),""))</f>
        <v/>
      </c>
      <c r="J473" s="21"/>
    </row>
    <row r="474" ht="15.75" customHeight="1">
      <c r="A474" s="21"/>
      <c r="B474" s="22"/>
      <c r="C474" s="21"/>
      <c r="D474" s="23" t="str">
        <f t="array" ref="D474">IF($C474="","",IFERROR(INDEX('Master Leads'!$C$6:$C$495,MATCH($C474,'Master Leads'!$A$6:$A$495,0)),""))</f>
        <v/>
      </c>
      <c r="E474" s="30"/>
      <c r="F474" s="30"/>
      <c r="G474" s="21"/>
      <c r="H474" s="22"/>
      <c r="I474" s="23" t="str">
        <f t="array" ref="I474">IF($C474="","",IFERROR(INDEX('Master Leads'!$O$6:$O$495,MATCH($C474,'Master Leads'!$A$6:$A$495,0)),""))</f>
        <v/>
      </c>
      <c r="J474" s="21"/>
    </row>
    <row r="475" ht="15.75" customHeight="1">
      <c r="A475" s="21"/>
      <c r="B475" s="22"/>
      <c r="C475" s="21"/>
      <c r="D475" s="23" t="str">
        <f t="array" ref="D475">IF($C475="","",IFERROR(INDEX('Master Leads'!$C$6:$C$495,MATCH($C475,'Master Leads'!$A$6:$A$495,0)),""))</f>
        <v/>
      </c>
      <c r="E475" s="30"/>
      <c r="F475" s="30"/>
      <c r="G475" s="21"/>
      <c r="H475" s="22"/>
      <c r="I475" s="23" t="str">
        <f t="array" ref="I475">IF($C475="","",IFERROR(INDEX('Master Leads'!$O$6:$O$495,MATCH($C475,'Master Leads'!$A$6:$A$495,0)),""))</f>
        <v/>
      </c>
      <c r="J475" s="21"/>
    </row>
    <row r="476" ht="15.75" customHeight="1">
      <c r="A476" s="21"/>
      <c r="B476" s="22"/>
      <c r="C476" s="21"/>
      <c r="D476" s="23" t="str">
        <f t="array" ref="D476">IF($C476="","",IFERROR(INDEX('Master Leads'!$C$6:$C$495,MATCH($C476,'Master Leads'!$A$6:$A$495,0)),""))</f>
        <v/>
      </c>
      <c r="E476" s="30"/>
      <c r="F476" s="30"/>
      <c r="G476" s="21"/>
      <c r="H476" s="22"/>
      <c r="I476" s="23" t="str">
        <f t="array" ref="I476">IF($C476="","",IFERROR(INDEX('Master Leads'!$O$6:$O$495,MATCH($C476,'Master Leads'!$A$6:$A$495,0)),""))</f>
        <v/>
      </c>
      <c r="J476" s="21"/>
    </row>
    <row r="477" ht="15.75" customHeight="1">
      <c r="A477" s="21"/>
      <c r="B477" s="22"/>
      <c r="C477" s="21"/>
      <c r="D477" s="23" t="str">
        <f t="array" ref="D477">IF($C477="","",IFERROR(INDEX('Master Leads'!$C$6:$C$495,MATCH($C477,'Master Leads'!$A$6:$A$495,0)),""))</f>
        <v/>
      </c>
      <c r="E477" s="30"/>
      <c r="F477" s="30"/>
      <c r="G477" s="21"/>
      <c r="H477" s="22"/>
      <c r="I477" s="23" t="str">
        <f t="array" ref="I477">IF($C477="","",IFERROR(INDEX('Master Leads'!$O$6:$O$495,MATCH($C477,'Master Leads'!$A$6:$A$495,0)),""))</f>
        <v/>
      </c>
      <c r="J477" s="21"/>
    </row>
    <row r="478" ht="15.75" customHeight="1">
      <c r="A478" s="21"/>
      <c r="B478" s="22"/>
      <c r="C478" s="21"/>
      <c r="D478" s="23" t="str">
        <f t="array" ref="D478">IF($C478="","",IFERROR(INDEX('Master Leads'!$C$6:$C$495,MATCH($C478,'Master Leads'!$A$6:$A$495,0)),""))</f>
        <v/>
      </c>
      <c r="E478" s="30"/>
      <c r="F478" s="30"/>
      <c r="G478" s="21"/>
      <c r="H478" s="22"/>
      <c r="I478" s="23" t="str">
        <f t="array" ref="I478">IF($C478="","",IFERROR(INDEX('Master Leads'!$O$6:$O$495,MATCH($C478,'Master Leads'!$A$6:$A$495,0)),""))</f>
        <v/>
      </c>
      <c r="J478" s="21"/>
    </row>
    <row r="479" ht="15.75" customHeight="1">
      <c r="A479" s="21"/>
      <c r="B479" s="22"/>
      <c r="C479" s="21"/>
      <c r="D479" s="23" t="str">
        <f t="array" ref="D479">IF($C479="","",IFERROR(INDEX('Master Leads'!$C$6:$C$495,MATCH($C479,'Master Leads'!$A$6:$A$495,0)),""))</f>
        <v/>
      </c>
      <c r="E479" s="30"/>
      <c r="F479" s="30"/>
      <c r="G479" s="21"/>
      <c r="H479" s="22"/>
      <c r="I479" s="23" t="str">
        <f t="array" ref="I479">IF($C479="","",IFERROR(INDEX('Master Leads'!$O$6:$O$495,MATCH($C479,'Master Leads'!$A$6:$A$495,0)),""))</f>
        <v/>
      </c>
      <c r="J479" s="21"/>
    </row>
    <row r="480" ht="15.75" customHeight="1">
      <c r="A480" s="21"/>
      <c r="B480" s="22"/>
      <c r="C480" s="21"/>
      <c r="D480" s="23" t="str">
        <f t="array" ref="D480">IF($C480="","",IFERROR(INDEX('Master Leads'!$C$6:$C$495,MATCH($C480,'Master Leads'!$A$6:$A$495,0)),""))</f>
        <v/>
      </c>
      <c r="E480" s="30"/>
      <c r="F480" s="30"/>
      <c r="G480" s="21"/>
      <c r="H480" s="22"/>
      <c r="I480" s="23" t="str">
        <f t="array" ref="I480">IF($C480="","",IFERROR(INDEX('Master Leads'!$O$6:$O$495,MATCH($C480,'Master Leads'!$A$6:$A$495,0)),""))</f>
        <v/>
      </c>
      <c r="J480" s="21"/>
    </row>
    <row r="481" ht="15.75" customHeight="1">
      <c r="A481" s="21"/>
      <c r="B481" s="22"/>
      <c r="C481" s="21"/>
      <c r="D481" s="23" t="str">
        <f t="array" ref="D481">IF($C481="","",IFERROR(INDEX('Master Leads'!$C$6:$C$495,MATCH($C481,'Master Leads'!$A$6:$A$495,0)),""))</f>
        <v/>
      </c>
      <c r="E481" s="30"/>
      <c r="F481" s="30"/>
      <c r="G481" s="21"/>
      <c r="H481" s="22"/>
      <c r="I481" s="23" t="str">
        <f t="array" ref="I481">IF($C481="","",IFERROR(INDEX('Master Leads'!$O$6:$O$495,MATCH($C481,'Master Leads'!$A$6:$A$495,0)),""))</f>
        <v/>
      </c>
      <c r="J481" s="21"/>
    </row>
    <row r="482" ht="15.75" customHeight="1">
      <c r="A482" s="21"/>
      <c r="B482" s="22"/>
      <c r="C482" s="21"/>
      <c r="D482" s="23" t="str">
        <f t="array" ref="D482">IF($C482="","",IFERROR(INDEX('Master Leads'!$C$6:$C$495,MATCH($C482,'Master Leads'!$A$6:$A$495,0)),""))</f>
        <v/>
      </c>
      <c r="E482" s="30"/>
      <c r="F482" s="30"/>
      <c r="G482" s="21"/>
      <c r="H482" s="22"/>
      <c r="I482" s="23" t="str">
        <f t="array" ref="I482">IF($C482="","",IFERROR(INDEX('Master Leads'!$O$6:$O$495,MATCH($C482,'Master Leads'!$A$6:$A$495,0)),""))</f>
        <v/>
      </c>
      <c r="J482" s="21"/>
    </row>
    <row r="483" ht="15.75" customHeight="1">
      <c r="A483" s="21"/>
      <c r="B483" s="22"/>
      <c r="C483" s="21"/>
      <c r="D483" s="23" t="str">
        <f t="array" ref="D483">IF($C483="","",IFERROR(INDEX('Master Leads'!$C$6:$C$495,MATCH($C483,'Master Leads'!$A$6:$A$495,0)),""))</f>
        <v/>
      </c>
      <c r="E483" s="30"/>
      <c r="F483" s="30"/>
      <c r="G483" s="21"/>
      <c r="H483" s="22"/>
      <c r="I483" s="23" t="str">
        <f t="array" ref="I483">IF($C483="","",IFERROR(INDEX('Master Leads'!$O$6:$O$495,MATCH($C483,'Master Leads'!$A$6:$A$495,0)),""))</f>
        <v/>
      </c>
      <c r="J483" s="21"/>
    </row>
    <row r="484" ht="15.75" customHeight="1">
      <c r="A484" s="21"/>
      <c r="B484" s="22"/>
      <c r="C484" s="21"/>
      <c r="D484" s="23" t="str">
        <f t="array" ref="D484">IF($C484="","",IFERROR(INDEX('Master Leads'!$C$6:$C$495,MATCH($C484,'Master Leads'!$A$6:$A$495,0)),""))</f>
        <v/>
      </c>
      <c r="E484" s="30"/>
      <c r="F484" s="30"/>
      <c r="G484" s="21"/>
      <c r="H484" s="22"/>
      <c r="I484" s="23" t="str">
        <f t="array" ref="I484">IF($C484="","",IFERROR(INDEX('Master Leads'!$O$6:$O$495,MATCH($C484,'Master Leads'!$A$6:$A$495,0)),""))</f>
        <v/>
      </c>
      <c r="J484" s="21"/>
    </row>
    <row r="485" ht="15.75" customHeight="1">
      <c r="A485" s="21"/>
      <c r="B485" s="22"/>
      <c r="C485" s="21"/>
      <c r="D485" s="23" t="str">
        <f t="array" ref="D485">IF($C485="","",IFERROR(INDEX('Master Leads'!$C$6:$C$495,MATCH($C485,'Master Leads'!$A$6:$A$495,0)),""))</f>
        <v/>
      </c>
      <c r="E485" s="30"/>
      <c r="F485" s="30"/>
      <c r="G485" s="21"/>
      <c r="H485" s="22"/>
      <c r="I485" s="23" t="str">
        <f t="array" ref="I485">IF($C485="","",IFERROR(INDEX('Master Leads'!$O$6:$O$495,MATCH($C485,'Master Leads'!$A$6:$A$495,0)),""))</f>
        <v/>
      </c>
      <c r="J485" s="21"/>
    </row>
    <row r="486" ht="15.75" customHeight="1">
      <c r="A486" s="21"/>
      <c r="B486" s="22"/>
      <c r="C486" s="21"/>
      <c r="D486" s="23" t="str">
        <f t="array" ref="D486">IF($C486="","",IFERROR(INDEX('Master Leads'!$C$6:$C$495,MATCH($C486,'Master Leads'!$A$6:$A$495,0)),""))</f>
        <v/>
      </c>
      <c r="E486" s="30"/>
      <c r="F486" s="30"/>
      <c r="G486" s="21"/>
      <c r="H486" s="22"/>
      <c r="I486" s="23" t="str">
        <f t="array" ref="I486">IF($C486="","",IFERROR(INDEX('Master Leads'!$O$6:$O$495,MATCH($C486,'Master Leads'!$A$6:$A$495,0)),""))</f>
        <v/>
      </c>
      <c r="J486" s="21"/>
    </row>
    <row r="487" ht="15.75" customHeight="1">
      <c r="A487" s="21"/>
      <c r="B487" s="22"/>
      <c r="C487" s="21"/>
      <c r="D487" s="23" t="str">
        <f t="array" ref="D487">IF($C487="","",IFERROR(INDEX('Master Leads'!$C$6:$C$495,MATCH($C487,'Master Leads'!$A$6:$A$495,0)),""))</f>
        <v/>
      </c>
      <c r="E487" s="30"/>
      <c r="F487" s="30"/>
      <c r="G487" s="21"/>
      <c r="H487" s="22"/>
      <c r="I487" s="23" t="str">
        <f t="array" ref="I487">IF($C487="","",IFERROR(INDEX('Master Leads'!$O$6:$O$495,MATCH($C487,'Master Leads'!$A$6:$A$495,0)),""))</f>
        <v/>
      </c>
      <c r="J487" s="21"/>
    </row>
    <row r="488" ht="15.75" customHeight="1">
      <c r="A488" s="21"/>
      <c r="B488" s="22"/>
      <c r="C488" s="21"/>
      <c r="D488" s="23" t="str">
        <f t="array" ref="D488">IF($C488="","",IFERROR(INDEX('Master Leads'!$C$6:$C$495,MATCH($C488,'Master Leads'!$A$6:$A$495,0)),""))</f>
        <v/>
      </c>
      <c r="E488" s="30"/>
      <c r="F488" s="30"/>
      <c r="G488" s="21"/>
      <c r="H488" s="22"/>
      <c r="I488" s="23" t="str">
        <f t="array" ref="I488">IF($C488="","",IFERROR(INDEX('Master Leads'!$O$6:$O$495,MATCH($C488,'Master Leads'!$A$6:$A$495,0)),""))</f>
        <v/>
      </c>
      <c r="J488" s="21"/>
    </row>
    <row r="489" ht="15.75" customHeight="1">
      <c r="A489" s="21"/>
      <c r="B489" s="22"/>
      <c r="C489" s="21"/>
      <c r="D489" s="23" t="str">
        <f t="array" ref="D489">IF($C489="","",IFERROR(INDEX('Master Leads'!$C$6:$C$495,MATCH($C489,'Master Leads'!$A$6:$A$495,0)),""))</f>
        <v/>
      </c>
      <c r="E489" s="30"/>
      <c r="F489" s="30"/>
      <c r="G489" s="21"/>
      <c r="H489" s="22"/>
      <c r="I489" s="23" t="str">
        <f t="array" ref="I489">IF($C489="","",IFERROR(INDEX('Master Leads'!$O$6:$O$495,MATCH($C489,'Master Leads'!$A$6:$A$495,0)),""))</f>
        <v/>
      </c>
      <c r="J489" s="21"/>
    </row>
    <row r="490" ht="15.75" customHeight="1">
      <c r="A490" s="21"/>
      <c r="B490" s="22"/>
      <c r="C490" s="21"/>
      <c r="D490" s="23" t="str">
        <f t="array" ref="D490">IF($C490="","",IFERROR(INDEX('Master Leads'!$C$6:$C$495,MATCH($C490,'Master Leads'!$A$6:$A$495,0)),""))</f>
        <v/>
      </c>
      <c r="E490" s="30"/>
      <c r="F490" s="30"/>
      <c r="G490" s="21"/>
      <c r="H490" s="22"/>
      <c r="I490" s="23" t="str">
        <f t="array" ref="I490">IF($C490="","",IFERROR(INDEX('Master Leads'!$O$6:$O$495,MATCH($C490,'Master Leads'!$A$6:$A$495,0)),""))</f>
        <v/>
      </c>
      <c r="J490" s="21"/>
    </row>
    <row r="491" ht="15.75" customHeight="1">
      <c r="A491" s="21"/>
      <c r="B491" s="22"/>
      <c r="C491" s="21"/>
      <c r="D491" s="23" t="str">
        <f t="array" ref="D491">IF($C491="","",IFERROR(INDEX('Master Leads'!$C$6:$C$495,MATCH($C491,'Master Leads'!$A$6:$A$495,0)),""))</f>
        <v/>
      </c>
      <c r="E491" s="30"/>
      <c r="F491" s="30"/>
      <c r="G491" s="21"/>
      <c r="H491" s="22"/>
      <c r="I491" s="23" t="str">
        <f t="array" ref="I491">IF($C491="","",IFERROR(INDEX('Master Leads'!$O$6:$O$495,MATCH($C491,'Master Leads'!$A$6:$A$495,0)),""))</f>
        <v/>
      </c>
      <c r="J491" s="21"/>
    </row>
    <row r="492" ht="15.75" customHeight="1">
      <c r="A492" s="21"/>
      <c r="B492" s="22"/>
      <c r="C492" s="21"/>
      <c r="D492" s="23" t="str">
        <f t="array" ref="D492">IF($C492="","",IFERROR(INDEX('Master Leads'!$C$6:$C$495,MATCH($C492,'Master Leads'!$A$6:$A$495,0)),""))</f>
        <v/>
      </c>
      <c r="E492" s="30"/>
      <c r="F492" s="30"/>
      <c r="G492" s="21"/>
      <c r="H492" s="22"/>
      <c r="I492" s="23" t="str">
        <f t="array" ref="I492">IF($C492="","",IFERROR(INDEX('Master Leads'!$O$6:$O$495,MATCH($C492,'Master Leads'!$A$6:$A$495,0)),""))</f>
        <v/>
      </c>
      <c r="J492" s="21"/>
    </row>
    <row r="493" ht="15.75" customHeight="1">
      <c r="A493" s="21"/>
      <c r="B493" s="22"/>
      <c r="C493" s="21"/>
      <c r="D493" s="23" t="str">
        <f t="array" ref="D493">IF($C493="","",IFERROR(INDEX('Master Leads'!$C$6:$C$495,MATCH($C493,'Master Leads'!$A$6:$A$495,0)),""))</f>
        <v/>
      </c>
      <c r="E493" s="30"/>
      <c r="F493" s="30"/>
      <c r="G493" s="21"/>
      <c r="H493" s="22"/>
      <c r="I493" s="23" t="str">
        <f t="array" ref="I493">IF($C493="","",IFERROR(INDEX('Master Leads'!$O$6:$O$495,MATCH($C493,'Master Leads'!$A$6:$A$495,0)),""))</f>
        <v/>
      </c>
      <c r="J493" s="21"/>
    </row>
    <row r="494" ht="15.75" customHeight="1">
      <c r="A494" s="21"/>
      <c r="B494" s="22"/>
      <c r="C494" s="21"/>
      <c r="D494" s="23" t="str">
        <f t="array" ref="D494">IF($C494="","",IFERROR(INDEX('Master Leads'!$C$6:$C$495,MATCH($C494,'Master Leads'!$A$6:$A$495,0)),""))</f>
        <v/>
      </c>
      <c r="E494" s="30"/>
      <c r="F494" s="30"/>
      <c r="G494" s="21"/>
      <c r="H494" s="22"/>
      <c r="I494" s="23" t="str">
        <f t="array" ref="I494">IF($C494="","",IFERROR(INDEX('Master Leads'!$O$6:$O$495,MATCH($C494,'Master Leads'!$A$6:$A$495,0)),""))</f>
        <v/>
      </c>
      <c r="J494" s="21"/>
    </row>
    <row r="495" ht="15.75" customHeight="1">
      <c r="A495" s="21"/>
      <c r="B495" s="22"/>
      <c r="C495" s="21"/>
      <c r="D495" s="23" t="str">
        <f t="array" ref="D495">IF($C495="","",IFERROR(INDEX('Master Leads'!$C$6:$C$495,MATCH($C495,'Master Leads'!$A$6:$A$495,0)),""))</f>
        <v/>
      </c>
      <c r="E495" s="30"/>
      <c r="F495" s="30"/>
      <c r="G495" s="21"/>
      <c r="H495" s="22"/>
      <c r="I495" s="23" t="str">
        <f t="array" ref="I495">IF($C495="","",IFERROR(INDEX('Master Leads'!$O$6:$O$495,MATCH($C495,'Master Leads'!$A$6:$A$495,0)),""))</f>
        <v/>
      </c>
      <c r="J495" s="21"/>
    </row>
    <row r="496" ht="15.75" customHeight="1">
      <c r="A496" s="21"/>
      <c r="B496" s="22"/>
      <c r="C496" s="21"/>
      <c r="D496" s="23" t="str">
        <f t="array" ref="D496">IF($C496="","",IFERROR(INDEX('Master Leads'!$C$6:$C$495,MATCH($C496,'Master Leads'!$A$6:$A$495,0)),""))</f>
        <v/>
      </c>
      <c r="E496" s="30"/>
      <c r="F496" s="30"/>
      <c r="G496" s="21"/>
      <c r="H496" s="22"/>
      <c r="I496" s="23" t="str">
        <f t="array" ref="I496">IF($C496="","",IFERROR(INDEX('Master Leads'!$O$6:$O$495,MATCH($C496,'Master Leads'!$A$6:$A$495,0)),""))</f>
        <v/>
      </c>
      <c r="J496" s="21"/>
    </row>
    <row r="497" ht="15.75" customHeight="1">
      <c r="A497" s="21"/>
      <c r="B497" s="22"/>
      <c r="C497" s="21"/>
      <c r="D497" s="23" t="str">
        <f t="array" ref="D497">IF($C497="","",IFERROR(INDEX('Master Leads'!$C$6:$C$495,MATCH($C497,'Master Leads'!$A$6:$A$495,0)),""))</f>
        <v/>
      </c>
      <c r="E497" s="30"/>
      <c r="F497" s="30"/>
      <c r="G497" s="21"/>
      <c r="H497" s="22"/>
      <c r="I497" s="23" t="str">
        <f t="array" ref="I497">IF($C497="","",IFERROR(INDEX('Master Leads'!$O$6:$O$495,MATCH($C497,'Master Leads'!$A$6:$A$495,0)),""))</f>
        <v/>
      </c>
      <c r="J497" s="21"/>
    </row>
    <row r="498" ht="15.75" customHeight="1">
      <c r="A498" s="21"/>
      <c r="B498" s="22"/>
      <c r="C498" s="21"/>
      <c r="D498" s="23" t="str">
        <f t="array" ref="D498">IF($C498="","",IFERROR(INDEX('Master Leads'!$C$6:$C$495,MATCH($C498,'Master Leads'!$A$6:$A$495,0)),""))</f>
        <v/>
      </c>
      <c r="E498" s="30"/>
      <c r="F498" s="30"/>
      <c r="G498" s="21"/>
      <c r="H498" s="22"/>
      <c r="I498" s="23" t="str">
        <f t="array" ref="I498">IF($C498="","",IFERROR(INDEX('Master Leads'!$O$6:$O$495,MATCH($C498,'Master Leads'!$A$6:$A$495,0)),""))</f>
        <v/>
      </c>
      <c r="J498" s="21"/>
    </row>
    <row r="499" ht="15.75" customHeight="1">
      <c r="A499" s="21"/>
      <c r="B499" s="22"/>
      <c r="C499" s="21"/>
      <c r="D499" s="23" t="str">
        <f t="array" ref="D499">IF($C499="","",IFERROR(INDEX('Master Leads'!$C$6:$C$495,MATCH($C499,'Master Leads'!$A$6:$A$495,0)),""))</f>
        <v/>
      </c>
      <c r="E499" s="30"/>
      <c r="F499" s="30"/>
      <c r="G499" s="21"/>
      <c r="H499" s="22"/>
      <c r="I499" s="23" t="str">
        <f t="array" ref="I499">IF($C499="","",IFERROR(INDEX('Master Leads'!$O$6:$O$495,MATCH($C499,'Master Leads'!$A$6:$A$495,0)),""))</f>
        <v/>
      </c>
      <c r="J499" s="21"/>
    </row>
    <row r="500" ht="15.75" customHeight="1">
      <c r="A500" s="21"/>
      <c r="B500" s="22"/>
      <c r="C500" s="21"/>
      <c r="D500" s="23" t="str">
        <f t="array" ref="D500">IF($C500="","",IFERROR(INDEX('Master Leads'!$C$6:$C$495,MATCH($C500,'Master Leads'!$A$6:$A$495,0)),""))</f>
        <v/>
      </c>
      <c r="E500" s="30"/>
      <c r="F500" s="30"/>
      <c r="G500" s="21"/>
      <c r="H500" s="22"/>
      <c r="I500" s="23" t="str">
        <f t="array" ref="I500">IF($C500="","",IFERROR(INDEX('Master Leads'!$O$6:$O$495,MATCH($C500,'Master Leads'!$A$6:$A$495,0)),""))</f>
        <v/>
      </c>
      <c r="J500" s="21"/>
    </row>
    <row r="501" ht="15.75" customHeight="1">
      <c r="A501" s="21"/>
      <c r="B501" s="22"/>
      <c r="C501" s="21"/>
      <c r="D501" s="23" t="str">
        <f t="array" ref="D501">IF($C501="","",IFERROR(INDEX('Master Leads'!$C$6:$C$495,MATCH($C501,'Master Leads'!$A$6:$A$495,0)),""))</f>
        <v/>
      </c>
      <c r="E501" s="30"/>
      <c r="F501" s="30"/>
      <c r="G501" s="21"/>
      <c r="H501" s="22"/>
      <c r="I501" s="23" t="str">
        <f t="array" ref="I501">IF($C501="","",IFERROR(INDEX('Master Leads'!$O$6:$O$495,MATCH($C501,'Master Leads'!$A$6:$A$495,0)),""))</f>
        <v/>
      </c>
      <c r="J501" s="21"/>
    </row>
    <row r="502" ht="15.75" customHeight="1">
      <c r="A502" s="21"/>
      <c r="B502" s="22"/>
      <c r="C502" s="21"/>
      <c r="D502" s="23" t="str">
        <f t="array" ref="D502">IF($C502="","",IFERROR(INDEX('Master Leads'!$C$6:$C$495,MATCH($C502,'Master Leads'!$A$6:$A$495,0)),""))</f>
        <v/>
      </c>
      <c r="E502" s="30"/>
      <c r="F502" s="30"/>
      <c r="G502" s="21"/>
      <c r="H502" s="22"/>
      <c r="I502" s="23" t="str">
        <f t="array" ref="I502">IF($C502="","",IFERROR(INDEX('Master Leads'!$O$6:$O$495,MATCH($C502,'Master Leads'!$A$6:$A$495,0)),""))</f>
        <v/>
      </c>
      <c r="J502" s="21"/>
    </row>
    <row r="503" ht="15.75" customHeight="1">
      <c r="A503" s="21"/>
      <c r="B503" s="22"/>
      <c r="C503" s="21"/>
      <c r="D503" s="23" t="str">
        <f t="array" ref="D503">IF($C503="","",IFERROR(INDEX('Master Leads'!$C$6:$C$495,MATCH($C503,'Master Leads'!$A$6:$A$495,0)),""))</f>
        <v/>
      </c>
      <c r="E503" s="30"/>
      <c r="F503" s="30"/>
      <c r="G503" s="21"/>
      <c r="H503" s="22"/>
      <c r="I503" s="23" t="str">
        <f t="array" ref="I503">IF($C503="","",IFERROR(INDEX('Master Leads'!$O$6:$O$495,MATCH($C503,'Master Leads'!$A$6:$A$495,0)),""))</f>
        <v/>
      </c>
      <c r="J503" s="21"/>
    </row>
    <row r="504" ht="15.75" customHeight="1">
      <c r="A504" s="21"/>
      <c r="B504" s="22"/>
      <c r="C504" s="21"/>
      <c r="D504" s="23" t="str">
        <f t="array" ref="D504">IF($C504="","",IFERROR(INDEX('Master Leads'!$C$6:$C$495,MATCH($C504,'Master Leads'!$A$6:$A$495,0)),""))</f>
        <v/>
      </c>
      <c r="E504" s="30"/>
      <c r="F504" s="30"/>
      <c r="G504" s="21"/>
      <c r="H504" s="22"/>
      <c r="I504" s="23" t="str">
        <f t="array" ref="I504">IF($C504="","",IFERROR(INDEX('Master Leads'!$O$6:$O$495,MATCH($C504,'Master Leads'!$A$6:$A$495,0)),""))</f>
        <v/>
      </c>
      <c r="J504" s="21"/>
    </row>
    <row r="505" ht="15.75" customHeight="1">
      <c r="A505" s="21"/>
      <c r="B505" s="22"/>
      <c r="C505" s="21"/>
      <c r="D505" s="23" t="str">
        <f t="array" ref="D505">IF($C505="","",IFERROR(INDEX('Master Leads'!$C$6:$C$495,MATCH($C505,'Master Leads'!$A$6:$A$495,0)),""))</f>
        <v/>
      </c>
      <c r="E505" s="30"/>
      <c r="F505" s="30"/>
      <c r="G505" s="21"/>
      <c r="H505" s="22"/>
      <c r="I505" s="23" t="str">
        <f t="array" ref="I505">IF($C505="","",IFERROR(INDEX('Master Leads'!$O$6:$O$495,MATCH($C505,'Master Leads'!$A$6:$A$495,0)),""))</f>
        <v/>
      </c>
      <c r="J505" s="21"/>
    </row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dataValidations>
    <dataValidation type="list" allowBlank="1" sqref="E6:E505">
      <formula1>"Call,WhatsApp,Email,Meeting,Demo,Proposal,Visit,Other"</formula1>
    </dataValidation>
    <dataValidation type="custom" allowBlank="1" showDropDown="1" sqref="B6:B505 H6:H505">
      <formula1>OR(NOT(ISERROR(DATEVALUE(B6))), AND(ISNUMBER(B6), LEFT(CELL("format", B6))="D"))</formula1>
    </dataValidation>
    <dataValidation type="list" allowBlank="1" sqref="F6:F505">
      <formula1>"Initial,1st Follow-Up,2nd Follow-Up,3rd Follow-Up,General"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75"/>
    <col customWidth="1" min="2" max="2" width="12.5"/>
    <col customWidth="1" min="3" max="3" width="22.5"/>
    <col customWidth="1" min="4" max="4" width="17.5"/>
    <col customWidth="1" min="5" max="5" width="16.25"/>
    <col customWidth="1" min="6" max="6" width="22.5"/>
    <col customWidth="1" min="7" max="8" width="12.5"/>
    <col customWidth="1" min="9" max="9" width="10.0"/>
    <col customWidth="1" min="10" max="10" width="11.25"/>
    <col customWidth="1" min="11" max="11" width="18.75"/>
    <col customWidth="1" min="12" max="12" width="15.0"/>
    <col customWidth="1" min="13" max="13" width="25.0"/>
    <col customWidth="1" min="14" max="14" width="13.75"/>
    <col customWidth="1" min="15" max="15" width="13.13"/>
    <col customWidth="1" min="16" max="16" width="10.0"/>
    <col customWidth="1" min="17" max="17" width="14.38"/>
    <col customWidth="1" min="18" max="18" width="15.0"/>
    <col customWidth="1" min="19" max="19" width="13.13"/>
    <col customWidth="1" min="20" max="20" width="14.38"/>
    <col customWidth="1" min="21" max="21" width="13.75"/>
    <col customWidth="1" min="22" max="22" width="26.25"/>
    <col customWidth="1" min="23" max="26" width="8.63"/>
  </cols>
  <sheetData>
    <row r="1" ht="27.0" customHeight="1">
      <c r="A1" s="1" t="s">
        <v>105</v>
      </c>
    </row>
    <row r="2" ht="25.5" customHeight="1">
      <c r="A2" s="2" t="s">
        <v>106</v>
      </c>
    </row>
    <row r="3">
      <c r="A3" s="47" t="s">
        <v>100</v>
      </c>
      <c r="B3" s="48">
        <f>COUNTIFS('Master Leads'!$A$6:$A$495,"&lt;&gt;",'Master Leads'!$U$6:$U$495,"Due Today")</f>
        <v>0</v>
      </c>
      <c r="D3" s="47" t="s">
        <v>101</v>
      </c>
      <c r="E3" s="48">
        <f>COUNTIFS('Master Leads'!$A$6:$A$495,"&lt;&gt;",'Master Leads'!$U$6:$U$495,"Overdue")</f>
        <v>0</v>
      </c>
      <c r="G3" s="47" t="s">
        <v>109</v>
      </c>
      <c r="H3" s="48">
        <f>COUNTIFS('Master Leads'!$A$6:$A$495,"&lt;&gt;",'Master Leads'!$AG$6:$AG$495,"Yes",'Master Leads'!$T$6:$T$495,"&gt;"&amp;TODAY(),'Master Leads'!$T$6:$T$495,"&lt;="&amp;TODAY()+7)</f>
        <v>0</v>
      </c>
      <c r="J3" s="47" t="s">
        <v>110</v>
      </c>
      <c r="K3" s="48">
        <f>COUNTIFS('Master Leads'!$A$6:$A$495,"&lt;&gt;",'Master Leads'!$AG$6:$AG$495,"Yes",'Master Leads'!$T$6:$T$495,"")</f>
        <v>112</v>
      </c>
    </row>
    <row r="5">
      <c r="A5" s="3" t="s">
        <v>44</v>
      </c>
      <c r="B5" s="8" t="s">
        <v>51</v>
      </c>
      <c r="C5" s="8" t="s">
        <v>45</v>
      </c>
      <c r="D5" s="8" t="s">
        <v>53</v>
      </c>
      <c r="E5" s="8" t="s">
        <v>54</v>
      </c>
      <c r="F5" s="8" t="s">
        <v>55</v>
      </c>
      <c r="G5" s="8" t="s">
        <v>56</v>
      </c>
      <c r="H5" s="8" t="s">
        <v>57</v>
      </c>
      <c r="I5" s="8" t="s">
        <v>58</v>
      </c>
      <c r="J5" s="8" t="s">
        <v>59</v>
      </c>
      <c r="K5" s="8" t="s">
        <v>60</v>
      </c>
      <c r="L5" s="8" t="s">
        <v>61</v>
      </c>
      <c r="M5" s="8" t="s">
        <v>62</v>
      </c>
      <c r="N5" s="8" t="s">
        <v>63</v>
      </c>
      <c r="O5" s="8" t="s">
        <v>50</v>
      </c>
      <c r="P5" s="8" t="s">
        <v>23</v>
      </c>
      <c r="Q5" s="8" t="s">
        <v>29</v>
      </c>
      <c r="R5" s="8" t="s">
        <v>26</v>
      </c>
      <c r="S5" s="8" t="s">
        <v>65</v>
      </c>
      <c r="T5" s="8" t="s">
        <v>49</v>
      </c>
      <c r="U5" s="8" t="s">
        <v>67</v>
      </c>
      <c r="V5" s="9" t="s">
        <v>68</v>
      </c>
    </row>
    <row r="6">
      <c r="A6" s="50" t="str">
        <f>IFERROR(__xludf.DUMMYFUNCTION("IFERROR(SORT(FILTER('Master Leads'!$A$6:$V$495, 'Master Leads'!$A$6:$A$495&lt;&gt;"""", 'Master Leads'!$AG$6:$AG$495=""Yes"", 'Master Leads'!$T$6:$T$495&lt;&gt;""""), 20, 1), ""No open follow-ups scheduled"")"),"No open follow-ups scheduled")</f>
        <v>No open follow-ups scheduled</v>
      </c>
      <c r="B6" s="51"/>
    </row>
    <row r="7">
      <c r="B7" s="51"/>
    </row>
    <row r="8">
      <c r="B8" s="51"/>
    </row>
    <row r="9">
      <c r="B9" s="51"/>
    </row>
    <row r="10">
      <c r="B10" s="51"/>
    </row>
    <row r="11">
      <c r="B11" s="51"/>
    </row>
    <row r="12">
      <c r="B12" s="51"/>
    </row>
    <row r="13">
      <c r="B13" s="51"/>
    </row>
    <row r="14">
      <c r="B14" s="51"/>
    </row>
    <row r="15">
      <c r="B15" s="51"/>
    </row>
    <row r="16">
      <c r="B16" s="51"/>
    </row>
    <row r="17">
      <c r="B17" s="51"/>
    </row>
    <row r="18">
      <c r="B18" s="51"/>
    </row>
    <row r="19">
      <c r="B19" s="51"/>
    </row>
    <row r="20">
      <c r="B20" s="51"/>
    </row>
    <row r="21" ht="15.75" customHeight="1">
      <c r="B21" s="51"/>
    </row>
    <row r="22" ht="15.75" customHeight="1">
      <c r="B22" s="51"/>
    </row>
    <row r="23" ht="15.75" customHeight="1">
      <c r="B23" s="51"/>
    </row>
    <row r="24" ht="15.75" customHeight="1">
      <c r="B24" s="51"/>
    </row>
    <row r="25" ht="15.75" customHeight="1">
      <c r="B25" s="51"/>
    </row>
    <row r="26" ht="15.75" customHeight="1">
      <c r="B26" s="51"/>
    </row>
    <row r="27" ht="15.75" customHeight="1">
      <c r="B27" s="51"/>
    </row>
    <row r="28" ht="15.75" customHeight="1">
      <c r="B28" s="51"/>
    </row>
    <row r="29" ht="15.75" customHeight="1">
      <c r="B29" s="51"/>
    </row>
    <row r="30" ht="15.75" customHeight="1">
      <c r="B30" s="51"/>
    </row>
    <row r="31" ht="15.75" customHeight="1">
      <c r="B31" s="51"/>
    </row>
    <row r="32" ht="15.75" customHeight="1">
      <c r="B32" s="51"/>
    </row>
    <row r="33" ht="15.75" customHeight="1">
      <c r="B33" s="51"/>
    </row>
    <row r="34" ht="15.75" customHeight="1">
      <c r="B34" s="51"/>
    </row>
    <row r="35" ht="15.75" customHeight="1">
      <c r="B35" s="51"/>
    </row>
    <row r="36" ht="15.75" customHeight="1">
      <c r="B36" s="51"/>
    </row>
    <row r="37" ht="15.75" customHeight="1">
      <c r="B37" s="51"/>
    </row>
    <row r="38" ht="15.75" customHeight="1">
      <c r="B38" s="51"/>
    </row>
    <row r="39" ht="15.75" customHeight="1">
      <c r="B39" s="51"/>
    </row>
    <row r="40" ht="15.75" customHeight="1">
      <c r="B40" s="51"/>
    </row>
    <row r="41" ht="15.75" customHeight="1">
      <c r="B41" s="51"/>
    </row>
    <row r="42" ht="15.75" customHeight="1">
      <c r="B42" s="51"/>
    </row>
    <row r="43" ht="15.75" customHeight="1">
      <c r="B43" s="51"/>
    </row>
    <row r="44" ht="15.75" customHeight="1">
      <c r="B44" s="51"/>
    </row>
    <row r="45" ht="15.75" customHeight="1">
      <c r="B45" s="51"/>
    </row>
    <row r="46" ht="15.75" customHeight="1">
      <c r="B46" s="51"/>
    </row>
    <row r="47" ht="15.75" customHeight="1">
      <c r="B47" s="51"/>
    </row>
    <row r="48" ht="15.75" customHeight="1">
      <c r="B48" s="51"/>
    </row>
    <row r="49" ht="15.75" customHeight="1">
      <c r="B49" s="51"/>
    </row>
    <row r="50" ht="15.75" customHeight="1">
      <c r="B50" s="51"/>
    </row>
    <row r="51" ht="15.75" customHeight="1">
      <c r="B51" s="51"/>
    </row>
    <row r="52" ht="15.75" customHeight="1">
      <c r="B52" s="51"/>
    </row>
    <row r="53" ht="15.75" customHeight="1">
      <c r="B53" s="51"/>
    </row>
    <row r="54" ht="15.75" customHeight="1">
      <c r="B54" s="51"/>
    </row>
    <row r="55" ht="15.75" customHeight="1">
      <c r="B55" s="51"/>
    </row>
    <row r="56" ht="15.75" customHeight="1">
      <c r="B56" s="51"/>
    </row>
    <row r="57" ht="15.75" customHeight="1">
      <c r="B57" s="51"/>
    </row>
    <row r="58" ht="15.75" customHeight="1">
      <c r="B58" s="51"/>
    </row>
    <row r="59" ht="15.75" customHeight="1">
      <c r="B59" s="51"/>
    </row>
    <row r="60" ht="15.75" customHeight="1">
      <c r="B60" s="51"/>
    </row>
    <row r="61" ht="15.75" customHeight="1">
      <c r="B61" s="51"/>
    </row>
    <row r="62" ht="15.75" customHeight="1">
      <c r="B62" s="51"/>
    </row>
    <row r="63" ht="15.75" customHeight="1">
      <c r="B63" s="51"/>
    </row>
    <row r="64" ht="15.75" customHeight="1">
      <c r="B64" s="51"/>
    </row>
    <row r="65" ht="15.75" customHeight="1">
      <c r="B65" s="51"/>
    </row>
    <row r="66" ht="15.75" customHeight="1">
      <c r="B66" s="51"/>
    </row>
    <row r="67" ht="15.75" customHeight="1">
      <c r="B67" s="51"/>
    </row>
    <row r="68" ht="15.75" customHeight="1">
      <c r="B68" s="51"/>
    </row>
    <row r="69" ht="15.75" customHeight="1">
      <c r="B69" s="51"/>
    </row>
    <row r="70" ht="15.75" customHeight="1">
      <c r="B70" s="51"/>
    </row>
    <row r="71" ht="15.75" customHeight="1">
      <c r="B71" s="51"/>
    </row>
    <row r="72" ht="15.75" customHeight="1">
      <c r="B72" s="51"/>
    </row>
    <row r="73" ht="15.75" customHeight="1">
      <c r="B73" s="51"/>
    </row>
    <row r="74" ht="15.75" customHeight="1">
      <c r="B74" s="51"/>
    </row>
    <row r="75" ht="15.75" customHeight="1">
      <c r="B75" s="51"/>
    </row>
    <row r="76" ht="15.75" customHeight="1">
      <c r="B76" s="51"/>
    </row>
    <row r="77" ht="15.75" customHeight="1">
      <c r="B77" s="51"/>
    </row>
    <row r="78" ht="15.75" customHeight="1">
      <c r="B78" s="51"/>
    </row>
    <row r="79" ht="15.75" customHeight="1">
      <c r="B79" s="51"/>
    </row>
    <row r="80" ht="15.75" customHeight="1">
      <c r="B80" s="51"/>
    </row>
    <row r="81" ht="15.75" customHeight="1">
      <c r="B81" s="51"/>
    </row>
    <row r="82" ht="15.75" customHeight="1">
      <c r="B82" s="51"/>
    </row>
    <row r="83" ht="15.75" customHeight="1">
      <c r="B83" s="51"/>
    </row>
    <row r="84" ht="15.75" customHeight="1">
      <c r="B84" s="51"/>
    </row>
    <row r="85" ht="15.75" customHeight="1">
      <c r="B85" s="51"/>
    </row>
    <row r="86" ht="15.75" customHeight="1">
      <c r="B86" s="51"/>
    </row>
    <row r="87" ht="15.75" customHeight="1">
      <c r="B87" s="51"/>
    </row>
    <row r="88" ht="15.75" customHeight="1">
      <c r="B88" s="51"/>
    </row>
    <row r="89" ht="15.75" customHeight="1">
      <c r="B89" s="51"/>
    </row>
    <row r="90" ht="15.75" customHeight="1">
      <c r="B90" s="51"/>
    </row>
    <row r="91" ht="15.75" customHeight="1">
      <c r="B91" s="51"/>
    </row>
    <row r="92" ht="15.75" customHeight="1">
      <c r="B92" s="51"/>
    </row>
    <row r="93" ht="15.75" customHeight="1">
      <c r="B93" s="51"/>
    </row>
    <row r="94" ht="15.75" customHeight="1">
      <c r="B94" s="51"/>
    </row>
    <row r="95" ht="15.75" customHeight="1">
      <c r="B95" s="51"/>
    </row>
    <row r="96" ht="15.75" customHeight="1">
      <c r="B96" s="51"/>
    </row>
    <row r="97" ht="15.75" customHeight="1">
      <c r="B97" s="51"/>
    </row>
    <row r="98" ht="15.75" customHeight="1">
      <c r="B98" s="51"/>
    </row>
    <row r="99" ht="15.75" customHeight="1">
      <c r="B99" s="51"/>
    </row>
    <row r="100" ht="15.75" customHeight="1">
      <c r="B100" s="51"/>
    </row>
    <row r="101" ht="15.75" customHeight="1">
      <c r="B101" s="51"/>
    </row>
    <row r="102" ht="15.75" customHeight="1">
      <c r="B102" s="51"/>
    </row>
    <row r="103" ht="15.75" customHeight="1">
      <c r="B103" s="51"/>
    </row>
    <row r="104" ht="15.75" customHeight="1">
      <c r="B104" s="51"/>
    </row>
    <row r="105" ht="15.75" customHeight="1">
      <c r="B105" s="51"/>
    </row>
    <row r="106" ht="15.75" customHeight="1">
      <c r="B106" s="51"/>
    </row>
    <row r="107" ht="15.75" customHeight="1">
      <c r="B107" s="51"/>
    </row>
    <row r="108" ht="15.75" customHeight="1">
      <c r="B108" s="51"/>
    </row>
    <row r="109" ht="15.75" customHeight="1">
      <c r="B109" s="51"/>
    </row>
    <row r="110" ht="15.75" customHeight="1">
      <c r="B110" s="51"/>
    </row>
    <row r="111" ht="15.75" customHeight="1">
      <c r="B111" s="51"/>
    </row>
    <row r="112" ht="15.75" customHeight="1">
      <c r="B112" s="51"/>
    </row>
    <row r="113" ht="15.75" customHeight="1">
      <c r="B113" s="51"/>
    </row>
    <row r="114" ht="15.75" customHeight="1">
      <c r="B114" s="51"/>
    </row>
    <row r="115" ht="15.75" customHeight="1">
      <c r="B115" s="51"/>
    </row>
    <row r="116" ht="15.75" customHeight="1">
      <c r="B116" s="51"/>
    </row>
    <row r="117" ht="15.75" customHeight="1">
      <c r="B117" s="51"/>
    </row>
    <row r="118" ht="15.75" customHeight="1">
      <c r="B118" s="51"/>
    </row>
    <row r="119" ht="15.75" customHeight="1">
      <c r="B119" s="51"/>
    </row>
    <row r="120" ht="15.75" customHeight="1">
      <c r="B120" s="51"/>
    </row>
    <row r="121" ht="15.75" customHeight="1">
      <c r="B121" s="51"/>
    </row>
    <row r="122" ht="15.75" customHeight="1">
      <c r="B122" s="51"/>
    </row>
    <row r="123" ht="15.75" customHeight="1">
      <c r="B123" s="51"/>
    </row>
    <row r="124" ht="15.75" customHeight="1">
      <c r="B124" s="51"/>
    </row>
    <row r="125" ht="15.75" customHeight="1">
      <c r="B125" s="51"/>
    </row>
    <row r="126" ht="15.75" customHeight="1">
      <c r="B126" s="51"/>
    </row>
    <row r="127" ht="15.75" customHeight="1">
      <c r="B127" s="51"/>
    </row>
    <row r="128" ht="15.75" customHeight="1">
      <c r="B128" s="51"/>
    </row>
    <row r="129" ht="15.75" customHeight="1">
      <c r="B129" s="51"/>
    </row>
    <row r="130" ht="15.75" customHeight="1">
      <c r="B130" s="51"/>
    </row>
    <row r="131" ht="15.75" customHeight="1">
      <c r="B131" s="51"/>
    </row>
    <row r="132" ht="15.75" customHeight="1">
      <c r="B132" s="51"/>
    </row>
    <row r="133" ht="15.75" customHeight="1">
      <c r="B133" s="51"/>
    </row>
    <row r="134" ht="15.75" customHeight="1">
      <c r="B134" s="51"/>
    </row>
    <row r="135" ht="15.75" customHeight="1">
      <c r="B135" s="51"/>
    </row>
    <row r="136" ht="15.75" customHeight="1">
      <c r="B136" s="51"/>
    </row>
    <row r="137" ht="15.75" customHeight="1">
      <c r="B137" s="51"/>
    </row>
    <row r="138" ht="15.75" customHeight="1">
      <c r="B138" s="51"/>
    </row>
    <row r="139" ht="15.75" customHeight="1">
      <c r="B139" s="51"/>
    </row>
    <row r="140" ht="15.75" customHeight="1">
      <c r="B140" s="51"/>
    </row>
    <row r="141" ht="15.75" customHeight="1">
      <c r="B141" s="51"/>
    </row>
    <row r="142" ht="15.75" customHeight="1">
      <c r="B142" s="51"/>
    </row>
    <row r="143" ht="15.75" customHeight="1">
      <c r="B143" s="51"/>
    </row>
    <row r="144" ht="15.75" customHeight="1">
      <c r="B144" s="51"/>
    </row>
    <row r="145" ht="15.75" customHeight="1">
      <c r="B145" s="51"/>
    </row>
    <row r="146" ht="15.75" customHeight="1">
      <c r="B146" s="51"/>
    </row>
    <row r="147" ht="15.75" customHeight="1">
      <c r="B147" s="51"/>
    </row>
    <row r="148" ht="15.75" customHeight="1">
      <c r="B148" s="51"/>
    </row>
    <row r="149" ht="15.75" customHeight="1">
      <c r="B149" s="51"/>
    </row>
    <row r="150" ht="15.75" customHeight="1">
      <c r="B150" s="51"/>
    </row>
    <row r="151" ht="15.75" customHeight="1">
      <c r="B151" s="51"/>
    </row>
    <row r="152" ht="15.75" customHeight="1">
      <c r="B152" s="51"/>
    </row>
    <row r="153" ht="15.75" customHeight="1">
      <c r="B153" s="51"/>
    </row>
    <row r="154" ht="15.75" customHeight="1">
      <c r="B154" s="51"/>
    </row>
    <row r="155" ht="15.75" customHeight="1">
      <c r="B155" s="51"/>
    </row>
    <row r="156" ht="15.75" customHeight="1">
      <c r="B156" s="51"/>
    </row>
    <row r="157" ht="15.75" customHeight="1">
      <c r="B157" s="51"/>
    </row>
    <row r="158" ht="15.75" customHeight="1">
      <c r="B158" s="51"/>
    </row>
    <row r="159" ht="15.75" customHeight="1">
      <c r="B159" s="51"/>
    </row>
    <row r="160" ht="15.75" customHeight="1">
      <c r="B160" s="51"/>
    </row>
    <row r="161" ht="15.75" customHeight="1">
      <c r="B161" s="51"/>
    </row>
    <row r="162" ht="15.75" customHeight="1">
      <c r="B162" s="51"/>
    </row>
    <row r="163" ht="15.75" customHeight="1">
      <c r="B163" s="51"/>
    </row>
    <row r="164" ht="15.75" customHeight="1">
      <c r="B164" s="51"/>
    </row>
    <row r="165" ht="15.75" customHeight="1">
      <c r="B165" s="51"/>
    </row>
    <row r="166" ht="15.75" customHeight="1">
      <c r="B166" s="51"/>
    </row>
    <row r="167" ht="15.75" customHeight="1">
      <c r="B167" s="51"/>
    </row>
    <row r="168" ht="15.75" customHeight="1">
      <c r="B168" s="51"/>
    </row>
    <row r="169" ht="15.75" customHeight="1">
      <c r="B169" s="51"/>
    </row>
    <row r="170" ht="15.75" customHeight="1">
      <c r="B170" s="51"/>
    </row>
    <row r="171" ht="15.75" customHeight="1">
      <c r="B171" s="51"/>
    </row>
    <row r="172" ht="15.75" customHeight="1">
      <c r="B172" s="51"/>
    </row>
    <row r="173" ht="15.75" customHeight="1">
      <c r="B173" s="51"/>
    </row>
    <row r="174" ht="15.75" customHeight="1">
      <c r="B174" s="51"/>
    </row>
    <row r="175" ht="15.75" customHeight="1">
      <c r="B175" s="51"/>
    </row>
    <row r="176" ht="15.75" customHeight="1">
      <c r="B176" s="51"/>
    </row>
    <row r="177" ht="15.75" customHeight="1">
      <c r="B177" s="51"/>
    </row>
    <row r="178" ht="15.75" customHeight="1">
      <c r="B178" s="51"/>
    </row>
    <row r="179" ht="15.75" customHeight="1">
      <c r="B179" s="51"/>
    </row>
    <row r="180" ht="15.75" customHeight="1">
      <c r="B180" s="51"/>
    </row>
    <row r="181" ht="15.75" customHeight="1">
      <c r="B181" s="51"/>
    </row>
    <row r="182" ht="15.75" customHeight="1">
      <c r="B182" s="51"/>
    </row>
    <row r="183" ht="15.75" customHeight="1">
      <c r="B183" s="51"/>
    </row>
    <row r="184" ht="15.75" customHeight="1">
      <c r="B184" s="51"/>
    </row>
    <row r="185" ht="15.75" customHeight="1">
      <c r="B185" s="51"/>
    </row>
    <row r="186" ht="15.75" customHeight="1">
      <c r="B186" s="51"/>
    </row>
    <row r="187" ht="15.75" customHeight="1">
      <c r="B187" s="51"/>
    </row>
    <row r="188" ht="15.75" customHeight="1">
      <c r="B188" s="51"/>
    </row>
    <row r="189" ht="15.75" customHeight="1">
      <c r="B189" s="51"/>
    </row>
    <row r="190" ht="15.75" customHeight="1">
      <c r="B190" s="51"/>
    </row>
    <row r="191" ht="15.75" customHeight="1">
      <c r="B191" s="51"/>
    </row>
    <row r="192" ht="15.75" customHeight="1">
      <c r="B192" s="51"/>
    </row>
    <row r="193" ht="15.75" customHeight="1">
      <c r="B193" s="51"/>
    </row>
    <row r="194" ht="15.75" customHeight="1">
      <c r="B194" s="51"/>
    </row>
    <row r="195" ht="15.75" customHeight="1">
      <c r="B195" s="51"/>
    </row>
    <row r="196" ht="15.75" customHeight="1">
      <c r="B196" s="51"/>
    </row>
    <row r="197" ht="15.75" customHeight="1">
      <c r="B197" s="51"/>
    </row>
    <row r="198" ht="15.75" customHeight="1">
      <c r="B198" s="51"/>
    </row>
    <row r="199" ht="15.75" customHeight="1">
      <c r="B199" s="51"/>
    </row>
    <row r="200" ht="15.75" customHeight="1">
      <c r="B200" s="51"/>
    </row>
    <row r="201" ht="15.75" customHeight="1">
      <c r="B201" s="51"/>
    </row>
    <row r="202" ht="15.75" customHeight="1">
      <c r="B202" s="51"/>
    </row>
    <row r="203" ht="15.75" customHeight="1">
      <c r="B203" s="51"/>
    </row>
    <row r="204" ht="15.75" customHeight="1">
      <c r="B204" s="51"/>
    </row>
    <row r="205" ht="15.75" customHeight="1">
      <c r="B205" s="51"/>
    </row>
    <row r="206" ht="15.75" customHeight="1">
      <c r="B206" s="51"/>
    </row>
    <row r="207" ht="15.75" customHeight="1">
      <c r="B207" s="51"/>
    </row>
    <row r="208" ht="15.75" customHeight="1">
      <c r="B208" s="51"/>
    </row>
    <row r="209" ht="15.75" customHeight="1">
      <c r="B209" s="51"/>
    </row>
    <row r="210" ht="15.75" customHeight="1">
      <c r="B210" s="51"/>
    </row>
    <row r="211" ht="15.75" customHeight="1">
      <c r="B211" s="51"/>
    </row>
    <row r="212" ht="15.75" customHeight="1">
      <c r="B212" s="51"/>
    </row>
    <row r="213" ht="15.75" customHeight="1">
      <c r="B213" s="51"/>
    </row>
    <row r="214" ht="15.75" customHeight="1">
      <c r="B214" s="51"/>
    </row>
    <row r="215" ht="15.75" customHeight="1">
      <c r="B215" s="51"/>
    </row>
    <row r="216" ht="15.75" customHeight="1">
      <c r="B216" s="51"/>
    </row>
    <row r="217" ht="15.75" customHeight="1">
      <c r="B217" s="51"/>
    </row>
    <row r="218" ht="15.75" customHeight="1">
      <c r="B218" s="51"/>
    </row>
    <row r="219" ht="15.75" customHeight="1">
      <c r="B219" s="51"/>
    </row>
    <row r="220" ht="15.75" customHeight="1">
      <c r="B220" s="51"/>
    </row>
    <row r="221" ht="15.75" customHeight="1">
      <c r="B221" s="51"/>
    </row>
    <row r="222" ht="15.75" customHeight="1">
      <c r="B222" s="51"/>
    </row>
    <row r="223" ht="15.75" customHeight="1">
      <c r="B223" s="51"/>
    </row>
    <row r="224" ht="15.75" customHeight="1">
      <c r="B224" s="51"/>
    </row>
    <row r="225" ht="15.75" customHeight="1">
      <c r="B225" s="51"/>
    </row>
    <row r="226" ht="15.75" customHeight="1">
      <c r="B226" s="51"/>
    </row>
    <row r="227" ht="15.75" customHeight="1">
      <c r="B227" s="51"/>
    </row>
    <row r="228" ht="15.75" customHeight="1">
      <c r="B228" s="51"/>
    </row>
    <row r="229" ht="15.75" customHeight="1">
      <c r="B229" s="51"/>
    </row>
    <row r="230" ht="15.75" customHeight="1">
      <c r="B230" s="51"/>
    </row>
    <row r="231" ht="15.75" customHeight="1">
      <c r="B231" s="51"/>
    </row>
    <row r="232" ht="15.75" customHeight="1">
      <c r="B232" s="51"/>
    </row>
    <row r="233" ht="15.75" customHeight="1">
      <c r="B233" s="51"/>
    </row>
    <row r="234" ht="15.75" customHeight="1">
      <c r="B234" s="51"/>
    </row>
    <row r="235" ht="15.75" customHeight="1">
      <c r="B235" s="51"/>
    </row>
    <row r="236" ht="15.75" customHeight="1">
      <c r="B236" s="51"/>
    </row>
    <row r="237" ht="15.75" customHeight="1">
      <c r="B237" s="51"/>
    </row>
    <row r="238" ht="15.75" customHeight="1">
      <c r="B238" s="51"/>
    </row>
    <row r="239" ht="15.75" customHeight="1">
      <c r="B239" s="51"/>
    </row>
    <row r="240" ht="15.75" customHeight="1">
      <c r="B240" s="51"/>
    </row>
    <row r="241" ht="15.75" customHeight="1">
      <c r="B241" s="51"/>
    </row>
    <row r="242" ht="15.75" customHeight="1">
      <c r="B242" s="51"/>
    </row>
    <row r="243" ht="15.75" customHeight="1">
      <c r="B243" s="51"/>
    </row>
    <row r="244" ht="15.75" customHeight="1">
      <c r="B244" s="51"/>
    </row>
    <row r="245" ht="15.75" customHeight="1">
      <c r="B245" s="51"/>
    </row>
    <row r="246" ht="15.75" customHeight="1">
      <c r="B246" s="51"/>
    </row>
    <row r="247" ht="15.75" customHeight="1">
      <c r="B247" s="51"/>
    </row>
    <row r="248" ht="15.75" customHeight="1">
      <c r="B248" s="51"/>
    </row>
    <row r="249" ht="15.75" customHeight="1">
      <c r="B249" s="51"/>
    </row>
    <row r="250" ht="15.75" customHeight="1">
      <c r="B250" s="51"/>
    </row>
    <row r="251" ht="15.75" customHeight="1">
      <c r="B251" s="51"/>
    </row>
    <row r="252" ht="15.75" customHeight="1">
      <c r="B252" s="51"/>
    </row>
    <row r="253" ht="15.75" customHeight="1">
      <c r="B253" s="51"/>
    </row>
    <row r="254" ht="15.75" customHeight="1">
      <c r="B254" s="51"/>
    </row>
    <row r="255" ht="15.75" customHeight="1">
      <c r="B255" s="51"/>
    </row>
    <row r="256" ht="15.75" customHeight="1">
      <c r="B256" s="51"/>
    </row>
    <row r="257" ht="15.75" customHeight="1">
      <c r="B257" s="51"/>
    </row>
    <row r="258" ht="15.75" customHeight="1">
      <c r="B258" s="51"/>
    </row>
    <row r="259" ht="15.75" customHeight="1">
      <c r="B259" s="51"/>
    </row>
    <row r="260" ht="15.75" customHeight="1">
      <c r="B260" s="51"/>
    </row>
    <row r="261" ht="15.75" customHeight="1">
      <c r="B261" s="51"/>
    </row>
    <row r="262" ht="15.75" customHeight="1">
      <c r="B262" s="51"/>
    </row>
    <row r="263" ht="15.75" customHeight="1">
      <c r="B263" s="51"/>
    </row>
    <row r="264" ht="15.75" customHeight="1">
      <c r="B264" s="51"/>
    </row>
    <row r="265" ht="15.75" customHeight="1">
      <c r="B265" s="51"/>
    </row>
    <row r="266" ht="15.75" customHeight="1">
      <c r="B266" s="51"/>
    </row>
    <row r="267" ht="15.75" customHeight="1">
      <c r="B267" s="51"/>
    </row>
    <row r="268" ht="15.75" customHeight="1">
      <c r="B268" s="51"/>
    </row>
    <row r="269" ht="15.75" customHeight="1">
      <c r="B269" s="51"/>
    </row>
    <row r="270" ht="15.75" customHeight="1">
      <c r="B270" s="51"/>
    </row>
    <row r="271" ht="15.75" customHeight="1">
      <c r="B271" s="51"/>
    </row>
    <row r="272" ht="15.75" customHeight="1">
      <c r="B272" s="51"/>
    </row>
    <row r="273" ht="15.75" customHeight="1">
      <c r="B273" s="51"/>
    </row>
    <row r="274" ht="15.75" customHeight="1">
      <c r="B274" s="51"/>
    </row>
    <row r="275" ht="15.75" customHeight="1">
      <c r="B275" s="51"/>
    </row>
    <row r="276" ht="15.75" customHeight="1">
      <c r="B276" s="51"/>
    </row>
    <row r="277" ht="15.75" customHeight="1">
      <c r="B277" s="51"/>
    </row>
    <row r="278" ht="15.75" customHeight="1">
      <c r="B278" s="51"/>
    </row>
    <row r="279" ht="15.75" customHeight="1">
      <c r="B279" s="51"/>
    </row>
    <row r="280" ht="15.75" customHeight="1">
      <c r="B280" s="51"/>
    </row>
    <row r="281" ht="15.75" customHeight="1">
      <c r="B281" s="51"/>
    </row>
    <row r="282" ht="15.75" customHeight="1">
      <c r="B282" s="51"/>
    </row>
    <row r="283" ht="15.75" customHeight="1">
      <c r="B283" s="51"/>
    </row>
    <row r="284" ht="15.75" customHeight="1">
      <c r="B284" s="51"/>
    </row>
    <row r="285" ht="15.75" customHeight="1">
      <c r="B285" s="51"/>
    </row>
    <row r="286" ht="15.75" customHeight="1">
      <c r="B286" s="51"/>
    </row>
    <row r="287" ht="15.75" customHeight="1">
      <c r="B287" s="51"/>
    </row>
    <row r="288" ht="15.75" customHeight="1">
      <c r="B288" s="51"/>
    </row>
    <row r="289" ht="15.75" customHeight="1">
      <c r="B289" s="51"/>
    </row>
    <row r="290" ht="15.75" customHeight="1">
      <c r="B290" s="51"/>
    </row>
    <row r="291" ht="15.75" customHeight="1">
      <c r="B291" s="51"/>
    </row>
    <row r="292" ht="15.75" customHeight="1">
      <c r="B292" s="51"/>
    </row>
    <row r="293" ht="15.75" customHeight="1">
      <c r="B293" s="51"/>
    </row>
    <row r="294" ht="15.75" customHeight="1">
      <c r="B294" s="51"/>
    </row>
    <row r="295" ht="15.75" customHeight="1">
      <c r="B295" s="51"/>
    </row>
    <row r="296" ht="15.75" customHeight="1">
      <c r="B296" s="51"/>
    </row>
    <row r="297" ht="15.75" customHeight="1">
      <c r="B297" s="51"/>
    </row>
    <row r="298" ht="15.75" customHeight="1">
      <c r="B298" s="51"/>
    </row>
    <row r="299" ht="15.75" customHeight="1">
      <c r="B299" s="51"/>
    </row>
    <row r="300" ht="15.75" customHeight="1">
      <c r="B300" s="51"/>
    </row>
    <row r="301" ht="15.75" customHeight="1">
      <c r="B301" s="51"/>
    </row>
    <row r="302" ht="15.75" customHeight="1">
      <c r="B302" s="51"/>
    </row>
    <row r="303" ht="15.75" customHeight="1">
      <c r="B303" s="51"/>
    </row>
    <row r="304" ht="15.75" customHeight="1">
      <c r="B304" s="51"/>
    </row>
    <row r="305" ht="15.75" customHeight="1">
      <c r="B305" s="51"/>
    </row>
    <row r="306" ht="15.75" customHeight="1">
      <c r="B306" s="51"/>
    </row>
    <row r="307" ht="15.75" customHeight="1">
      <c r="B307" s="51"/>
    </row>
    <row r="308" ht="15.75" customHeight="1">
      <c r="B308" s="51"/>
    </row>
    <row r="309" ht="15.75" customHeight="1">
      <c r="B309" s="51"/>
    </row>
    <row r="310" ht="15.75" customHeight="1">
      <c r="B310" s="51"/>
    </row>
    <row r="311" ht="15.75" customHeight="1">
      <c r="B311" s="51"/>
    </row>
    <row r="312" ht="15.75" customHeight="1">
      <c r="B312" s="51"/>
    </row>
    <row r="313" ht="15.75" customHeight="1">
      <c r="B313" s="51"/>
    </row>
    <row r="314" ht="15.75" customHeight="1">
      <c r="B314" s="51"/>
    </row>
    <row r="315" ht="15.75" customHeight="1">
      <c r="B315" s="51"/>
    </row>
    <row r="316" ht="15.75" customHeight="1">
      <c r="B316" s="51"/>
    </row>
    <row r="317" ht="15.75" customHeight="1">
      <c r="B317" s="51"/>
    </row>
    <row r="318" ht="15.75" customHeight="1">
      <c r="B318" s="51"/>
    </row>
    <row r="319" ht="15.75" customHeight="1">
      <c r="B319" s="51"/>
    </row>
    <row r="320" ht="15.75" customHeight="1">
      <c r="B320" s="51"/>
    </row>
    <row r="321" ht="15.75" customHeight="1">
      <c r="B321" s="51"/>
    </row>
    <row r="322" ht="15.75" customHeight="1">
      <c r="B322" s="51"/>
    </row>
    <row r="323" ht="15.75" customHeight="1">
      <c r="B323" s="51"/>
    </row>
    <row r="324" ht="15.75" customHeight="1">
      <c r="B324" s="51"/>
    </row>
    <row r="325" ht="15.75" customHeight="1">
      <c r="B325" s="51"/>
    </row>
    <row r="326" ht="15.75" customHeight="1">
      <c r="B326" s="51"/>
    </row>
    <row r="327" ht="15.75" customHeight="1">
      <c r="B327" s="51"/>
    </row>
    <row r="328" ht="15.75" customHeight="1">
      <c r="B328" s="51"/>
    </row>
    <row r="329" ht="15.75" customHeight="1">
      <c r="B329" s="51"/>
    </row>
    <row r="330" ht="15.75" customHeight="1">
      <c r="B330" s="51"/>
    </row>
    <row r="331" ht="15.75" customHeight="1">
      <c r="B331" s="51"/>
    </row>
    <row r="332" ht="15.75" customHeight="1">
      <c r="B332" s="51"/>
    </row>
    <row r="333" ht="15.75" customHeight="1">
      <c r="B333" s="51"/>
    </row>
    <row r="334" ht="15.75" customHeight="1">
      <c r="B334" s="51"/>
    </row>
    <row r="335" ht="15.75" customHeight="1">
      <c r="B335" s="51"/>
    </row>
    <row r="336" ht="15.75" customHeight="1">
      <c r="B336" s="51"/>
    </row>
    <row r="337" ht="15.75" customHeight="1">
      <c r="B337" s="51"/>
    </row>
    <row r="338" ht="15.75" customHeight="1">
      <c r="B338" s="51"/>
    </row>
    <row r="339" ht="15.75" customHeight="1">
      <c r="B339" s="51"/>
    </row>
    <row r="340" ht="15.75" customHeight="1">
      <c r="B340" s="51"/>
    </row>
    <row r="341" ht="15.75" customHeight="1">
      <c r="B341" s="51"/>
    </row>
    <row r="342" ht="15.75" customHeight="1">
      <c r="B342" s="51"/>
    </row>
    <row r="343" ht="15.75" customHeight="1">
      <c r="B343" s="51"/>
    </row>
    <row r="344" ht="15.75" customHeight="1">
      <c r="B344" s="51"/>
    </row>
    <row r="345" ht="15.75" customHeight="1">
      <c r="B345" s="51"/>
    </row>
    <row r="346" ht="15.75" customHeight="1">
      <c r="B346" s="51"/>
    </row>
    <row r="347" ht="15.75" customHeight="1">
      <c r="B347" s="51"/>
    </row>
    <row r="348" ht="15.75" customHeight="1">
      <c r="B348" s="51"/>
    </row>
    <row r="349" ht="15.75" customHeight="1">
      <c r="B349" s="51"/>
    </row>
    <row r="350" ht="15.75" customHeight="1">
      <c r="B350" s="51"/>
    </row>
    <row r="351" ht="15.75" customHeight="1">
      <c r="B351" s="51"/>
    </row>
    <row r="352" ht="15.75" customHeight="1">
      <c r="B352" s="51"/>
    </row>
    <row r="353" ht="15.75" customHeight="1">
      <c r="B353" s="51"/>
    </row>
    <row r="354" ht="15.75" customHeight="1">
      <c r="B354" s="51"/>
    </row>
    <row r="355" ht="15.75" customHeight="1">
      <c r="B355" s="51"/>
    </row>
    <row r="356" ht="15.75" customHeight="1">
      <c r="B356" s="51"/>
    </row>
    <row r="357" ht="15.75" customHeight="1">
      <c r="B357" s="51"/>
    </row>
    <row r="358" ht="15.75" customHeight="1">
      <c r="B358" s="51"/>
    </row>
    <row r="359" ht="15.75" customHeight="1">
      <c r="B359" s="51"/>
    </row>
    <row r="360" ht="15.75" customHeight="1">
      <c r="B360" s="51"/>
    </row>
    <row r="361" ht="15.75" customHeight="1">
      <c r="B361" s="51"/>
    </row>
    <row r="362" ht="15.75" customHeight="1">
      <c r="B362" s="51"/>
    </row>
    <row r="363" ht="15.75" customHeight="1">
      <c r="B363" s="51"/>
    </row>
    <row r="364" ht="15.75" customHeight="1">
      <c r="B364" s="51"/>
    </row>
    <row r="365" ht="15.75" customHeight="1">
      <c r="B365" s="51"/>
    </row>
    <row r="366" ht="15.75" customHeight="1">
      <c r="B366" s="51"/>
    </row>
    <row r="367" ht="15.75" customHeight="1">
      <c r="B367" s="51"/>
    </row>
    <row r="368" ht="15.75" customHeight="1">
      <c r="B368" s="51"/>
    </row>
    <row r="369" ht="15.75" customHeight="1">
      <c r="B369" s="51"/>
    </row>
    <row r="370" ht="15.75" customHeight="1">
      <c r="B370" s="51"/>
    </row>
    <row r="371" ht="15.75" customHeight="1">
      <c r="B371" s="51"/>
    </row>
    <row r="372" ht="15.75" customHeight="1">
      <c r="B372" s="51"/>
    </row>
    <row r="373" ht="15.75" customHeight="1">
      <c r="B373" s="51"/>
    </row>
    <row r="374" ht="15.75" customHeight="1">
      <c r="B374" s="51"/>
    </row>
    <row r="375" ht="15.75" customHeight="1">
      <c r="B375" s="51"/>
    </row>
    <row r="376" ht="15.75" customHeight="1">
      <c r="B376" s="51"/>
    </row>
    <row r="377" ht="15.75" customHeight="1">
      <c r="B377" s="51"/>
    </row>
    <row r="378" ht="15.75" customHeight="1">
      <c r="B378" s="51"/>
    </row>
    <row r="379" ht="15.75" customHeight="1">
      <c r="B379" s="51"/>
    </row>
    <row r="380" ht="15.75" customHeight="1">
      <c r="B380" s="51"/>
    </row>
    <row r="381" ht="15.75" customHeight="1">
      <c r="B381" s="51"/>
    </row>
    <row r="382" ht="15.75" customHeight="1">
      <c r="B382" s="51"/>
    </row>
    <row r="383" ht="15.75" customHeight="1">
      <c r="B383" s="51"/>
    </row>
    <row r="384" ht="15.75" customHeight="1">
      <c r="B384" s="51"/>
    </row>
    <row r="385" ht="15.75" customHeight="1">
      <c r="B385" s="51"/>
    </row>
    <row r="386" ht="15.75" customHeight="1">
      <c r="B386" s="51"/>
    </row>
    <row r="387" ht="15.75" customHeight="1">
      <c r="B387" s="51"/>
    </row>
    <row r="388" ht="15.75" customHeight="1">
      <c r="B388" s="51"/>
    </row>
    <row r="389" ht="15.75" customHeight="1">
      <c r="B389" s="51"/>
    </row>
    <row r="390" ht="15.75" customHeight="1">
      <c r="B390" s="51"/>
    </row>
    <row r="391" ht="15.75" customHeight="1">
      <c r="B391" s="51"/>
    </row>
    <row r="392" ht="15.75" customHeight="1">
      <c r="B392" s="51"/>
    </row>
    <row r="393" ht="15.75" customHeight="1">
      <c r="B393" s="51"/>
    </row>
    <row r="394" ht="15.75" customHeight="1">
      <c r="B394" s="51"/>
    </row>
    <row r="395" ht="15.75" customHeight="1">
      <c r="B395" s="51"/>
    </row>
    <row r="396" ht="15.75" customHeight="1">
      <c r="B396" s="51"/>
    </row>
    <row r="397" ht="15.75" customHeight="1">
      <c r="B397" s="51"/>
    </row>
    <row r="398" ht="15.75" customHeight="1">
      <c r="B398" s="51"/>
    </row>
    <row r="399" ht="15.75" customHeight="1">
      <c r="B399" s="51"/>
    </row>
    <row r="400" ht="15.75" customHeight="1">
      <c r="B400" s="51"/>
    </row>
    <row r="401" ht="15.75" customHeight="1">
      <c r="B401" s="51"/>
    </row>
    <row r="402" ht="15.75" customHeight="1">
      <c r="B402" s="51"/>
    </row>
    <row r="403" ht="15.75" customHeight="1">
      <c r="B403" s="51"/>
    </row>
    <row r="404" ht="15.75" customHeight="1">
      <c r="B404" s="51"/>
    </row>
    <row r="405" ht="15.75" customHeight="1">
      <c r="B405" s="51"/>
    </row>
    <row r="406" ht="15.75" customHeight="1">
      <c r="B406" s="51"/>
    </row>
    <row r="407" ht="15.75" customHeight="1">
      <c r="B407" s="51"/>
    </row>
    <row r="408" ht="15.75" customHeight="1">
      <c r="B408" s="51"/>
    </row>
    <row r="409" ht="15.75" customHeight="1">
      <c r="B409" s="51"/>
    </row>
    <row r="410" ht="15.75" customHeight="1">
      <c r="B410" s="51"/>
    </row>
    <row r="411" ht="15.75" customHeight="1">
      <c r="B411" s="51"/>
    </row>
    <row r="412" ht="15.75" customHeight="1">
      <c r="B412" s="51"/>
    </row>
    <row r="413" ht="15.75" customHeight="1">
      <c r="B413" s="51"/>
    </row>
    <row r="414" ht="15.75" customHeight="1">
      <c r="B414" s="51"/>
    </row>
    <row r="415" ht="15.75" customHeight="1">
      <c r="B415" s="51"/>
    </row>
    <row r="416" ht="15.75" customHeight="1">
      <c r="B416" s="51"/>
    </row>
    <row r="417" ht="15.75" customHeight="1">
      <c r="B417" s="51"/>
    </row>
    <row r="418" ht="15.75" customHeight="1">
      <c r="B418" s="51"/>
    </row>
    <row r="419" ht="15.75" customHeight="1">
      <c r="B419" s="51"/>
    </row>
    <row r="420" ht="15.75" customHeight="1">
      <c r="B420" s="51"/>
    </row>
    <row r="421" ht="15.75" customHeight="1">
      <c r="B421" s="51"/>
    </row>
    <row r="422" ht="15.75" customHeight="1">
      <c r="B422" s="51"/>
    </row>
    <row r="423" ht="15.75" customHeight="1">
      <c r="B423" s="51"/>
    </row>
    <row r="424" ht="15.75" customHeight="1">
      <c r="B424" s="51"/>
    </row>
    <row r="425" ht="15.75" customHeight="1">
      <c r="B425" s="51"/>
    </row>
    <row r="426" ht="15.75" customHeight="1">
      <c r="B426" s="51"/>
    </row>
    <row r="427" ht="15.75" customHeight="1">
      <c r="B427" s="51"/>
    </row>
    <row r="428" ht="15.75" customHeight="1">
      <c r="B428" s="51"/>
    </row>
    <row r="429" ht="15.75" customHeight="1">
      <c r="B429" s="51"/>
    </row>
    <row r="430" ht="15.75" customHeight="1">
      <c r="B430" s="51"/>
    </row>
    <row r="431" ht="15.75" customHeight="1">
      <c r="B431" s="51"/>
    </row>
    <row r="432" ht="15.75" customHeight="1">
      <c r="B432" s="51"/>
    </row>
    <row r="433" ht="15.75" customHeight="1">
      <c r="B433" s="51"/>
    </row>
    <row r="434" ht="15.75" customHeight="1">
      <c r="B434" s="51"/>
    </row>
    <row r="435" ht="15.75" customHeight="1">
      <c r="B435" s="51"/>
    </row>
    <row r="436" ht="15.75" customHeight="1">
      <c r="B436" s="51"/>
    </row>
    <row r="437" ht="15.75" customHeight="1">
      <c r="B437" s="51"/>
    </row>
    <row r="438" ht="15.75" customHeight="1">
      <c r="B438" s="51"/>
    </row>
    <row r="439" ht="15.75" customHeight="1">
      <c r="B439" s="51"/>
    </row>
    <row r="440" ht="15.75" customHeight="1">
      <c r="B440" s="51"/>
    </row>
    <row r="441" ht="15.75" customHeight="1">
      <c r="B441" s="51"/>
    </row>
    <row r="442" ht="15.75" customHeight="1">
      <c r="B442" s="51"/>
    </row>
    <row r="443" ht="15.75" customHeight="1">
      <c r="B443" s="51"/>
    </row>
    <row r="444" ht="15.75" customHeight="1">
      <c r="B444" s="51"/>
    </row>
    <row r="445" ht="15.75" customHeight="1">
      <c r="B445" s="51"/>
    </row>
    <row r="446" ht="15.75" customHeight="1">
      <c r="B446" s="51"/>
    </row>
    <row r="447" ht="15.75" customHeight="1">
      <c r="B447" s="51"/>
    </row>
    <row r="448" ht="15.75" customHeight="1">
      <c r="B448" s="51"/>
    </row>
    <row r="449" ht="15.75" customHeight="1">
      <c r="B449" s="51"/>
    </row>
    <row r="450" ht="15.75" customHeight="1">
      <c r="B450" s="51"/>
    </row>
    <row r="451" ht="15.75" customHeight="1">
      <c r="B451" s="51"/>
    </row>
    <row r="452" ht="15.75" customHeight="1">
      <c r="B452" s="51"/>
    </row>
    <row r="453" ht="15.75" customHeight="1">
      <c r="B453" s="51"/>
    </row>
    <row r="454" ht="15.75" customHeight="1">
      <c r="B454" s="51"/>
    </row>
    <row r="455" ht="15.75" customHeight="1">
      <c r="B455" s="51"/>
    </row>
    <row r="456" ht="15.75" customHeight="1">
      <c r="B456" s="51"/>
    </row>
    <row r="457" ht="15.75" customHeight="1">
      <c r="B457" s="51"/>
    </row>
    <row r="458" ht="15.75" customHeight="1">
      <c r="B458" s="51"/>
    </row>
    <row r="459" ht="15.75" customHeight="1">
      <c r="B459" s="51"/>
    </row>
    <row r="460" ht="15.75" customHeight="1">
      <c r="B460" s="51"/>
    </row>
    <row r="461" ht="15.75" customHeight="1">
      <c r="B461" s="51"/>
    </row>
    <row r="462" ht="15.75" customHeight="1">
      <c r="B462" s="51"/>
    </row>
    <row r="463" ht="15.75" customHeight="1">
      <c r="B463" s="51"/>
    </row>
    <row r="464" ht="15.75" customHeight="1">
      <c r="B464" s="51"/>
    </row>
    <row r="465" ht="15.75" customHeight="1">
      <c r="B465" s="51"/>
    </row>
    <row r="466" ht="15.75" customHeight="1">
      <c r="B466" s="51"/>
    </row>
    <row r="467" ht="15.75" customHeight="1">
      <c r="B467" s="51"/>
    </row>
    <row r="468" ht="15.75" customHeight="1">
      <c r="B468" s="51"/>
    </row>
    <row r="469" ht="15.75" customHeight="1">
      <c r="B469" s="51"/>
    </row>
    <row r="470" ht="15.75" customHeight="1">
      <c r="B470" s="51"/>
    </row>
    <row r="471" ht="15.75" customHeight="1">
      <c r="B471" s="51"/>
    </row>
    <row r="472" ht="15.75" customHeight="1">
      <c r="B472" s="51"/>
    </row>
    <row r="473" ht="15.75" customHeight="1">
      <c r="B473" s="51"/>
    </row>
    <row r="474" ht="15.75" customHeight="1">
      <c r="B474" s="51"/>
    </row>
    <row r="475" ht="15.75" customHeight="1">
      <c r="B475" s="51"/>
    </row>
    <row r="476" ht="15.75" customHeight="1">
      <c r="B476" s="51"/>
    </row>
    <row r="477" ht="15.75" customHeight="1">
      <c r="B477" s="51"/>
    </row>
    <row r="478" ht="15.75" customHeight="1">
      <c r="B478" s="51"/>
    </row>
    <row r="479" ht="15.75" customHeight="1">
      <c r="B479" s="51"/>
    </row>
    <row r="480" ht="15.75" customHeight="1">
      <c r="B480" s="51"/>
    </row>
    <row r="481" ht="15.75" customHeight="1">
      <c r="B481" s="51"/>
    </row>
    <row r="482" ht="15.75" customHeight="1">
      <c r="B482" s="51"/>
    </row>
    <row r="483" ht="15.75" customHeight="1">
      <c r="B483" s="51"/>
    </row>
    <row r="484" ht="15.75" customHeight="1">
      <c r="B484" s="51"/>
    </row>
    <row r="485" ht="15.75" customHeight="1">
      <c r="B485" s="51"/>
    </row>
    <row r="486" ht="15.75" customHeight="1">
      <c r="B486" s="51"/>
    </row>
    <row r="487" ht="15.75" customHeight="1">
      <c r="B487" s="51"/>
    </row>
    <row r="488" ht="15.75" customHeight="1">
      <c r="B488" s="51"/>
    </row>
    <row r="489" ht="15.75" customHeight="1">
      <c r="B489" s="51"/>
    </row>
    <row r="490" ht="15.75" customHeight="1">
      <c r="B490" s="51"/>
    </row>
    <row r="491" ht="15.75" customHeight="1">
      <c r="B491" s="51"/>
    </row>
    <row r="492" ht="15.75" customHeight="1">
      <c r="B492" s="51"/>
    </row>
    <row r="493" ht="15.75" customHeight="1">
      <c r="B493" s="51"/>
    </row>
    <row r="494" ht="15.75" customHeight="1">
      <c r="B494" s="51"/>
    </row>
    <row r="495" ht="15.75" customHeight="1">
      <c r="B495" s="51"/>
    </row>
    <row r="496" ht="15.75" customHeight="1">
      <c r="B496" s="51"/>
    </row>
    <row r="497" ht="15.75" customHeight="1">
      <c r="B497" s="51"/>
    </row>
    <row r="498" ht="15.75" customHeight="1">
      <c r="B498" s="51"/>
    </row>
    <row r="499" ht="15.75" customHeight="1">
      <c r="B499" s="51"/>
    </row>
    <row r="500" ht="15.75" customHeight="1">
      <c r="B500" s="51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V1"/>
    <mergeCell ref="A2:V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75"/>
    <col customWidth="1" min="2" max="2" width="12.5"/>
    <col customWidth="1" min="3" max="3" width="37.38"/>
    <col customWidth="1" min="4" max="4" width="40.75"/>
    <col customWidth="1" min="5" max="5" width="16.25"/>
    <col customWidth="1" min="6" max="6" width="22.5"/>
    <col customWidth="1" min="7" max="8" width="12.5"/>
    <col customWidth="1" min="9" max="9" width="10.0"/>
    <col customWidth="1" min="10" max="10" width="11.25"/>
    <col customWidth="1" min="11" max="11" width="18.75"/>
    <col customWidth="1" min="12" max="12" width="15.0"/>
    <col customWidth="1" min="13" max="13" width="25.0"/>
    <col customWidth="1" min="14" max="14" width="13.75"/>
    <col customWidth="1" min="15" max="15" width="13.13"/>
    <col customWidth="1" min="16" max="16" width="10.0"/>
    <col customWidth="1" min="17" max="17" width="14.38"/>
    <col customWidth="1" min="18" max="18" width="15.0"/>
    <col customWidth="1" min="19" max="19" width="13.13"/>
    <col customWidth="1" min="20" max="20" width="14.38"/>
    <col customWidth="1" min="21" max="21" width="13.75"/>
    <col customWidth="1" min="22" max="22" width="26.25"/>
    <col customWidth="1" min="23" max="23" width="13.75"/>
    <col customWidth="1" min="24" max="24" width="13.13"/>
    <col customWidth="1" min="25" max="25" width="15.0"/>
    <col customWidth="1" min="26" max="26" width="10.63"/>
    <col customWidth="1" min="27" max="28" width="15.0"/>
    <col customWidth="1" min="29" max="29" width="21.25"/>
    <col customWidth="1" min="30" max="30" width="27.5"/>
  </cols>
  <sheetData>
    <row r="1" ht="27.0" customHeight="1">
      <c r="A1" s="1" t="s">
        <v>131</v>
      </c>
    </row>
    <row r="2" ht="25.5" customHeight="1">
      <c r="A2" s="2" t="s">
        <v>133</v>
      </c>
    </row>
    <row r="5">
      <c r="A5" s="3" t="s">
        <v>44</v>
      </c>
      <c r="B5" s="8" t="s">
        <v>51</v>
      </c>
      <c r="C5" s="8" t="s">
        <v>45</v>
      </c>
      <c r="D5" s="8" t="s">
        <v>53</v>
      </c>
      <c r="E5" s="8" t="s">
        <v>54</v>
      </c>
      <c r="F5" s="8" t="s">
        <v>55</v>
      </c>
      <c r="G5" s="8" t="s">
        <v>56</v>
      </c>
      <c r="H5" s="8" t="s">
        <v>57</v>
      </c>
      <c r="I5" s="8" t="s">
        <v>58</v>
      </c>
      <c r="J5" s="8" t="s">
        <v>59</v>
      </c>
      <c r="K5" s="8" t="s">
        <v>60</v>
      </c>
      <c r="L5" s="8" t="s">
        <v>61</v>
      </c>
      <c r="M5" s="8" t="s">
        <v>62</v>
      </c>
      <c r="N5" s="8" t="s">
        <v>63</v>
      </c>
      <c r="O5" s="8" t="s">
        <v>50</v>
      </c>
      <c r="P5" s="8" t="s">
        <v>23</v>
      </c>
      <c r="Q5" s="8" t="s">
        <v>29</v>
      </c>
      <c r="R5" s="8" t="s">
        <v>26</v>
      </c>
      <c r="S5" s="8" t="s">
        <v>65</v>
      </c>
      <c r="T5" s="8" t="s">
        <v>49</v>
      </c>
      <c r="U5" s="8" t="s">
        <v>67</v>
      </c>
      <c r="V5" s="8" t="s">
        <v>68</v>
      </c>
      <c r="W5" s="8" t="s">
        <v>69</v>
      </c>
      <c r="X5" s="8" t="s">
        <v>70</v>
      </c>
      <c r="Y5" s="8" t="s">
        <v>71</v>
      </c>
      <c r="Z5" s="8" t="s">
        <v>72</v>
      </c>
      <c r="AA5" s="8" t="s">
        <v>73</v>
      </c>
      <c r="AB5" s="8" t="s">
        <v>74</v>
      </c>
      <c r="AC5" s="8" t="s">
        <v>75</v>
      </c>
      <c r="AD5" s="9" t="s">
        <v>52</v>
      </c>
    </row>
    <row r="6">
      <c r="A6" s="50">
        <f>IFERROR(__xludf.DUMMYFUNCTION("IFERROR(FILTER('Master Leads'!$A$6:$AD$495, 'Master Leads'!$A$6:$A$495&lt;&gt;"""", 'Master Leads'!$K$6:$K$495=""Healthcare"", 'Master Leads'!$L$6:$L$495=""Pharma""), ""No matching leads yet"")"),1.0)</f>
        <v>1</v>
      </c>
      <c r="B6" s="50">
        <f>IFERROR(__xludf.DUMMYFUNCTION("""COMPUTED_VALUE"""),46264.0)</f>
        <v>46264</v>
      </c>
      <c r="C6" s="50" t="str">
        <f>IFERROR(__xludf.DUMMYFUNCTION("""COMPUTED_VALUE"""),"Inventa")</f>
        <v>Inventa</v>
      </c>
      <c r="D6" s="50" t="str">
        <f>IFERROR(__xludf.DUMMYFUNCTION("""COMPUTED_VALUE"""),"Darshit")</f>
        <v>Darshit</v>
      </c>
      <c r="E6" s="50" t="str">
        <f>IFERROR(__xludf.DUMMYFUNCTION("""COMPUTED_VALUE"""),"7285043792")</f>
        <v>7285043792</v>
      </c>
      <c r="F6" s="50" t="str">
        <f>IFERROR(__xludf.DUMMYFUNCTION("""COMPUTED_VALUE"""),"inventasys@gmail.com")</f>
        <v>inventasys@gmail.com</v>
      </c>
      <c r="G6" s="50" t="str">
        <f>IFERROR(__xludf.DUMMYFUNCTION("""COMPUTED_VALUE"""),"Ahmedabad")</f>
        <v>Ahmedabad</v>
      </c>
      <c r="H6" s="50" t="str">
        <f>IFERROR(__xludf.DUMMYFUNCTION("""COMPUTED_VALUE"""),"India")</f>
        <v>India</v>
      </c>
      <c r="I6" s="50" t="str">
        <f>IFERROR(__xludf.DUMMYFUNCTION("""COMPUTED_VALUE"""),"India")</f>
        <v>India</v>
      </c>
      <c r="J6" s="50" t="str">
        <f>IFERROR(__xludf.DUMMYFUNCTION("""COMPUTED_VALUE"""),"Service")</f>
        <v>Service</v>
      </c>
      <c r="K6" s="50" t="str">
        <f>IFERROR(__xludf.DUMMYFUNCTION("""COMPUTED_VALUE"""),"Healthcare")</f>
        <v>Healthcare</v>
      </c>
      <c r="L6" s="50" t="str">
        <f>IFERROR(__xludf.DUMMYFUNCTION("""COMPUTED_VALUE"""),"Pharma")</f>
        <v>Pharma</v>
      </c>
      <c r="M6" s="50"/>
      <c r="N6" s="50" t="str">
        <f>IFERROR(__xludf.DUMMYFUNCTION("""COMPUTED_VALUE"""),"Event/Expo")</f>
        <v>Event/Expo</v>
      </c>
      <c r="O6" s="50" t="str">
        <f>IFERROR(__xludf.DUMMYFUNCTION("""COMPUTED_VALUE"""),"Aastha")</f>
        <v>Aastha</v>
      </c>
      <c r="P6" s="50" t="str">
        <f>IFERROR(__xludf.DUMMYFUNCTION("""COMPUTED_VALUE"""),"Medium")</f>
        <v>Medium</v>
      </c>
      <c r="Q6" s="50" t="str">
        <f>IFERROR(__xludf.DUMMYFUNCTION("""COMPUTED_VALUE"""),"Converted")</f>
        <v>Converted</v>
      </c>
      <c r="R6" s="50" t="str">
        <f>IFERROR(__xludf.DUMMYFUNCTION("""COMPUTED_VALUE"""),"Follow-Up Complete")</f>
        <v>Follow-Up Complete</v>
      </c>
      <c r="S6" s="50">
        <f>IFERROR(__xludf.DUMMYFUNCTION("""COMPUTED_VALUE"""),46254.0)</f>
        <v>46254</v>
      </c>
      <c r="T6" s="50"/>
      <c r="U6" s="50" t="str">
        <f>IFERROR(__xludf.DUMMYFUNCTION("""COMPUTED_VALUE"""),"Completed")</f>
        <v>Completed</v>
      </c>
      <c r="V6" s="50"/>
      <c r="W6" s="50"/>
      <c r="X6" s="50"/>
      <c r="Y6" s="50"/>
      <c r="Z6" s="50">
        <f>IFERROR(__xludf.DUMMYFUNCTION("""COMPUTED_VALUE"""),0.1)</f>
        <v>0.1</v>
      </c>
      <c r="AA6" s="50">
        <f>IFERROR(__xludf.DUMMYFUNCTION("""COMPUTED_VALUE"""),0.0)</f>
        <v>0</v>
      </c>
      <c r="AB6" s="50">
        <f>IFERROR(__xludf.DUMMYFUNCTION("""COMPUTED_VALUE"""),46235.0)</f>
        <v>46235</v>
      </c>
      <c r="AC6" s="50"/>
      <c r="AD6" s="50"/>
    </row>
    <row r="7">
      <c r="A7" s="50">
        <f>IFERROR(__xludf.DUMMYFUNCTION("""COMPUTED_VALUE"""),3.0)</f>
        <v>3</v>
      </c>
      <c r="B7" s="50">
        <f>IFERROR(__xludf.DUMMYFUNCTION("""COMPUTED_VALUE"""),46264.0)</f>
        <v>46264</v>
      </c>
      <c r="C7" s="50" t="str">
        <f>IFERROR(__xludf.DUMMYFUNCTION("""COMPUTED_VALUE"""),"Meteoric Pharma")</f>
        <v>Meteoric Pharma</v>
      </c>
      <c r="D7" s="50" t="str">
        <f>IFERROR(__xludf.DUMMYFUNCTION("""COMPUTED_VALUE"""),"Mithun Acharya")</f>
        <v>Mithun Acharya</v>
      </c>
      <c r="E7" s="50" t="str">
        <f>IFERROR(__xludf.DUMMYFUNCTION("""COMPUTED_VALUE"""),"9227996623")</f>
        <v>9227996623</v>
      </c>
      <c r="F7" s="50" t="str">
        <f>IFERROR(__xludf.DUMMYFUNCTION("""COMPUTED_VALUE"""),"mithun.it@meteoricbiopharma.com")</f>
        <v>mithun.it@meteoricbiopharma.com</v>
      </c>
      <c r="G7" s="50" t="str">
        <f>IFERROR(__xludf.DUMMYFUNCTION("""COMPUTED_VALUE"""),"Ahmedabad")</f>
        <v>Ahmedabad</v>
      </c>
      <c r="H7" s="50" t="str">
        <f>IFERROR(__xludf.DUMMYFUNCTION("""COMPUTED_VALUE"""),"India")</f>
        <v>India</v>
      </c>
      <c r="I7" s="50" t="str">
        <f>IFERROR(__xludf.DUMMYFUNCTION("""COMPUTED_VALUE"""),"India")</f>
        <v>India</v>
      </c>
      <c r="J7" s="50" t="str">
        <f>IFERROR(__xludf.DUMMYFUNCTION("""COMPUTED_VALUE"""),"Service")</f>
        <v>Service</v>
      </c>
      <c r="K7" s="50" t="str">
        <f>IFERROR(__xludf.DUMMYFUNCTION("""COMPUTED_VALUE"""),"Healthcare")</f>
        <v>Healthcare</v>
      </c>
      <c r="L7" s="50" t="str">
        <f>IFERROR(__xludf.DUMMYFUNCTION("""COMPUTED_VALUE"""),"Pharma")</f>
        <v>Pharma</v>
      </c>
      <c r="M7" s="50"/>
      <c r="N7" s="50" t="str">
        <f>IFERROR(__xludf.DUMMYFUNCTION("""COMPUTED_VALUE"""),"Cold Outreach")</f>
        <v>Cold Outreach</v>
      </c>
      <c r="O7" s="50" t="str">
        <f>IFERROR(__xludf.DUMMYFUNCTION("""COMPUTED_VALUE"""),"Aastha")</f>
        <v>Aastha</v>
      </c>
      <c r="P7" s="50" t="str">
        <f>IFERROR(__xludf.DUMMYFUNCTION("""COMPUTED_VALUE"""),"Hot")</f>
        <v>Hot</v>
      </c>
      <c r="Q7" s="50" t="str">
        <f>IFERROR(__xludf.DUMMYFUNCTION("""COMPUTED_VALUE"""),"Proposal Sent")</f>
        <v>Proposal Sent</v>
      </c>
      <c r="R7" s="50" t="str">
        <f>IFERROR(__xludf.DUMMYFUNCTION("""COMPUTED_VALUE"""),"Initial Contact")</f>
        <v>Initial Contact</v>
      </c>
      <c r="S7" s="50">
        <f>IFERROR(__xludf.DUMMYFUNCTION("""COMPUTED_VALUE"""),46272.0)</f>
        <v>46272</v>
      </c>
      <c r="T7" s="50"/>
      <c r="U7" s="50" t="str">
        <f>IFERROR(__xludf.DUMMYFUNCTION("""COMPUTED_VALUE"""),"Not Scheduled")</f>
        <v>Not Scheduled</v>
      </c>
      <c r="V7" s="50"/>
      <c r="W7" s="50"/>
      <c r="X7" s="50"/>
      <c r="Y7" s="50"/>
      <c r="Z7" s="50"/>
      <c r="AA7" s="50">
        <f>IFERROR(__xludf.DUMMYFUNCTION("""COMPUTED_VALUE"""),0.0)</f>
        <v>0</v>
      </c>
      <c r="AB7" s="50"/>
      <c r="AC7" s="50"/>
      <c r="AD7" s="50"/>
    </row>
    <row r="8">
      <c r="A8" s="50">
        <f>IFERROR(__xludf.DUMMYFUNCTION("""COMPUTED_VALUE"""),37.0)</f>
        <v>37</v>
      </c>
      <c r="B8" s="50">
        <f>IFERROR(__xludf.DUMMYFUNCTION("""COMPUTED_VALUE"""),46264.0)</f>
        <v>46264</v>
      </c>
      <c r="C8" s="50" t="str">
        <f>IFERROR(__xludf.DUMMYFUNCTION("""COMPUTED_VALUE"""),"Anax Lifescience Private Limited")</f>
        <v>Anax Lifescience Private Limited</v>
      </c>
      <c r="D8" s="50" t="str">
        <f>IFERROR(__xludf.DUMMYFUNCTION("""COMPUTED_VALUE"""),"Samir Patel (Managing Director)")</f>
        <v>Samir Patel (Managing Director)</v>
      </c>
      <c r="E8" s="50" t="str">
        <f>IFERROR(__xludf.DUMMYFUNCTION("""COMPUTED_VALUE"""),"9879105608")</f>
        <v>9879105608</v>
      </c>
      <c r="F8" s="50" t="str">
        <f>IFERROR(__xludf.DUMMYFUNCTION("""COMPUTED_VALUE"""),"info@anaxlifescience.in")</f>
        <v>info@anaxlifescience.in</v>
      </c>
      <c r="G8" s="50" t="str">
        <f>IFERROR(__xludf.DUMMYFUNCTION("""COMPUTED_VALUE"""),"Ahmedabad")</f>
        <v>Ahmedabad</v>
      </c>
      <c r="H8" s="50" t="str">
        <f>IFERROR(__xludf.DUMMYFUNCTION("""COMPUTED_VALUE"""),"India")</f>
        <v>India</v>
      </c>
      <c r="I8" s="50" t="str">
        <f>IFERROR(__xludf.DUMMYFUNCTION("""COMPUTED_VALUE"""),"India")</f>
        <v>India</v>
      </c>
      <c r="J8" s="50" t="str">
        <f>IFERROR(__xludf.DUMMYFUNCTION("""COMPUTED_VALUE"""),"Service")</f>
        <v>Service</v>
      </c>
      <c r="K8" s="50" t="str">
        <f>IFERROR(__xludf.DUMMYFUNCTION("""COMPUTED_VALUE"""),"Healthcare")</f>
        <v>Healthcare</v>
      </c>
      <c r="L8" s="50" t="str">
        <f>IFERROR(__xludf.DUMMYFUNCTION("""COMPUTED_VALUE"""),"Pharma")</f>
        <v>Pharma</v>
      </c>
      <c r="M8" s="50"/>
      <c r="N8" s="50" t="str">
        <f>IFERROR(__xludf.DUMMYFUNCTION("""COMPUTED_VALUE"""),"Event/Expo")</f>
        <v>Event/Expo</v>
      </c>
      <c r="O8" s="50" t="str">
        <f>IFERROR(__xludf.DUMMYFUNCTION("""COMPUTED_VALUE"""),"Aastha")</f>
        <v>Aastha</v>
      </c>
      <c r="P8" s="50" t="str">
        <f>IFERROR(__xludf.DUMMYFUNCTION("""COMPUTED_VALUE"""),"Cold")</f>
        <v>Cold</v>
      </c>
      <c r="Q8" s="50" t="str">
        <f>IFERROR(__xludf.DUMMYFUNCTION("""COMPUTED_VALUE"""),"New")</f>
        <v>New</v>
      </c>
      <c r="R8" s="50" t="str">
        <f>IFERROR(__xludf.DUMMYFUNCTION("""COMPUTED_VALUE"""),"Not Started")</f>
        <v>Not Started</v>
      </c>
      <c r="S8" s="50"/>
      <c r="T8" s="50"/>
      <c r="U8" s="50" t="str">
        <f>IFERROR(__xludf.DUMMYFUNCTION("""COMPUTED_VALUE"""),"Not Scheduled")</f>
        <v>Not Scheduled</v>
      </c>
      <c r="V8" s="50"/>
      <c r="W8" s="50"/>
      <c r="X8" s="50"/>
      <c r="Y8" s="50"/>
      <c r="Z8" s="50"/>
      <c r="AA8" s="50">
        <f>IFERROR(__xludf.DUMMYFUNCTION("""COMPUTED_VALUE"""),0.0)</f>
        <v>0</v>
      </c>
      <c r="AB8" s="50"/>
      <c r="AC8" s="50"/>
      <c r="AD8" s="50"/>
    </row>
    <row r="9">
      <c r="A9" s="50">
        <f>IFERROR(__xludf.DUMMYFUNCTION("""COMPUTED_VALUE"""),43.0)</f>
        <v>43</v>
      </c>
      <c r="B9" s="50">
        <f>IFERROR(__xludf.DUMMYFUNCTION("""COMPUTED_VALUE"""),46264.0)</f>
        <v>46264</v>
      </c>
      <c r="C9" s="50" t="str">
        <f>IFERROR(__xludf.DUMMYFUNCTION("""COMPUTED_VALUE"""),"Metropharm Wellness")</f>
        <v>Metropharm Wellness</v>
      </c>
      <c r="D9" s="50" t="str">
        <f>IFERROR(__xludf.DUMMYFUNCTION("""COMPUTED_VALUE"""),"Vatsal Dixit (Managing Director)")</f>
        <v>Vatsal Dixit (Managing Director)</v>
      </c>
      <c r="E9" s="50" t="str">
        <f>IFERROR(__xludf.DUMMYFUNCTION("""COMPUTED_VALUE"""),"9925249992")</f>
        <v>9925249992</v>
      </c>
      <c r="F9" s="50" t="str">
        <f>IFERROR(__xludf.DUMMYFUNCTION("""COMPUTED_VALUE"""),"vatsal@metropharmwellness.com")</f>
        <v>vatsal@metropharmwellness.com</v>
      </c>
      <c r="G9" s="50" t="str">
        <f>IFERROR(__xludf.DUMMYFUNCTION("""COMPUTED_VALUE"""),"Ahmedabad")</f>
        <v>Ahmedabad</v>
      </c>
      <c r="H9" s="50" t="str">
        <f>IFERROR(__xludf.DUMMYFUNCTION("""COMPUTED_VALUE"""),"India")</f>
        <v>India</v>
      </c>
      <c r="I9" s="50" t="str">
        <f>IFERROR(__xludf.DUMMYFUNCTION("""COMPUTED_VALUE"""),"India")</f>
        <v>India</v>
      </c>
      <c r="J9" s="50" t="str">
        <f>IFERROR(__xludf.DUMMYFUNCTION("""COMPUTED_VALUE"""),"Service")</f>
        <v>Service</v>
      </c>
      <c r="K9" s="50" t="str">
        <f>IFERROR(__xludf.DUMMYFUNCTION("""COMPUTED_VALUE"""),"Healthcare")</f>
        <v>Healthcare</v>
      </c>
      <c r="L9" s="50" t="str">
        <f>IFERROR(__xludf.DUMMYFUNCTION("""COMPUTED_VALUE"""),"Pharma")</f>
        <v>Pharma</v>
      </c>
      <c r="M9" s="50"/>
      <c r="N9" s="50" t="str">
        <f>IFERROR(__xludf.DUMMYFUNCTION("""COMPUTED_VALUE"""),"Event/Expo")</f>
        <v>Event/Expo</v>
      </c>
      <c r="O9" s="50" t="str">
        <f>IFERROR(__xludf.DUMMYFUNCTION("""COMPUTED_VALUE"""),"Aastha")</f>
        <v>Aastha</v>
      </c>
      <c r="P9" s="50" t="str">
        <f>IFERROR(__xludf.DUMMYFUNCTION("""COMPUTED_VALUE"""),"Cold")</f>
        <v>Cold</v>
      </c>
      <c r="Q9" s="50" t="str">
        <f>IFERROR(__xludf.DUMMYFUNCTION("""COMPUTED_VALUE"""),"New")</f>
        <v>New</v>
      </c>
      <c r="R9" s="50" t="str">
        <f>IFERROR(__xludf.DUMMYFUNCTION("""COMPUTED_VALUE"""),"Not Started")</f>
        <v>Not Started</v>
      </c>
      <c r="S9" s="50"/>
      <c r="T9" s="50"/>
      <c r="U9" s="50" t="str">
        <f>IFERROR(__xludf.DUMMYFUNCTION("""COMPUTED_VALUE"""),"Not Scheduled")</f>
        <v>Not Scheduled</v>
      </c>
      <c r="V9" s="50"/>
      <c r="W9" s="50"/>
      <c r="X9" s="50"/>
      <c r="Y9" s="50"/>
      <c r="Z9" s="50"/>
      <c r="AA9" s="50">
        <f>IFERROR(__xludf.DUMMYFUNCTION("""COMPUTED_VALUE"""),0.0)</f>
        <v>0</v>
      </c>
      <c r="AB9" s="50"/>
      <c r="AC9" s="50"/>
      <c r="AD9" s="50"/>
    </row>
    <row r="10">
      <c r="A10" s="50">
        <f>IFERROR(__xludf.DUMMYFUNCTION("""COMPUTED_VALUE"""),53.0)</f>
        <v>53</v>
      </c>
      <c r="B10" s="50">
        <f>IFERROR(__xludf.DUMMYFUNCTION("""COMPUTED_VALUE"""),46267.0)</f>
        <v>46267</v>
      </c>
      <c r="C10" s="50" t="str">
        <f>IFERROR(__xludf.DUMMYFUNCTION("""COMPUTED_VALUE"""),"Adilinf")</f>
        <v>Adilinf</v>
      </c>
      <c r="D10" s="50" t="str">
        <f>IFERROR(__xludf.DUMMYFUNCTION("""COMPUTED_VALUE"""),"Brijesh Chodavadiya (CEO &amp; Founder)")</f>
        <v>Brijesh Chodavadiya (CEO &amp; Founder)</v>
      </c>
      <c r="E10" s="50" t="str">
        <f>IFERROR(__xludf.DUMMYFUNCTION("""COMPUTED_VALUE"""),"9428362964")</f>
        <v>9428362964</v>
      </c>
      <c r="F10" s="50" t="str">
        <f>IFERROR(__xludf.DUMMYFUNCTION("""COMPUTED_VALUE"""),"brijesh.chodavadiya@adilinf.co.in")</f>
        <v>brijesh.chodavadiya@adilinf.co.in</v>
      </c>
      <c r="G10" s="50" t="str">
        <f>IFERROR(__xludf.DUMMYFUNCTION("""COMPUTED_VALUE"""),"Ahmedabad")</f>
        <v>Ahmedabad</v>
      </c>
      <c r="H10" s="50" t="str">
        <f>IFERROR(__xludf.DUMMYFUNCTION("""COMPUTED_VALUE"""),"India")</f>
        <v>India</v>
      </c>
      <c r="I10" s="50" t="str">
        <f>IFERROR(__xludf.DUMMYFUNCTION("""COMPUTED_VALUE"""),"India")</f>
        <v>India</v>
      </c>
      <c r="J10" s="50" t="str">
        <f>IFERROR(__xludf.DUMMYFUNCTION("""COMPUTED_VALUE"""),"Service")</f>
        <v>Service</v>
      </c>
      <c r="K10" s="50" t="str">
        <f>IFERROR(__xludf.DUMMYFUNCTION("""COMPUTED_VALUE"""),"Healthcare")</f>
        <v>Healthcare</v>
      </c>
      <c r="L10" s="50" t="str">
        <f>IFERROR(__xludf.DUMMYFUNCTION("""COMPUTED_VALUE"""),"Pharma")</f>
        <v>Pharma</v>
      </c>
      <c r="M10" s="50"/>
      <c r="N10" s="50" t="str">
        <f>IFERROR(__xludf.DUMMYFUNCTION("""COMPUTED_VALUE"""),"Event/Expo")</f>
        <v>Event/Expo</v>
      </c>
      <c r="O10" s="50" t="str">
        <f>IFERROR(__xludf.DUMMYFUNCTION("""COMPUTED_VALUE"""),"Aastha")</f>
        <v>Aastha</v>
      </c>
      <c r="P10" s="50" t="str">
        <f>IFERROR(__xludf.DUMMYFUNCTION("""COMPUTED_VALUE"""),"Cold")</f>
        <v>Cold</v>
      </c>
      <c r="Q10" s="50" t="str">
        <f>IFERROR(__xludf.DUMMYFUNCTION("""COMPUTED_VALUE"""),"New")</f>
        <v>New</v>
      </c>
      <c r="R10" s="50" t="str">
        <f>IFERROR(__xludf.DUMMYFUNCTION("""COMPUTED_VALUE"""),"Not Started")</f>
        <v>Not Started</v>
      </c>
      <c r="S10" s="50"/>
      <c r="T10" s="50"/>
      <c r="U10" s="50" t="str">
        <f>IFERROR(__xludf.DUMMYFUNCTION("""COMPUTED_VALUE"""),"Not Scheduled")</f>
        <v>Not Scheduled</v>
      </c>
      <c r="V10" s="50"/>
      <c r="W10" s="50"/>
      <c r="X10" s="50"/>
      <c r="Y10" s="50"/>
      <c r="Z10" s="50"/>
      <c r="AA10" s="50">
        <f>IFERROR(__xludf.DUMMYFUNCTION("""COMPUTED_VALUE"""),0.0)</f>
        <v>0</v>
      </c>
      <c r="AB10" s="50"/>
      <c r="AC10" s="50"/>
      <c r="AD10" s="50"/>
    </row>
    <row r="11">
      <c r="A11" s="50">
        <f>IFERROR(__xludf.DUMMYFUNCTION("""COMPUTED_VALUE"""),63.0)</f>
        <v>63</v>
      </c>
      <c r="B11" s="50">
        <f>IFERROR(__xludf.DUMMYFUNCTION("""COMPUTED_VALUE"""),46267.0)</f>
        <v>46267</v>
      </c>
      <c r="C11" s="50" t="str">
        <f>IFERROR(__xludf.DUMMYFUNCTION("""COMPUTED_VALUE"""),"NEO India Lifeline Private Limited")</f>
        <v>NEO India Lifeline Private Limited</v>
      </c>
      <c r="D11" s="50" t="str">
        <f>IFERROR(__xludf.DUMMYFUNCTION("""COMPUTED_VALUE"""),"Khevna Maniar (HR Manager)")</f>
        <v>Khevna Maniar (HR Manager)</v>
      </c>
      <c r="E11" s="50" t="str">
        <f>IFERROR(__xludf.DUMMYFUNCTION("""COMPUTED_VALUE"""),"9898107362")</f>
        <v>9898107362</v>
      </c>
      <c r="F11" s="50" t="str">
        <f>IFERROR(__xludf.DUMMYFUNCTION("""COMPUTED_VALUE"""),"khevna.maniar@neohealthgroup.com")</f>
        <v>khevna.maniar@neohealthgroup.com</v>
      </c>
      <c r="G11" s="50" t="str">
        <f>IFERROR(__xludf.DUMMYFUNCTION("""COMPUTED_VALUE"""),"Ahmedabad")</f>
        <v>Ahmedabad</v>
      </c>
      <c r="H11" s="50" t="str">
        <f>IFERROR(__xludf.DUMMYFUNCTION("""COMPUTED_VALUE"""),"India")</f>
        <v>India</v>
      </c>
      <c r="I11" s="50" t="str">
        <f>IFERROR(__xludf.DUMMYFUNCTION("""COMPUTED_VALUE"""),"India")</f>
        <v>India</v>
      </c>
      <c r="J11" s="50" t="str">
        <f>IFERROR(__xludf.DUMMYFUNCTION("""COMPUTED_VALUE"""),"Service")</f>
        <v>Service</v>
      </c>
      <c r="K11" s="50" t="str">
        <f>IFERROR(__xludf.DUMMYFUNCTION("""COMPUTED_VALUE"""),"Healthcare")</f>
        <v>Healthcare</v>
      </c>
      <c r="L11" s="50" t="str">
        <f>IFERROR(__xludf.DUMMYFUNCTION("""COMPUTED_VALUE"""),"Pharma")</f>
        <v>Pharma</v>
      </c>
      <c r="M11" s="50"/>
      <c r="N11" s="50" t="str">
        <f>IFERROR(__xludf.DUMMYFUNCTION("""COMPUTED_VALUE"""),"Event/Expo")</f>
        <v>Event/Expo</v>
      </c>
      <c r="O11" s="50" t="str">
        <f>IFERROR(__xludf.DUMMYFUNCTION("""COMPUTED_VALUE"""),"Aastha")</f>
        <v>Aastha</v>
      </c>
      <c r="P11" s="50" t="str">
        <f>IFERROR(__xludf.DUMMYFUNCTION("""COMPUTED_VALUE"""),"Cold")</f>
        <v>Cold</v>
      </c>
      <c r="Q11" s="50" t="str">
        <f>IFERROR(__xludf.DUMMYFUNCTION("""COMPUTED_VALUE"""),"New")</f>
        <v>New</v>
      </c>
      <c r="R11" s="50" t="str">
        <f>IFERROR(__xludf.DUMMYFUNCTION("""COMPUTED_VALUE"""),"Not Started")</f>
        <v>Not Started</v>
      </c>
      <c r="S11" s="50"/>
      <c r="T11" s="50"/>
      <c r="U11" s="50" t="str">
        <f>IFERROR(__xludf.DUMMYFUNCTION("""COMPUTED_VALUE"""),"Not Scheduled")</f>
        <v>Not Scheduled</v>
      </c>
      <c r="V11" s="50"/>
      <c r="W11" s="50"/>
      <c r="X11" s="50"/>
      <c r="Y11" s="50"/>
      <c r="Z11" s="50"/>
      <c r="AA11" s="50">
        <f>IFERROR(__xludf.DUMMYFUNCTION("""COMPUTED_VALUE"""),0.0)</f>
        <v>0</v>
      </c>
      <c r="AB11" s="50"/>
      <c r="AC11" s="50"/>
      <c r="AD11" s="50"/>
    </row>
    <row r="12">
      <c r="A12" s="50">
        <f>IFERROR(__xludf.DUMMYFUNCTION("""COMPUTED_VALUE"""),72.0)</f>
        <v>72</v>
      </c>
      <c r="B12" s="50">
        <f>IFERROR(__xludf.DUMMYFUNCTION("""COMPUTED_VALUE"""),46267.0)</f>
        <v>46267</v>
      </c>
      <c r="C12" s="50" t="str">
        <f>IFERROR(__xludf.DUMMYFUNCTION("""COMPUTED_VALUE"""),"ICH DIEN WELLNESS / ICH DIEN Nutraceutical")</f>
        <v>ICH DIEN WELLNESS / ICH DIEN Nutraceutical</v>
      </c>
      <c r="D12" s="50" t="str">
        <f>IFERROR(__xludf.DUMMYFUNCTION("""COMPUTED_VALUE"""),"Patel Priyen")</f>
        <v>Patel Priyen</v>
      </c>
      <c r="E12" s="50" t="str">
        <f>IFERROR(__xludf.DUMMYFUNCTION("""COMPUTED_VALUE"""),"9327000673")</f>
        <v>9327000673</v>
      </c>
      <c r="F12" s="50" t="str">
        <f>IFERROR(__xludf.DUMMYFUNCTION("""COMPUTED_VALUE"""),"ichdienwellness1970@gmail.com; ichdienwellness.export@gmail.com")</f>
        <v>ichdienwellness1970@gmail.com; ichdienwellness.export@gmail.com</v>
      </c>
      <c r="G12" s="50" t="str">
        <f>IFERROR(__xludf.DUMMYFUNCTION("""COMPUTED_VALUE"""),"Palanpur")</f>
        <v>Palanpur</v>
      </c>
      <c r="H12" s="50" t="str">
        <f>IFERROR(__xludf.DUMMYFUNCTION("""COMPUTED_VALUE"""),"India")</f>
        <v>India</v>
      </c>
      <c r="I12" s="50" t="str">
        <f>IFERROR(__xludf.DUMMYFUNCTION("""COMPUTED_VALUE"""),"India")</f>
        <v>India</v>
      </c>
      <c r="J12" s="50" t="str">
        <f>IFERROR(__xludf.DUMMYFUNCTION("""COMPUTED_VALUE"""),"Service")</f>
        <v>Service</v>
      </c>
      <c r="K12" s="50" t="str">
        <f>IFERROR(__xludf.DUMMYFUNCTION("""COMPUTED_VALUE"""),"Healthcare")</f>
        <v>Healthcare</v>
      </c>
      <c r="L12" s="50" t="str">
        <f>IFERROR(__xludf.DUMMYFUNCTION("""COMPUTED_VALUE"""),"Pharma")</f>
        <v>Pharma</v>
      </c>
      <c r="M12" s="50"/>
      <c r="N12" s="50" t="str">
        <f>IFERROR(__xludf.DUMMYFUNCTION("""COMPUTED_VALUE"""),"Event/Expo")</f>
        <v>Event/Expo</v>
      </c>
      <c r="O12" s="50" t="str">
        <f>IFERROR(__xludf.DUMMYFUNCTION("""COMPUTED_VALUE"""),"Aastha")</f>
        <v>Aastha</v>
      </c>
      <c r="P12" s="50" t="str">
        <f>IFERROR(__xludf.DUMMYFUNCTION("""COMPUTED_VALUE"""),"Cold")</f>
        <v>Cold</v>
      </c>
      <c r="Q12" s="50" t="str">
        <f>IFERROR(__xludf.DUMMYFUNCTION("""COMPUTED_VALUE"""),"New")</f>
        <v>New</v>
      </c>
      <c r="R12" s="50" t="str">
        <f>IFERROR(__xludf.DUMMYFUNCTION("""COMPUTED_VALUE"""),"Not Started")</f>
        <v>Not Started</v>
      </c>
      <c r="S12" s="50"/>
      <c r="T12" s="50"/>
      <c r="U12" s="50" t="str">
        <f>IFERROR(__xludf.DUMMYFUNCTION("""COMPUTED_VALUE"""),"Not Scheduled")</f>
        <v>Not Scheduled</v>
      </c>
      <c r="V12" s="50"/>
      <c r="W12" s="50"/>
      <c r="X12" s="50"/>
      <c r="Y12" s="50"/>
      <c r="Z12" s="50"/>
      <c r="AA12" s="50">
        <f>IFERROR(__xludf.DUMMYFUNCTION("""COMPUTED_VALUE"""),0.0)</f>
        <v>0</v>
      </c>
      <c r="AB12" s="50"/>
      <c r="AC12" s="50"/>
      <c r="AD12" s="50"/>
    </row>
    <row r="13">
      <c r="A13" s="50">
        <f>IFERROR(__xludf.DUMMYFUNCTION("""COMPUTED_VALUE"""),75.0)</f>
        <v>75</v>
      </c>
      <c r="B13" s="50">
        <f>IFERROR(__xludf.DUMMYFUNCTION("""COMPUTED_VALUE"""),46267.0)</f>
        <v>46267</v>
      </c>
      <c r="C13" s="50" t="str">
        <f>IFERROR(__xludf.DUMMYFUNCTION("""COMPUTED_VALUE"""),"ICH DIEN WELLNESS / ICH DIEN Nutraceutical")</f>
        <v>ICH DIEN WELLNESS / ICH DIEN Nutraceutical</v>
      </c>
      <c r="D13" s="50" t="str">
        <f>IFERROR(__xludf.DUMMYFUNCTION("""COMPUTED_VALUE"""),"Rajesh Agrawal (Marketing Manager)")</f>
        <v>Rajesh Agrawal (Marketing Manager)</v>
      </c>
      <c r="E13" s="50" t="str">
        <f>IFERROR(__xludf.DUMMYFUNCTION("""COMPUTED_VALUE"""),"7405375350")</f>
        <v>7405375350</v>
      </c>
      <c r="F13" s="50"/>
      <c r="G13" s="50" t="str">
        <f>IFERROR(__xludf.DUMMYFUNCTION("""COMPUTED_VALUE"""),"Ahmedabad / Palanpur")</f>
        <v>Ahmedabad / Palanpur</v>
      </c>
      <c r="H13" s="50" t="str">
        <f>IFERROR(__xludf.DUMMYFUNCTION("""COMPUTED_VALUE"""),"India")</f>
        <v>India</v>
      </c>
      <c r="I13" s="50" t="str">
        <f>IFERROR(__xludf.DUMMYFUNCTION("""COMPUTED_VALUE"""),"India")</f>
        <v>India</v>
      </c>
      <c r="J13" s="50" t="str">
        <f>IFERROR(__xludf.DUMMYFUNCTION("""COMPUTED_VALUE"""),"Service")</f>
        <v>Service</v>
      </c>
      <c r="K13" s="50" t="str">
        <f>IFERROR(__xludf.DUMMYFUNCTION("""COMPUTED_VALUE"""),"Healthcare")</f>
        <v>Healthcare</v>
      </c>
      <c r="L13" s="50" t="str">
        <f>IFERROR(__xludf.DUMMYFUNCTION("""COMPUTED_VALUE"""),"Pharma")</f>
        <v>Pharma</v>
      </c>
      <c r="M13" s="50"/>
      <c r="N13" s="50" t="str">
        <f>IFERROR(__xludf.DUMMYFUNCTION("""COMPUTED_VALUE"""),"Event/Expo")</f>
        <v>Event/Expo</v>
      </c>
      <c r="O13" s="50" t="str">
        <f>IFERROR(__xludf.DUMMYFUNCTION("""COMPUTED_VALUE"""),"Aastha")</f>
        <v>Aastha</v>
      </c>
      <c r="P13" s="50" t="str">
        <f>IFERROR(__xludf.DUMMYFUNCTION("""COMPUTED_VALUE"""),"Hot")</f>
        <v>Hot</v>
      </c>
      <c r="Q13" s="50" t="str">
        <f>IFERROR(__xludf.DUMMYFUNCTION("""COMPUTED_VALUE"""),"Negotiation")</f>
        <v>Negotiation</v>
      </c>
      <c r="R13" s="50" t="str">
        <f>IFERROR(__xludf.DUMMYFUNCTION("""COMPUTED_VALUE"""),"Not Started")</f>
        <v>Not Started</v>
      </c>
      <c r="S13" s="50"/>
      <c r="T13" s="50"/>
      <c r="U13" s="50" t="str">
        <f>IFERROR(__xludf.DUMMYFUNCTION("""COMPUTED_VALUE"""),"Not Scheduled")</f>
        <v>Not Scheduled</v>
      </c>
      <c r="V13" s="50"/>
      <c r="W13" s="50"/>
      <c r="X13" s="50"/>
      <c r="Y13" s="50"/>
      <c r="Z13" s="50"/>
      <c r="AA13" s="50">
        <f>IFERROR(__xludf.DUMMYFUNCTION("""COMPUTED_VALUE"""),0.0)</f>
        <v>0</v>
      </c>
      <c r="AB13" s="50"/>
      <c r="AC13" s="50"/>
      <c r="AD13" s="50"/>
    </row>
    <row r="14">
      <c r="A14" s="50">
        <f>IFERROR(__xludf.DUMMYFUNCTION("""COMPUTED_VALUE"""),76.0)</f>
        <v>76</v>
      </c>
      <c r="B14" s="50">
        <f>IFERROR(__xludf.DUMMYFUNCTION("""COMPUTED_VALUE"""),46267.0)</f>
        <v>46267</v>
      </c>
      <c r="C14" s="50" t="str">
        <f>IFERROR(__xludf.DUMMYFUNCTION("""COMPUTED_VALUE"""),"Religence Pharmaceuticals Private Limited")</f>
        <v>Religence Pharmaceuticals Private Limited</v>
      </c>
      <c r="D14" s="50" t="str">
        <f>IFERROR(__xludf.DUMMYFUNCTION("""COMPUTED_VALUE"""),"Mohit Patel")</f>
        <v>Mohit Patel</v>
      </c>
      <c r="E14" s="50" t="str">
        <f>IFERROR(__xludf.DUMMYFUNCTION("""COMPUTED_VALUE"""),"9825966650; 9727173573")</f>
        <v>9825966650; 9727173573</v>
      </c>
      <c r="F14" s="50" t="str">
        <f>IFERROR(__xludf.DUMMYFUNCTION("""COMPUTED_VALUE"""),"mohit@religence.in; info@religence.in")</f>
        <v>mohit@religence.in; info@religence.in</v>
      </c>
      <c r="G14" s="50" t="str">
        <f>IFERROR(__xludf.DUMMYFUNCTION("""COMPUTED_VALUE"""),"Bhavnagar / Bharuch")</f>
        <v>Bhavnagar / Bharuch</v>
      </c>
      <c r="H14" s="50" t="str">
        <f>IFERROR(__xludf.DUMMYFUNCTION("""COMPUTED_VALUE"""),"India")</f>
        <v>India</v>
      </c>
      <c r="I14" s="50" t="str">
        <f>IFERROR(__xludf.DUMMYFUNCTION("""COMPUTED_VALUE"""),"India")</f>
        <v>India</v>
      </c>
      <c r="J14" s="50" t="str">
        <f>IFERROR(__xludf.DUMMYFUNCTION("""COMPUTED_VALUE"""),"Service")</f>
        <v>Service</v>
      </c>
      <c r="K14" s="50" t="str">
        <f>IFERROR(__xludf.DUMMYFUNCTION("""COMPUTED_VALUE"""),"Healthcare")</f>
        <v>Healthcare</v>
      </c>
      <c r="L14" s="50" t="str">
        <f>IFERROR(__xludf.DUMMYFUNCTION("""COMPUTED_VALUE"""),"Pharma")</f>
        <v>Pharma</v>
      </c>
      <c r="M14" s="50"/>
      <c r="N14" s="50" t="str">
        <f>IFERROR(__xludf.DUMMYFUNCTION("""COMPUTED_VALUE"""),"Event/Expo")</f>
        <v>Event/Expo</v>
      </c>
      <c r="O14" s="50" t="str">
        <f>IFERROR(__xludf.DUMMYFUNCTION("""COMPUTED_VALUE"""),"Aastha")</f>
        <v>Aastha</v>
      </c>
      <c r="P14" s="50" t="str">
        <f>IFERROR(__xludf.DUMMYFUNCTION("""COMPUTED_VALUE"""),"Cold")</f>
        <v>Cold</v>
      </c>
      <c r="Q14" s="50" t="str">
        <f>IFERROR(__xludf.DUMMYFUNCTION("""COMPUTED_VALUE"""),"New")</f>
        <v>New</v>
      </c>
      <c r="R14" s="50" t="str">
        <f>IFERROR(__xludf.DUMMYFUNCTION("""COMPUTED_VALUE"""),"Not Started")</f>
        <v>Not Started</v>
      </c>
      <c r="S14" s="50"/>
      <c r="T14" s="50"/>
      <c r="U14" s="50" t="str">
        <f>IFERROR(__xludf.DUMMYFUNCTION("""COMPUTED_VALUE"""),"Not Scheduled")</f>
        <v>Not Scheduled</v>
      </c>
      <c r="V14" s="50"/>
      <c r="W14" s="50"/>
      <c r="X14" s="50"/>
      <c r="Y14" s="50"/>
      <c r="Z14" s="50"/>
      <c r="AA14" s="50">
        <f>IFERROR(__xludf.DUMMYFUNCTION("""COMPUTED_VALUE"""),0.0)</f>
        <v>0</v>
      </c>
      <c r="AB14" s="50"/>
      <c r="AC14" s="50"/>
      <c r="AD14" s="50"/>
    </row>
    <row r="15">
      <c r="A15" s="50">
        <f>IFERROR(__xludf.DUMMYFUNCTION("""COMPUTED_VALUE"""),77.0)</f>
        <v>77</v>
      </c>
      <c r="B15" s="50">
        <f>IFERROR(__xludf.DUMMYFUNCTION("""COMPUTED_VALUE"""),46267.0)</f>
        <v>46267</v>
      </c>
      <c r="C15" s="50" t="str">
        <f>IFERROR(__xludf.DUMMYFUNCTION("""COMPUTED_VALUE"""),"Decefrag Pharmaceuticals")</f>
        <v>Decefrag Pharmaceuticals</v>
      </c>
      <c r="D15" s="50" t="str">
        <f>IFERROR(__xludf.DUMMYFUNCTION("""COMPUTED_VALUE"""),"Mahek Thakur (Global Sales Manager)")</f>
        <v>Mahek Thakur (Global Sales Manager)</v>
      </c>
      <c r="E15" s="50" t="str">
        <f>IFERROR(__xludf.DUMMYFUNCTION("""COMPUTED_VALUE"""),"9924627787")</f>
        <v>9924627787</v>
      </c>
      <c r="F15" s="50" t="str">
        <f>IFERROR(__xludf.DUMMYFUNCTION("""COMPUTED_VALUE"""),"mahek.thakur@decefragpharma.com; mahek.singh2204@gmail.com")</f>
        <v>mahek.thakur@decefragpharma.com; mahek.singh2204@gmail.com</v>
      </c>
      <c r="G15" s="50" t="str">
        <f>IFERROR(__xludf.DUMMYFUNCTION("""COMPUTED_VALUE"""),"Ahmedabad")</f>
        <v>Ahmedabad</v>
      </c>
      <c r="H15" s="50" t="str">
        <f>IFERROR(__xludf.DUMMYFUNCTION("""COMPUTED_VALUE"""),"India")</f>
        <v>India</v>
      </c>
      <c r="I15" s="50" t="str">
        <f>IFERROR(__xludf.DUMMYFUNCTION("""COMPUTED_VALUE"""),"India")</f>
        <v>India</v>
      </c>
      <c r="J15" s="50" t="str">
        <f>IFERROR(__xludf.DUMMYFUNCTION("""COMPUTED_VALUE"""),"Service")</f>
        <v>Service</v>
      </c>
      <c r="K15" s="50" t="str">
        <f>IFERROR(__xludf.DUMMYFUNCTION("""COMPUTED_VALUE"""),"Healthcare")</f>
        <v>Healthcare</v>
      </c>
      <c r="L15" s="50" t="str">
        <f>IFERROR(__xludf.DUMMYFUNCTION("""COMPUTED_VALUE"""),"Pharma")</f>
        <v>Pharma</v>
      </c>
      <c r="M15" s="50"/>
      <c r="N15" s="50" t="str">
        <f>IFERROR(__xludf.DUMMYFUNCTION("""COMPUTED_VALUE"""),"Event/Expo")</f>
        <v>Event/Expo</v>
      </c>
      <c r="O15" s="50" t="str">
        <f>IFERROR(__xludf.DUMMYFUNCTION("""COMPUTED_VALUE"""),"Aastha")</f>
        <v>Aastha</v>
      </c>
      <c r="P15" s="50" t="str">
        <f>IFERROR(__xludf.DUMMYFUNCTION("""COMPUTED_VALUE"""),"Cold")</f>
        <v>Cold</v>
      </c>
      <c r="Q15" s="50" t="str">
        <f>IFERROR(__xludf.DUMMYFUNCTION("""COMPUTED_VALUE"""),"New")</f>
        <v>New</v>
      </c>
      <c r="R15" s="50" t="str">
        <f>IFERROR(__xludf.DUMMYFUNCTION("""COMPUTED_VALUE"""),"Not Started")</f>
        <v>Not Started</v>
      </c>
      <c r="S15" s="50"/>
      <c r="T15" s="50"/>
      <c r="U15" s="50" t="str">
        <f>IFERROR(__xludf.DUMMYFUNCTION("""COMPUTED_VALUE"""),"Not Scheduled")</f>
        <v>Not Scheduled</v>
      </c>
      <c r="V15" s="50"/>
      <c r="W15" s="50"/>
      <c r="X15" s="50"/>
      <c r="Y15" s="50"/>
      <c r="Z15" s="50"/>
      <c r="AA15" s="50">
        <f>IFERROR(__xludf.DUMMYFUNCTION("""COMPUTED_VALUE"""),0.0)</f>
        <v>0</v>
      </c>
      <c r="AB15" s="50"/>
      <c r="AC15" s="50"/>
      <c r="AD15" s="50"/>
    </row>
    <row r="16">
      <c r="A16" s="50">
        <f>IFERROR(__xludf.DUMMYFUNCTION("""COMPUTED_VALUE"""),78.0)</f>
        <v>78</v>
      </c>
      <c r="B16" s="50">
        <f>IFERROR(__xludf.DUMMYFUNCTION("""COMPUTED_VALUE"""),46267.0)</f>
        <v>46267</v>
      </c>
      <c r="C16" s="50" t="str">
        <f>IFERROR(__xludf.DUMMYFUNCTION("""COMPUTED_VALUE"""),"SmartCare Nutrition")</f>
        <v>SmartCare Nutrition</v>
      </c>
      <c r="D16" s="50" t="str">
        <f>IFERROR(__xludf.DUMMYFUNCTION("""COMPUTED_VALUE"""),"Huzefa Vanthliwala (Director)")</f>
        <v>Huzefa Vanthliwala (Director)</v>
      </c>
      <c r="E16" s="50" t="str">
        <f>IFERROR(__xludf.DUMMYFUNCTION("""COMPUTED_VALUE"""),"9833286871")</f>
        <v>9833286871</v>
      </c>
      <c r="F16" s="50" t="str">
        <f>IFERROR(__xludf.DUMMYFUNCTION("""COMPUTED_VALUE"""),"support@smartcarenutrition.in")</f>
        <v>support@smartcarenutrition.in</v>
      </c>
      <c r="G16" s="50" t="str">
        <f>IFERROR(__xludf.DUMMYFUNCTION("""COMPUTED_VALUE"""),"Andheri")</f>
        <v>Andheri</v>
      </c>
      <c r="H16" s="50" t="str">
        <f>IFERROR(__xludf.DUMMYFUNCTION("""COMPUTED_VALUE"""),"India")</f>
        <v>India</v>
      </c>
      <c r="I16" s="50" t="str">
        <f>IFERROR(__xludf.DUMMYFUNCTION("""COMPUTED_VALUE"""),"India")</f>
        <v>India</v>
      </c>
      <c r="J16" s="50" t="str">
        <f>IFERROR(__xludf.DUMMYFUNCTION("""COMPUTED_VALUE"""),"Service")</f>
        <v>Service</v>
      </c>
      <c r="K16" s="50" t="str">
        <f>IFERROR(__xludf.DUMMYFUNCTION("""COMPUTED_VALUE"""),"Healthcare")</f>
        <v>Healthcare</v>
      </c>
      <c r="L16" s="50" t="str">
        <f>IFERROR(__xludf.DUMMYFUNCTION("""COMPUTED_VALUE"""),"Pharma")</f>
        <v>Pharma</v>
      </c>
      <c r="M16" s="50"/>
      <c r="N16" s="50" t="str">
        <f>IFERROR(__xludf.DUMMYFUNCTION("""COMPUTED_VALUE"""),"Event/Expo")</f>
        <v>Event/Expo</v>
      </c>
      <c r="O16" s="50" t="str">
        <f>IFERROR(__xludf.DUMMYFUNCTION("""COMPUTED_VALUE"""),"Aastha")</f>
        <v>Aastha</v>
      </c>
      <c r="P16" s="50" t="str">
        <f>IFERROR(__xludf.DUMMYFUNCTION("""COMPUTED_VALUE"""),"Hot")</f>
        <v>Hot</v>
      </c>
      <c r="Q16" s="50" t="str">
        <f>IFERROR(__xludf.DUMMYFUNCTION("""COMPUTED_VALUE"""),"Contacted")</f>
        <v>Contacted</v>
      </c>
      <c r="R16" s="50" t="str">
        <f>IFERROR(__xludf.DUMMYFUNCTION("""COMPUTED_VALUE"""),"Not Started")</f>
        <v>Not Started</v>
      </c>
      <c r="S16" s="50"/>
      <c r="T16" s="50"/>
      <c r="U16" s="50" t="str">
        <f>IFERROR(__xludf.DUMMYFUNCTION("""COMPUTED_VALUE"""),"Not Scheduled")</f>
        <v>Not Scheduled</v>
      </c>
      <c r="V16" s="50"/>
      <c r="W16" s="50"/>
      <c r="X16" s="50"/>
      <c r="Y16" s="50"/>
      <c r="Z16" s="50"/>
      <c r="AA16" s="50">
        <f>IFERROR(__xludf.DUMMYFUNCTION("""COMPUTED_VALUE"""),0.0)</f>
        <v>0</v>
      </c>
      <c r="AB16" s="50"/>
      <c r="AC16" s="50"/>
      <c r="AD16" s="50"/>
    </row>
    <row r="17">
      <c r="A17" s="50">
        <f>IFERROR(__xludf.DUMMYFUNCTION("""COMPUTED_VALUE"""),84.0)</f>
        <v>84</v>
      </c>
      <c r="B17" s="50">
        <f>IFERROR(__xludf.DUMMYFUNCTION("""COMPUTED_VALUE"""),46267.0)</f>
        <v>46267</v>
      </c>
      <c r="C17" s="50" t="str">
        <f>IFERROR(__xludf.DUMMYFUNCTION("""COMPUTED_VALUE"""),"Prey Healthcare")</f>
        <v>Prey Healthcare</v>
      </c>
      <c r="D17" s="50" t="str">
        <f>IFERROR(__xludf.DUMMYFUNCTION("""COMPUTED_VALUE"""),"Ashish Patel")</f>
        <v>Ashish Patel</v>
      </c>
      <c r="E17" s="50" t="str">
        <f>IFERROR(__xludf.DUMMYFUNCTION("""COMPUTED_VALUE"""),"9725202772")</f>
        <v>9725202772</v>
      </c>
      <c r="F17" s="50" t="str">
        <f>IFERROR(__xludf.DUMMYFUNCTION("""COMPUTED_VALUE"""),"preyhealthcare@gmail.com")</f>
        <v>preyhealthcare@gmail.com</v>
      </c>
      <c r="G17" s="50" t="str">
        <f>IFERROR(__xludf.DUMMYFUNCTION("""COMPUTED_VALUE"""),"Virsad")</f>
        <v>Virsad</v>
      </c>
      <c r="H17" s="50" t="str">
        <f>IFERROR(__xludf.DUMMYFUNCTION("""COMPUTED_VALUE"""),"India")</f>
        <v>India</v>
      </c>
      <c r="I17" s="50" t="str">
        <f>IFERROR(__xludf.DUMMYFUNCTION("""COMPUTED_VALUE"""),"India")</f>
        <v>India</v>
      </c>
      <c r="J17" s="50" t="str">
        <f>IFERROR(__xludf.DUMMYFUNCTION("""COMPUTED_VALUE"""),"Service")</f>
        <v>Service</v>
      </c>
      <c r="K17" s="50" t="str">
        <f>IFERROR(__xludf.DUMMYFUNCTION("""COMPUTED_VALUE"""),"Healthcare")</f>
        <v>Healthcare</v>
      </c>
      <c r="L17" s="50" t="str">
        <f>IFERROR(__xludf.DUMMYFUNCTION("""COMPUTED_VALUE"""),"Pharma")</f>
        <v>Pharma</v>
      </c>
      <c r="M17" s="50"/>
      <c r="N17" s="50" t="str">
        <f>IFERROR(__xludf.DUMMYFUNCTION("""COMPUTED_VALUE"""),"Event/Expo")</f>
        <v>Event/Expo</v>
      </c>
      <c r="O17" s="50" t="str">
        <f>IFERROR(__xludf.DUMMYFUNCTION("""COMPUTED_VALUE"""),"Aastha")</f>
        <v>Aastha</v>
      </c>
      <c r="P17" s="50" t="str">
        <f>IFERROR(__xludf.DUMMYFUNCTION("""COMPUTED_VALUE"""),"Cold")</f>
        <v>Cold</v>
      </c>
      <c r="Q17" s="50" t="str">
        <f>IFERROR(__xludf.DUMMYFUNCTION("""COMPUTED_VALUE"""),"New")</f>
        <v>New</v>
      </c>
      <c r="R17" s="50" t="str">
        <f>IFERROR(__xludf.DUMMYFUNCTION("""COMPUTED_VALUE"""),"Not Started")</f>
        <v>Not Started</v>
      </c>
      <c r="S17" s="50"/>
      <c r="T17" s="50"/>
      <c r="U17" s="50" t="str">
        <f>IFERROR(__xludf.DUMMYFUNCTION("""COMPUTED_VALUE"""),"Not Scheduled")</f>
        <v>Not Scheduled</v>
      </c>
      <c r="V17" s="50"/>
      <c r="W17" s="50"/>
      <c r="X17" s="50"/>
      <c r="Y17" s="50"/>
      <c r="Z17" s="50"/>
      <c r="AA17" s="50">
        <f>IFERROR(__xludf.DUMMYFUNCTION("""COMPUTED_VALUE"""),0.0)</f>
        <v>0</v>
      </c>
      <c r="AB17" s="50"/>
      <c r="AC17" s="50"/>
      <c r="AD17" s="50"/>
    </row>
    <row r="18">
      <c r="A18" s="50">
        <f>IFERROR(__xludf.DUMMYFUNCTION("""COMPUTED_VALUE"""),86.0)</f>
        <v>86</v>
      </c>
      <c r="B18" s="50">
        <f>IFERROR(__xludf.DUMMYFUNCTION("""COMPUTED_VALUE"""),46267.0)</f>
        <v>46267</v>
      </c>
      <c r="C18" s="50" t="str">
        <f>IFERROR(__xludf.DUMMYFUNCTION("""COMPUTED_VALUE"""),"Beyond Healthcare")</f>
        <v>Beyond Healthcare</v>
      </c>
      <c r="D18" s="50" t="str">
        <f>IFERROR(__xludf.DUMMYFUNCTION("""COMPUTED_VALUE"""),"Pitroda Smit (Director, M.E. Biomedical)")</f>
        <v>Pitroda Smit (Director, M.E. Biomedical)</v>
      </c>
      <c r="E18" s="50" t="str">
        <f>IFERROR(__xludf.DUMMYFUNCTION("""COMPUTED_VALUE"""),"9428358182")</f>
        <v>9428358182</v>
      </c>
      <c r="F18" s="50" t="str">
        <f>IFERROR(__xludf.DUMMYFUNCTION("""COMPUTED_VALUE"""),"beyondhealthcareindia@gmail.com")</f>
        <v>beyondhealthcareindia@gmail.com</v>
      </c>
      <c r="G18" s="50" t="str">
        <f>IFERROR(__xludf.DUMMYFUNCTION("""COMPUTED_VALUE"""),"Ahmedabad")</f>
        <v>Ahmedabad</v>
      </c>
      <c r="H18" s="50" t="str">
        <f>IFERROR(__xludf.DUMMYFUNCTION("""COMPUTED_VALUE"""),"India")</f>
        <v>India</v>
      </c>
      <c r="I18" s="50" t="str">
        <f>IFERROR(__xludf.DUMMYFUNCTION("""COMPUTED_VALUE"""),"India")</f>
        <v>India</v>
      </c>
      <c r="J18" s="50" t="str">
        <f>IFERROR(__xludf.DUMMYFUNCTION("""COMPUTED_VALUE"""),"Service")</f>
        <v>Service</v>
      </c>
      <c r="K18" s="50" t="str">
        <f>IFERROR(__xludf.DUMMYFUNCTION("""COMPUTED_VALUE"""),"Healthcare")</f>
        <v>Healthcare</v>
      </c>
      <c r="L18" s="50" t="str">
        <f>IFERROR(__xludf.DUMMYFUNCTION("""COMPUTED_VALUE"""),"Pharma")</f>
        <v>Pharma</v>
      </c>
      <c r="M18" s="50"/>
      <c r="N18" s="50" t="str">
        <f>IFERROR(__xludf.DUMMYFUNCTION("""COMPUTED_VALUE"""),"Event/Expo")</f>
        <v>Event/Expo</v>
      </c>
      <c r="O18" s="50" t="str">
        <f>IFERROR(__xludf.DUMMYFUNCTION("""COMPUTED_VALUE"""),"Aastha")</f>
        <v>Aastha</v>
      </c>
      <c r="P18" s="50" t="str">
        <f>IFERROR(__xludf.DUMMYFUNCTION("""COMPUTED_VALUE"""),"Medium")</f>
        <v>Medium</v>
      </c>
      <c r="Q18" s="50" t="str">
        <f>IFERROR(__xludf.DUMMYFUNCTION("""COMPUTED_VALUE"""),"New")</f>
        <v>New</v>
      </c>
      <c r="R18" s="50" t="str">
        <f>IFERROR(__xludf.DUMMYFUNCTION("""COMPUTED_VALUE"""),"Not Started")</f>
        <v>Not Started</v>
      </c>
      <c r="S18" s="50"/>
      <c r="T18" s="50"/>
      <c r="U18" s="50" t="str">
        <f>IFERROR(__xludf.DUMMYFUNCTION("""COMPUTED_VALUE"""),"Not Scheduled")</f>
        <v>Not Scheduled</v>
      </c>
      <c r="V18" s="50"/>
      <c r="W18" s="50"/>
      <c r="X18" s="50"/>
      <c r="Y18" s="50"/>
      <c r="Z18" s="50"/>
      <c r="AA18" s="50">
        <f>IFERROR(__xludf.DUMMYFUNCTION("""COMPUTED_VALUE"""),0.0)</f>
        <v>0</v>
      </c>
      <c r="AB18" s="50"/>
      <c r="AC18" s="50"/>
      <c r="AD18" s="50"/>
    </row>
    <row r="19">
      <c r="A19" s="50">
        <f>IFERROR(__xludf.DUMMYFUNCTION("""COMPUTED_VALUE"""),90.0)</f>
        <v>90</v>
      </c>
      <c r="B19" s="50">
        <f>IFERROR(__xludf.DUMMYFUNCTION("""COMPUTED_VALUE"""),46267.0)</f>
        <v>46267</v>
      </c>
      <c r="C19" s="50" t="str">
        <f>IFERROR(__xludf.DUMMYFUNCTION("""COMPUTED_VALUE"""),"INREAN PHARMACEUTICAL")</f>
        <v>INREAN PHARMACEUTICAL</v>
      </c>
      <c r="D19" s="50" t="str">
        <f>IFERROR(__xludf.DUMMYFUNCTION("""COMPUTED_VALUE"""),"Amol Indurkar (Director)")</f>
        <v>Amol Indurkar (Director)</v>
      </c>
      <c r="E19" s="50" t="str">
        <f>IFERROR(__xludf.DUMMYFUNCTION("""COMPUTED_VALUE"""),"9713099555")</f>
        <v>9713099555</v>
      </c>
      <c r="F19" s="50" t="str">
        <f>IFERROR(__xludf.DUMMYFUNCTION("""COMPUTED_VALUE"""),"amol@inrean.com")</f>
        <v>amol@inrean.com</v>
      </c>
      <c r="G19" s="50" t="str">
        <f>IFERROR(__xludf.DUMMYFUNCTION("""COMPUTED_VALUE"""),"Ahmedabad")</f>
        <v>Ahmedabad</v>
      </c>
      <c r="H19" s="50" t="str">
        <f>IFERROR(__xludf.DUMMYFUNCTION("""COMPUTED_VALUE"""),"India")</f>
        <v>India</v>
      </c>
      <c r="I19" s="50" t="str">
        <f>IFERROR(__xludf.DUMMYFUNCTION("""COMPUTED_VALUE"""),"India")</f>
        <v>India</v>
      </c>
      <c r="J19" s="50" t="str">
        <f>IFERROR(__xludf.DUMMYFUNCTION("""COMPUTED_VALUE"""),"Service")</f>
        <v>Service</v>
      </c>
      <c r="K19" s="50" t="str">
        <f>IFERROR(__xludf.DUMMYFUNCTION("""COMPUTED_VALUE"""),"Healthcare")</f>
        <v>Healthcare</v>
      </c>
      <c r="L19" s="50" t="str">
        <f>IFERROR(__xludf.DUMMYFUNCTION("""COMPUTED_VALUE"""),"Pharma")</f>
        <v>Pharma</v>
      </c>
      <c r="M19" s="50"/>
      <c r="N19" s="50" t="str">
        <f>IFERROR(__xludf.DUMMYFUNCTION("""COMPUTED_VALUE"""),"Event/Expo")</f>
        <v>Event/Expo</v>
      </c>
      <c r="O19" s="50" t="str">
        <f>IFERROR(__xludf.DUMMYFUNCTION("""COMPUTED_VALUE"""),"Aastha")</f>
        <v>Aastha</v>
      </c>
      <c r="P19" s="50" t="str">
        <f>IFERROR(__xludf.DUMMYFUNCTION("""COMPUTED_VALUE"""),"Cold")</f>
        <v>Cold</v>
      </c>
      <c r="Q19" s="50" t="str">
        <f>IFERROR(__xludf.DUMMYFUNCTION("""COMPUTED_VALUE"""),"New")</f>
        <v>New</v>
      </c>
      <c r="R19" s="50" t="str">
        <f>IFERROR(__xludf.DUMMYFUNCTION("""COMPUTED_VALUE"""),"Not Started")</f>
        <v>Not Started</v>
      </c>
      <c r="S19" s="50"/>
      <c r="T19" s="50"/>
      <c r="U19" s="50" t="str">
        <f>IFERROR(__xludf.DUMMYFUNCTION("""COMPUTED_VALUE"""),"Not Scheduled")</f>
        <v>Not Scheduled</v>
      </c>
      <c r="V19" s="50"/>
      <c r="W19" s="50"/>
      <c r="X19" s="50"/>
      <c r="Y19" s="50"/>
      <c r="Z19" s="50"/>
      <c r="AA19" s="50">
        <f>IFERROR(__xludf.DUMMYFUNCTION("""COMPUTED_VALUE"""),0.0)</f>
        <v>0</v>
      </c>
      <c r="AB19" s="50"/>
      <c r="AC19" s="50"/>
      <c r="AD19" s="50"/>
    </row>
    <row r="20">
      <c r="A20" s="50">
        <f>IFERROR(__xludf.DUMMYFUNCTION("""COMPUTED_VALUE"""),118.0)</f>
        <v>118</v>
      </c>
      <c r="B20" s="50">
        <f>IFERROR(__xludf.DUMMYFUNCTION("""COMPUTED_VALUE"""),46274.0)</f>
        <v>46274</v>
      </c>
      <c r="C20" s="50" t="str">
        <f>IFERROR(__xludf.DUMMYFUNCTION("""COMPUTED_VALUE"""),"Fabuler Life Sciences")</f>
        <v>Fabuler Life Sciences</v>
      </c>
      <c r="D20" s="50" t="str">
        <f>IFERROR(__xludf.DUMMYFUNCTION("""COMPUTED_VALUE"""),"Parth Vyas")</f>
        <v>Parth Vyas</v>
      </c>
      <c r="E20" s="50" t="str">
        <f>IFERROR(__xludf.DUMMYFUNCTION("""COMPUTED_VALUE"""),"7575076762")</f>
        <v>7575076762</v>
      </c>
      <c r="F20" s="50"/>
      <c r="G20" s="50" t="str">
        <f>IFERROR(__xludf.DUMMYFUNCTION("""COMPUTED_VALUE"""),"Ahmedabad")</f>
        <v>Ahmedabad</v>
      </c>
      <c r="H20" s="50" t="str">
        <f>IFERROR(__xludf.DUMMYFUNCTION("""COMPUTED_VALUE"""),"India")</f>
        <v>India</v>
      </c>
      <c r="I20" s="50" t="str">
        <f>IFERROR(__xludf.DUMMYFUNCTION("""COMPUTED_VALUE"""),"India")</f>
        <v>India</v>
      </c>
      <c r="J20" s="50" t="str">
        <f>IFERROR(__xludf.DUMMYFUNCTION("""COMPUTED_VALUE"""),"Service")</f>
        <v>Service</v>
      </c>
      <c r="K20" s="50" t="str">
        <f>IFERROR(__xludf.DUMMYFUNCTION("""COMPUTED_VALUE"""),"Healthcare")</f>
        <v>Healthcare</v>
      </c>
      <c r="L20" s="50" t="str">
        <f>IFERROR(__xludf.DUMMYFUNCTION("""COMPUTED_VALUE"""),"Pharma")</f>
        <v>Pharma</v>
      </c>
      <c r="M20" s="50"/>
      <c r="N20" s="50" t="str">
        <f>IFERROR(__xludf.DUMMYFUNCTION("""COMPUTED_VALUE"""),"Cold Outreach")</f>
        <v>Cold Outreach</v>
      </c>
      <c r="O20" s="50" t="str">
        <f>IFERROR(__xludf.DUMMYFUNCTION("""COMPUTED_VALUE"""),"Aastha")</f>
        <v>Aastha</v>
      </c>
      <c r="P20" s="50"/>
      <c r="Q20" s="50"/>
      <c r="R20" s="50"/>
      <c r="S20" s="50"/>
      <c r="T20" s="50"/>
      <c r="U20" s="50" t="str">
        <f>IFERROR(__xludf.DUMMYFUNCTION("""COMPUTED_VALUE"""),"Not Scheduled")</f>
        <v>Not Scheduled</v>
      </c>
      <c r="V20" s="50"/>
      <c r="W20" s="50"/>
      <c r="X20" s="50"/>
      <c r="Y20" s="50"/>
      <c r="Z20" s="50"/>
      <c r="AA20" s="50">
        <f>IFERROR(__xludf.DUMMYFUNCTION("""COMPUTED_VALUE"""),0.0)</f>
        <v>0</v>
      </c>
      <c r="AB20" s="50"/>
      <c r="AC20" s="50"/>
      <c r="AD20" s="50"/>
    </row>
    <row r="21" ht="15.75" customHeight="1">
      <c r="A21" s="50">
        <f>IFERROR(__xludf.DUMMYFUNCTION("""COMPUTED_VALUE"""),131.0)</f>
        <v>131</v>
      </c>
      <c r="B21" s="50">
        <f>IFERROR(__xludf.DUMMYFUNCTION("""COMPUTED_VALUE"""),46296.0)</f>
        <v>46296</v>
      </c>
      <c r="C21" s="50" t="str">
        <f>IFERROR(__xludf.DUMMYFUNCTION("""COMPUTED_VALUE"""),"Opes Healthcare")</f>
        <v>Opes Healthcare</v>
      </c>
      <c r="D21" s="50" t="str">
        <f>IFERROR(__xludf.DUMMYFUNCTION("""COMPUTED_VALUE"""),"Ashok ")</f>
        <v>Ashok </v>
      </c>
      <c r="E21" s="50" t="str">
        <f>IFERROR(__xludf.DUMMYFUNCTION("""COMPUTED_VALUE"""),"9824974641")</f>
        <v>9824974641</v>
      </c>
      <c r="F21" s="50"/>
      <c r="G21" s="50" t="str">
        <f>IFERROR(__xludf.DUMMYFUNCTION("""COMPUTED_VALUE"""),"Ahmedabad")</f>
        <v>Ahmedabad</v>
      </c>
      <c r="H21" s="50" t="str">
        <f>IFERROR(__xludf.DUMMYFUNCTION("""COMPUTED_VALUE"""),"India")</f>
        <v>India</v>
      </c>
      <c r="I21" s="50" t="str">
        <f>IFERROR(__xludf.DUMMYFUNCTION("""COMPUTED_VALUE"""),"India")</f>
        <v>India</v>
      </c>
      <c r="J21" s="50" t="str">
        <f>IFERROR(__xludf.DUMMYFUNCTION("""COMPUTED_VALUE"""),"Service")</f>
        <v>Service</v>
      </c>
      <c r="K21" s="50" t="str">
        <f>IFERROR(__xludf.DUMMYFUNCTION("""COMPUTED_VALUE"""),"Healthcare")</f>
        <v>Healthcare</v>
      </c>
      <c r="L21" s="50" t="str">
        <f>IFERROR(__xludf.DUMMYFUNCTION("""COMPUTED_VALUE"""),"Pharma")</f>
        <v>Pharma</v>
      </c>
      <c r="M21" s="50"/>
      <c r="N21" s="50" t="str">
        <f>IFERROR(__xludf.DUMMYFUNCTION("""COMPUTED_VALUE"""),"Referral")</f>
        <v>Referral</v>
      </c>
      <c r="O21" s="50"/>
      <c r="P21" s="50" t="str">
        <f>IFERROR(__xludf.DUMMYFUNCTION("""COMPUTED_VALUE"""),"Hot")</f>
        <v>Hot</v>
      </c>
      <c r="Q21" s="50" t="str">
        <f>IFERROR(__xludf.DUMMYFUNCTION("""COMPUTED_VALUE"""),"Demo/Meeting")</f>
        <v>Demo/Meeting</v>
      </c>
      <c r="R21" s="50" t="str">
        <f>IFERROR(__xludf.DUMMYFUNCTION("""COMPUTED_VALUE"""),"1st Follow-Up")</f>
        <v>1st Follow-Up</v>
      </c>
      <c r="S21" s="50"/>
      <c r="T21" s="50"/>
      <c r="U21" s="50" t="str">
        <f>IFERROR(__xludf.DUMMYFUNCTION("""COMPUTED_VALUE"""),"Not Scheduled")</f>
        <v>Not Scheduled</v>
      </c>
      <c r="V21" s="50"/>
      <c r="W21" s="50"/>
      <c r="X21" s="50"/>
      <c r="Y21" s="50"/>
      <c r="Z21" s="50"/>
      <c r="AA21" s="50">
        <f>IFERROR(__xludf.DUMMYFUNCTION("""COMPUTED_VALUE"""),0.0)</f>
        <v>0</v>
      </c>
      <c r="AB21" s="50"/>
      <c r="AC21" s="50"/>
      <c r="AD21" s="5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V1"/>
    <mergeCell ref="A2:V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75"/>
    <col customWidth="1" min="2" max="2" width="12.5"/>
    <col customWidth="1" min="3" max="3" width="22.5"/>
    <col customWidth="1" min="4" max="4" width="17.5"/>
    <col customWidth="1" min="5" max="5" width="16.25"/>
    <col customWidth="1" min="6" max="6" width="22.5"/>
    <col customWidth="1" min="7" max="8" width="12.5"/>
    <col customWidth="1" min="9" max="9" width="10.0"/>
    <col customWidth="1" min="10" max="10" width="11.25"/>
    <col customWidth="1" min="11" max="11" width="18.75"/>
    <col customWidth="1" min="12" max="12" width="15.0"/>
    <col customWidth="1" min="13" max="13" width="25.0"/>
    <col customWidth="1" min="14" max="14" width="13.75"/>
    <col customWidth="1" min="15" max="15" width="13.13"/>
    <col customWidth="1" min="16" max="16" width="10.0"/>
    <col customWidth="1" min="17" max="17" width="14.38"/>
    <col customWidth="1" min="18" max="18" width="15.0"/>
    <col customWidth="1" min="19" max="19" width="13.13"/>
    <col customWidth="1" min="20" max="20" width="14.38"/>
    <col customWidth="1" min="21" max="21" width="13.75"/>
    <col customWidth="1" min="22" max="22" width="26.25"/>
    <col customWidth="1" min="23" max="23" width="13.75"/>
    <col customWidth="1" min="24" max="24" width="13.13"/>
    <col customWidth="1" min="25" max="25" width="15.0"/>
    <col customWidth="1" min="26" max="26" width="10.63"/>
    <col customWidth="1" min="27" max="28" width="15.0"/>
    <col customWidth="1" min="29" max="29" width="21.25"/>
    <col customWidth="1" min="30" max="30" width="27.5"/>
  </cols>
  <sheetData>
    <row r="1" ht="27.0" customHeight="1">
      <c r="A1" s="1" t="s">
        <v>154</v>
      </c>
    </row>
    <row r="2" ht="25.5" customHeight="1">
      <c r="A2" s="2" t="s">
        <v>133</v>
      </c>
    </row>
    <row r="5">
      <c r="A5" s="3" t="s">
        <v>44</v>
      </c>
      <c r="B5" s="8" t="s">
        <v>51</v>
      </c>
      <c r="C5" s="8" t="s">
        <v>45</v>
      </c>
      <c r="D5" s="8" t="s">
        <v>53</v>
      </c>
      <c r="E5" s="8" t="s">
        <v>54</v>
      </c>
      <c r="F5" s="8" t="s">
        <v>55</v>
      </c>
      <c r="G5" s="8" t="s">
        <v>56</v>
      </c>
      <c r="H5" s="8" t="s">
        <v>57</v>
      </c>
      <c r="I5" s="8" t="s">
        <v>58</v>
      </c>
      <c r="J5" s="8" t="s">
        <v>59</v>
      </c>
      <c r="K5" s="8" t="s">
        <v>60</v>
      </c>
      <c r="L5" s="8" t="s">
        <v>61</v>
      </c>
      <c r="M5" s="8" t="s">
        <v>62</v>
      </c>
      <c r="N5" s="8" t="s">
        <v>63</v>
      </c>
      <c r="O5" s="8" t="s">
        <v>50</v>
      </c>
      <c r="P5" s="8" t="s">
        <v>23</v>
      </c>
      <c r="Q5" s="8" t="s">
        <v>29</v>
      </c>
      <c r="R5" s="8" t="s">
        <v>26</v>
      </c>
      <c r="S5" s="8" t="s">
        <v>65</v>
      </c>
      <c r="T5" s="8" t="s">
        <v>49</v>
      </c>
      <c r="U5" s="8" t="s">
        <v>67</v>
      </c>
      <c r="V5" s="8" t="s">
        <v>68</v>
      </c>
      <c r="W5" s="8" t="s">
        <v>69</v>
      </c>
      <c r="X5" s="8" t="s">
        <v>70</v>
      </c>
      <c r="Y5" s="8" t="s">
        <v>71</v>
      </c>
      <c r="Z5" s="8" t="s">
        <v>72</v>
      </c>
      <c r="AA5" s="8" t="s">
        <v>73</v>
      </c>
      <c r="AB5" s="8" t="s">
        <v>74</v>
      </c>
      <c r="AC5" s="8" t="s">
        <v>75</v>
      </c>
      <c r="AD5" s="9" t="s">
        <v>52</v>
      </c>
    </row>
    <row r="6">
      <c r="A6" s="50">
        <f>IFERROR(__xludf.DUMMYFUNCTION("IFERROR(FILTER('Master Leads'!$A$6:$AD$495, 'Master Leads'!$A$6:$A$495&lt;&gt;"""", 'Master Leads'!$K$6:$K$495=""Healthcare"", 'Master Leads'!$L$6:$L$495=""Doctors""), ""No matching leads yet"")"),41.0)</f>
        <v>41</v>
      </c>
      <c r="B6" s="50">
        <f>IFERROR(__xludf.DUMMYFUNCTION("""COMPUTED_VALUE"""),46264.0)</f>
        <v>46264</v>
      </c>
      <c r="C6" s="50" t="str">
        <f>IFERROR(__xludf.DUMMYFUNCTION("""COMPUTED_VALUE"""),"Walpar Group of Companies")</f>
        <v>Walpar Group of Companies</v>
      </c>
      <c r="D6" s="50" t="str">
        <f>IFERROR(__xludf.DUMMYFUNCTION("""COMPUTED_VALUE"""),"Brijesh Vora (Production Head)")</f>
        <v>Brijesh Vora (Production Head)</v>
      </c>
      <c r="E6" s="50" t="str">
        <f>IFERROR(__xludf.DUMMYFUNCTION("""COMPUTED_VALUE"""),"9722946420")</f>
        <v>9722946420</v>
      </c>
      <c r="F6" s="50" t="str">
        <f>IFERROR(__xludf.DUMMYFUNCTION("""COMPUTED_VALUE"""),"brijesh.walpar@gmail.com")</f>
        <v>brijesh.walpar@gmail.com</v>
      </c>
      <c r="G6" s="50" t="str">
        <f>IFERROR(__xludf.DUMMYFUNCTION("""COMPUTED_VALUE"""),"Kalol")</f>
        <v>Kalol</v>
      </c>
      <c r="H6" s="50" t="str">
        <f>IFERROR(__xludf.DUMMYFUNCTION("""COMPUTED_VALUE"""),"India")</f>
        <v>India</v>
      </c>
      <c r="I6" s="50" t="str">
        <f>IFERROR(__xludf.DUMMYFUNCTION("""COMPUTED_VALUE"""),"India")</f>
        <v>India</v>
      </c>
      <c r="J6" s="50" t="str">
        <f>IFERROR(__xludf.DUMMYFUNCTION("""COMPUTED_VALUE"""),"Service")</f>
        <v>Service</v>
      </c>
      <c r="K6" s="50" t="str">
        <f>IFERROR(__xludf.DUMMYFUNCTION("""COMPUTED_VALUE"""),"Healthcare")</f>
        <v>Healthcare</v>
      </c>
      <c r="L6" s="50" t="str">
        <f>IFERROR(__xludf.DUMMYFUNCTION("""COMPUTED_VALUE"""),"Doctors")</f>
        <v>Doctors</v>
      </c>
      <c r="M6" s="50"/>
      <c r="N6" s="50" t="str">
        <f>IFERROR(__xludf.DUMMYFUNCTION("""COMPUTED_VALUE"""),"Event/Expo")</f>
        <v>Event/Expo</v>
      </c>
      <c r="O6" s="50" t="str">
        <f>IFERROR(__xludf.DUMMYFUNCTION("""COMPUTED_VALUE"""),"Aastha")</f>
        <v>Aastha</v>
      </c>
      <c r="P6" s="50" t="str">
        <f>IFERROR(__xludf.DUMMYFUNCTION("""COMPUTED_VALUE"""),"Cold")</f>
        <v>Cold</v>
      </c>
      <c r="Q6" s="50" t="str">
        <f>IFERROR(__xludf.DUMMYFUNCTION("""COMPUTED_VALUE"""),"New")</f>
        <v>New</v>
      </c>
      <c r="R6" s="50" t="str">
        <f>IFERROR(__xludf.DUMMYFUNCTION("""COMPUTED_VALUE"""),"Not Started")</f>
        <v>Not Started</v>
      </c>
      <c r="S6" s="50"/>
      <c r="T6" s="50"/>
      <c r="U6" s="50" t="str">
        <f>IFERROR(__xludf.DUMMYFUNCTION("""COMPUTED_VALUE"""),"Not Scheduled")</f>
        <v>Not Scheduled</v>
      </c>
      <c r="V6" s="50"/>
      <c r="W6" s="50"/>
      <c r="X6" s="50"/>
      <c r="Y6" s="50"/>
      <c r="Z6" s="50"/>
      <c r="AA6" s="50">
        <f>IFERROR(__xludf.DUMMYFUNCTION("""COMPUTED_VALUE"""),0.0)</f>
        <v>0</v>
      </c>
      <c r="AB6" s="50"/>
      <c r="AC6" s="50"/>
      <c r="AD6" s="50"/>
    </row>
    <row r="7">
      <c r="A7" s="50">
        <f>IFERROR(__xludf.DUMMYFUNCTION("""COMPUTED_VALUE"""),74.0)</f>
        <v>74</v>
      </c>
      <c r="B7" s="50">
        <f>IFERROR(__xludf.DUMMYFUNCTION("""COMPUTED_VALUE"""),46267.0)</f>
        <v>46267</v>
      </c>
      <c r="C7" s="50" t="str">
        <f>IFERROR(__xludf.DUMMYFUNCTION("""COMPUTED_VALUE"""),"SAL Hospital")</f>
        <v>SAL Hospital</v>
      </c>
      <c r="D7" s="50" t="str">
        <f>IFERROR(__xludf.DUMMYFUNCTION("""COMPUTED_VALUE"""),"Dipak Dasgupta (Hospital Administrator)")</f>
        <v>Dipak Dasgupta (Hospital Administrator)</v>
      </c>
      <c r="E7" s="50" t="str">
        <f>IFERROR(__xludf.DUMMYFUNCTION("""COMPUTED_VALUE"""),"9586527057; 6357007130")</f>
        <v>9586527057; 6357007130</v>
      </c>
      <c r="F7" s="50" t="str">
        <f>IFERROR(__xludf.DUMMYFUNCTION("""COMPUTED_VALUE"""),"dipak.dasgupta@sal.edu.in; salhospitalsciencecity@gmail.com")</f>
        <v>dipak.dasgupta@sal.edu.in; salhospitalsciencecity@gmail.com</v>
      </c>
      <c r="G7" s="50" t="str">
        <f>IFERROR(__xludf.DUMMYFUNCTION("""COMPUTED_VALUE"""),"Ahmedabad")</f>
        <v>Ahmedabad</v>
      </c>
      <c r="H7" s="50" t="str">
        <f>IFERROR(__xludf.DUMMYFUNCTION("""COMPUTED_VALUE"""),"India")</f>
        <v>India</v>
      </c>
      <c r="I7" s="50" t="str">
        <f>IFERROR(__xludf.DUMMYFUNCTION("""COMPUTED_VALUE"""),"India")</f>
        <v>India</v>
      </c>
      <c r="J7" s="50" t="str">
        <f>IFERROR(__xludf.DUMMYFUNCTION("""COMPUTED_VALUE"""),"Service")</f>
        <v>Service</v>
      </c>
      <c r="K7" s="50" t="str">
        <f>IFERROR(__xludf.DUMMYFUNCTION("""COMPUTED_VALUE"""),"Healthcare")</f>
        <v>Healthcare</v>
      </c>
      <c r="L7" s="50" t="str">
        <f>IFERROR(__xludf.DUMMYFUNCTION("""COMPUTED_VALUE"""),"Doctors")</f>
        <v>Doctors</v>
      </c>
      <c r="M7" s="50"/>
      <c r="N7" s="50" t="str">
        <f>IFERROR(__xludf.DUMMYFUNCTION("""COMPUTED_VALUE"""),"Event/Expo")</f>
        <v>Event/Expo</v>
      </c>
      <c r="O7" s="50" t="str">
        <f>IFERROR(__xludf.DUMMYFUNCTION("""COMPUTED_VALUE"""),"Aastha")</f>
        <v>Aastha</v>
      </c>
      <c r="P7" s="50" t="str">
        <f>IFERROR(__xludf.DUMMYFUNCTION("""COMPUTED_VALUE"""),"Cold")</f>
        <v>Cold</v>
      </c>
      <c r="Q7" s="50" t="str">
        <f>IFERROR(__xludf.DUMMYFUNCTION("""COMPUTED_VALUE"""),"New")</f>
        <v>New</v>
      </c>
      <c r="R7" s="50" t="str">
        <f>IFERROR(__xludf.DUMMYFUNCTION("""COMPUTED_VALUE"""),"Not Started")</f>
        <v>Not Started</v>
      </c>
      <c r="S7" s="50"/>
      <c r="T7" s="50"/>
      <c r="U7" s="50" t="str">
        <f>IFERROR(__xludf.DUMMYFUNCTION("""COMPUTED_VALUE"""),"Not Scheduled")</f>
        <v>Not Scheduled</v>
      </c>
      <c r="V7" s="50"/>
      <c r="W7" s="50"/>
      <c r="X7" s="50"/>
      <c r="Y7" s="50"/>
      <c r="Z7" s="50"/>
      <c r="AA7" s="50">
        <f>IFERROR(__xludf.DUMMYFUNCTION("""COMPUTED_VALUE"""),0.0)</f>
        <v>0</v>
      </c>
      <c r="AB7" s="50"/>
      <c r="AC7" s="50"/>
      <c r="AD7" s="5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V1"/>
    <mergeCell ref="A2:V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75"/>
    <col customWidth="1" min="2" max="2" width="12.5"/>
    <col customWidth="1" min="3" max="3" width="22.5"/>
    <col customWidth="1" min="4" max="4" width="17.5"/>
    <col customWidth="1" min="5" max="5" width="16.25"/>
    <col customWidth="1" min="6" max="6" width="22.5"/>
    <col customWidth="1" min="7" max="8" width="12.5"/>
    <col customWidth="1" min="9" max="9" width="10.0"/>
    <col customWidth="1" min="10" max="10" width="11.25"/>
    <col customWidth="1" min="11" max="11" width="18.75"/>
    <col customWidth="1" min="12" max="12" width="15.0"/>
    <col customWidth="1" min="13" max="13" width="25.0"/>
    <col customWidth="1" min="14" max="14" width="13.75"/>
    <col customWidth="1" min="15" max="15" width="13.13"/>
    <col customWidth="1" min="16" max="16" width="10.0"/>
    <col customWidth="1" min="17" max="17" width="14.38"/>
    <col customWidth="1" min="18" max="18" width="15.0"/>
    <col customWidth="1" min="19" max="19" width="13.13"/>
    <col customWidth="1" min="20" max="20" width="14.38"/>
    <col customWidth="1" min="21" max="21" width="13.75"/>
    <col customWidth="1" min="22" max="22" width="26.25"/>
    <col customWidth="1" min="23" max="23" width="13.75"/>
    <col customWidth="1" min="24" max="24" width="13.13"/>
    <col customWidth="1" min="25" max="25" width="15.0"/>
    <col customWidth="1" min="26" max="26" width="10.63"/>
    <col customWidth="1" min="27" max="28" width="15.0"/>
    <col customWidth="1" min="29" max="29" width="21.25"/>
    <col customWidth="1" min="30" max="30" width="27.5"/>
  </cols>
  <sheetData>
    <row r="1" ht="27.0" customHeight="1">
      <c r="A1" s="1" t="s">
        <v>172</v>
      </c>
    </row>
    <row r="2" ht="25.5" customHeight="1">
      <c r="A2" s="2" t="s">
        <v>133</v>
      </c>
    </row>
    <row r="5">
      <c r="A5" s="3" t="s">
        <v>44</v>
      </c>
      <c r="B5" s="8" t="s">
        <v>51</v>
      </c>
      <c r="C5" s="8" t="s">
        <v>45</v>
      </c>
      <c r="D5" s="8" t="s">
        <v>53</v>
      </c>
      <c r="E5" s="8" t="s">
        <v>54</v>
      </c>
      <c r="F5" s="8" t="s">
        <v>55</v>
      </c>
      <c r="G5" s="8" t="s">
        <v>56</v>
      </c>
      <c r="H5" s="8" t="s">
        <v>57</v>
      </c>
      <c r="I5" s="8" t="s">
        <v>58</v>
      </c>
      <c r="J5" s="8" t="s">
        <v>59</v>
      </c>
      <c r="K5" s="8" t="s">
        <v>60</v>
      </c>
      <c r="L5" s="8" t="s">
        <v>61</v>
      </c>
      <c r="M5" s="8" t="s">
        <v>62</v>
      </c>
      <c r="N5" s="8" t="s">
        <v>63</v>
      </c>
      <c r="O5" s="8" t="s">
        <v>50</v>
      </c>
      <c r="P5" s="8" t="s">
        <v>23</v>
      </c>
      <c r="Q5" s="8" t="s">
        <v>29</v>
      </c>
      <c r="R5" s="8" t="s">
        <v>26</v>
      </c>
      <c r="S5" s="8" t="s">
        <v>65</v>
      </c>
      <c r="T5" s="8" t="s">
        <v>49</v>
      </c>
      <c r="U5" s="8" t="s">
        <v>67</v>
      </c>
      <c r="V5" s="8" t="s">
        <v>68</v>
      </c>
      <c r="W5" s="8" t="s">
        <v>69</v>
      </c>
      <c r="X5" s="8" t="s">
        <v>70</v>
      </c>
      <c r="Y5" s="8" t="s">
        <v>71</v>
      </c>
      <c r="Z5" s="8" t="s">
        <v>72</v>
      </c>
      <c r="AA5" s="8" t="s">
        <v>73</v>
      </c>
      <c r="AB5" s="8" t="s">
        <v>74</v>
      </c>
      <c r="AC5" s="8" t="s">
        <v>75</v>
      </c>
      <c r="AD5" s="9" t="s">
        <v>52</v>
      </c>
    </row>
    <row r="6">
      <c r="A6" s="50">
        <f>IFERROR(__xludf.DUMMYFUNCTION("IFERROR(FILTER('Master Leads'!$A$6:$AD$495, 'Master Leads'!$A$6:$A$495&lt;&gt;"""", 'Master Leads'!$K$6:$K$495=""Healthcare"", 'Master Leads'!$L$6:$L$495=""Other Healthcare""), ""No matching leads yet"")"),6.0)</f>
        <v>6</v>
      </c>
      <c r="B6" s="50">
        <f>IFERROR(__xludf.DUMMYFUNCTION("""COMPUTED_VALUE"""),46264.0)</f>
        <v>46264</v>
      </c>
      <c r="C6" s="50" t="str">
        <f>IFERROR(__xludf.DUMMYFUNCTION("""COMPUTED_VALUE"""),"Strikar")</f>
        <v>Strikar</v>
      </c>
      <c r="D6" s="50" t="str">
        <f>IFERROR(__xludf.DUMMYFUNCTION("""COMPUTED_VALUE"""),"Mitali")</f>
        <v>Mitali</v>
      </c>
      <c r="E6" s="50" t="str">
        <f>IFERROR(__xludf.DUMMYFUNCTION("""COMPUTED_VALUE"""),"9773433064")</f>
        <v>9773433064</v>
      </c>
      <c r="F6" s="50"/>
      <c r="G6" s="50" t="str">
        <f>IFERROR(__xludf.DUMMYFUNCTION("""COMPUTED_VALUE"""),"Ahmedabad")</f>
        <v>Ahmedabad</v>
      </c>
      <c r="H6" s="50" t="str">
        <f>IFERROR(__xludf.DUMMYFUNCTION("""COMPUTED_VALUE"""),"India")</f>
        <v>India</v>
      </c>
      <c r="I6" s="50" t="str">
        <f>IFERROR(__xludf.DUMMYFUNCTION("""COMPUTED_VALUE"""),"India")</f>
        <v>India</v>
      </c>
      <c r="J6" s="50" t="str">
        <f>IFERROR(__xludf.DUMMYFUNCTION("""COMPUTED_VALUE"""),"Service")</f>
        <v>Service</v>
      </c>
      <c r="K6" s="50" t="str">
        <f>IFERROR(__xludf.DUMMYFUNCTION("""COMPUTED_VALUE"""),"Healthcare")</f>
        <v>Healthcare</v>
      </c>
      <c r="L6" s="50" t="str">
        <f>IFERROR(__xludf.DUMMYFUNCTION("""COMPUTED_VALUE"""),"Other Healthcare")</f>
        <v>Other Healthcare</v>
      </c>
      <c r="M6" s="50"/>
      <c r="N6" s="50" t="str">
        <f>IFERROR(__xludf.DUMMYFUNCTION("""COMPUTED_VALUE"""),"Event/Expo")</f>
        <v>Event/Expo</v>
      </c>
      <c r="O6" s="50" t="str">
        <f>IFERROR(__xludf.DUMMYFUNCTION("""COMPUTED_VALUE"""),"Aastha")</f>
        <v>Aastha</v>
      </c>
      <c r="P6" s="50" t="str">
        <f>IFERROR(__xludf.DUMMYFUNCTION("""COMPUTED_VALUE"""),"Hot")</f>
        <v>Hot</v>
      </c>
      <c r="Q6" s="50" t="str">
        <f>IFERROR(__xludf.DUMMYFUNCTION("""COMPUTED_VALUE"""),"Converted")</f>
        <v>Converted</v>
      </c>
      <c r="R6" s="50" t="str">
        <f>IFERROR(__xludf.DUMMYFUNCTION("""COMPUTED_VALUE"""),"Follow-Up Complete")</f>
        <v>Follow-Up Complete</v>
      </c>
      <c r="S6" s="50">
        <f>IFERROR(__xludf.DUMMYFUNCTION("""COMPUTED_VALUE"""),46272.0)</f>
        <v>46272</v>
      </c>
      <c r="T6" s="50"/>
      <c r="U6" s="50" t="str">
        <f>IFERROR(__xludf.DUMMYFUNCTION("""COMPUTED_VALUE"""),"Completed")</f>
        <v>Completed</v>
      </c>
      <c r="V6" s="50"/>
      <c r="W6" s="50"/>
      <c r="X6" s="50"/>
      <c r="Y6" s="50"/>
      <c r="Z6" s="50"/>
      <c r="AA6" s="50">
        <f>IFERROR(__xludf.DUMMYFUNCTION("""COMPUTED_VALUE"""),0.0)</f>
        <v>0</v>
      </c>
      <c r="AB6" s="50"/>
      <c r="AC6" s="50"/>
      <c r="AD6" s="50"/>
    </row>
    <row r="7">
      <c r="A7" s="50">
        <f>IFERROR(__xludf.DUMMYFUNCTION("""COMPUTED_VALUE"""),11.0)</f>
        <v>11</v>
      </c>
      <c r="B7" s="50">
        <f>IFERROR(__xludf.DUMMYFUNCTION("""COMPUTED_VALUE"""),46264.0)</f>
        <v>46264</v>
      </c>
      <c r="C7" s="50" t="str">
        <f>IFERROR(__xludf.DUMMYFUNCTION("""COMPUTED_VALUE"""),"Anison Pharmatech ")</f>
        <v>Anison Pharmatech </v>
      </c>
      <c r="D7" s="50" t="str">
        <f>IFERROR(__xludf.DUMMYFUNCTION("""COMPUTED_VALUE"""),"Anis husain")</f>
        <v>Anis husain</v>
      </c>
      <c r="E7" s="50" t="str">
        <f>IFERROR(__xludf.DUMMYFUNCTION("""COMPUTED_VALUE"""),"9499646116")</f>
        <v>9499646116</v>
      </c>
      <c r="F7" s="50"/>
      <c r="G7" s="50" t="str">
        <f>IFERROR(__xludf.DUMMYFUNCTION("""COMPUTED_VALUE"""),"Ahmedabad")</f>
        <v>Ahmedabad</v>
      </c>
      <c r="H7" s="50" t="str">
        <f>IFERROR(__xludf.DUMMYFUNCTION("""COMPUTED_VALUE"""),"India")</f>
        <v>India</v>
      </c>
      <c r="I7" s="50" t="str">
        <f>IFERROR(__xludf.DUMMYFUNCTION("""COMPUTED_VALUE"""),"India")</f>
        <v>India</v>
      </c>
      <c r="J7" s="50" t="str">
        <f>IFERROR(__xludf.DUMMYFUNCTION("""COMPUTED_VALUE"""),"Service")</f>
        <v>Service</v>
      </c>
      <c r="K7" s="50" t="str">
        <f>IFERROR(__xludf.DUMMYFUNCTION("""COMPUTED_VALUE"""),"Healthcare")</f>
        <v>Healthcare</v>
      </c>
      <c r="L7" s="50" t="str">
        <f>IFERROR(__xludf.DUMMYFUNCTION("""COMPUTED_VALUE"""),"Other Healthcare")</f>
        <v>Other Healthcare</v>
      </c>
      <c r="M7" s="50"/>
      <c r="N7" s="50" t="str">
        <f>IFERROR(__xludf.DUMMYFUNCTION("""COMPUTED_VALUE"""),"Event/Expo")</f>
        <v>Event/Expo</v>
      </c>
      <c r="O7" s="50" t="str">
        <f>IFERROR(__xludf.DUMMYFUNCTION("""COMPUTED_VALUE"""),"Aastha")</f>
        <v>Aastha</v>
      </c>
      <c r="P7" s="50" t="str">
        <f>IFERROR(__xludf.DUMMYFUNCTION("""COMPUTED_VALUE"""),"Medium")</f>
        <v>Medium</v>
      </c>
      <c r="Q7" s="50" t="str">
        <f>IFERROR(__xludf.DUMMYFUNCTION("""COMPUTED_VALUE"""),"Qualified")</f>
        <v>Qualified</v>
      </c>
      <c r="R7" s="50" t="str">
        <f>IFERROR(__xludf.DUMMYFUNCTION("""COMPUTED_VALUE"""),"Follow-Up Complete")</f>
        <v>Follow-Up Complete</v>
      </c>
      <c r="S7" s="50">
        <f>IFERROR(__xludf.DUMMYFUNCTION("""COMPUTED_VALUE"""),46264.0)</f>
        <v>46264</v>
      </c>
      <c r="T7" s="50"/>
      <c r="U7" s="50" t="str">
        <f>IFERROR(__xludf.DUMMYFUNCTION("""COMPUTED_VALUE"""),"Not Scheduled")</f>
        <v>Not Scheduled</v>
      </c>
      <c r="V7" s="50"/>
      <c r="W7" s="50"/>
      <c r="X7" s="50"/>
      <c r="Y7" s="50"/>
      <c r="Z7" s="50"/>
      <c r="AA7" s="50">
        <f>IFERROR(__xludf.DUMMYFUNCTION("""COMPUTED_VALUE"""),0.0)</f>
        <v>0</v>
      </c>
      <c r="AB7" s="50"/>
      <c r="AC7" s="50"/>
      <c r="AD7" s="50"/>
    </row>
    <row r="8">
      <c r="A8" s="50">
        <f>IFERROR(__xludf.DUMMYFUNCTION("""COMPUTED_VALUE"""),16.0)</f>
        <v>16</v>
      </c>
      <c r="B8" s="50">
        <f>IFERROR(__xludf.DUMMYFUNCTION("""COMPUTED_VALUE"""),46264.0)</f>
        <v>46264</v>
      </c>
      <c r="C8" s="50" t="str">
        <f>IFERROR(__xludf.DUMMYFUNCTION("""COMPUTED_VALUE"""),"Abad Healthcare")</f>
        <v>Abad Healthcare</v>
      </c>
      <c r="D8" s="50" t="str">
        <f>IFERROR(__xludf.DUMMYFUNCTION("""COMPUTED_VALUE"""),"Heeram Ladhwala")</f>
        <v>Heeram Ladhwala</v>
      </c>
      <c r="E8" s="50" t="str">
        <f>IFERROR(__xludf.DUMMYFUNCTION("""COMPUTED_VALUE"""),"9106868413")</f>
        <v>9106868413</v>
      </c>
      <c r="F8" s="50"/>
      <c r="G8" s="50" t="str">
        <f>IFERROR(__xludf.DUMMYFUNCTION("""COMPUTED_VALUE"""),"Ahmedabad")</f>
        <v>Ahmedabad</v>
      </c>
      <c r="H8" s="50" t="str">
        <f>IFERROR(__xludf.DUMMYFUNCTION("""COMPUTED_VALUE"""),"India")</f>
        <v>India</v>
      </c>
      <c r="I8" s="50" t="str">
        <f>IFERROR(__xludf.DUMMYFUNCTION("""COMPUTED_VALUE"""),"India")</f>
        <v>India</v>
      </c>
      <c r="J8" s="50" t="str">
        <f>IFERROR(__xludf.DUMMYFUNCTION("""COMPUTED_VALUE"""),"Service")</f>
        <v>Service</v>
      </c>
      <c r="K8" s="50" t="str">
        <f>IFERROR(__xludf.DUMMYFUNCTION("""COMPUTED_VALUE"""),"Healthcare")</f>
        <v>Healthcare</v>
      </c>
      <c r="L8" s="50" t="str">
        <f>IFERROR(__xludf.DUMMYFUNCTION("""COMPUTED_VALUE"""),"Other Healthcare")</f>
        <v>Other Healthcare</v>
      </c>
      <c r="M8" s="50"/>
      <c r="N8" s="50" t="str">
        <f>IFERROR(__xludf.DUMMYFUNCTION("""COMPUTED_VALUE"""),"Event/Expo")</f>
        <v>Event/Expo</v>
      </c>
      <c r="O8" s="50" t="str">
        <f>IFERROR(__xludf.DUMMYFUNCTION("""COMPUTED_VALUE"""),"Aastha")</f>
        <v>Aastha</v>
      </c>
      <c r="P8" s="50" t="str">
        <f>IFERROR(__xludf.DUMMYFUNCTION("""COMPUTED_VALUE"""),"Hot")</f>
        <v>Hot</v>
      </c>
      <c r="Q8" s="50" t="str">
        <f>IFERROR(__xludf.DUMMYFUNCTION("""COMPUTED_VALUE"""),"Demo/Meeting")</f>
        <v>Demo/Meeting</v>
      </c>
      <c r="R8" s="50" t="str">
        <f>IFERROR(__xludf.DUMMYFUNCTION("""COMPUTED_VALUE"""),"2nd Follow-Up")</f>
        <v>2nd Follow-Up</v>
      </c>
      <c r="S8" s="50">
        <f>IFERROR(__xludf.DUMMYFUNCTION("""COMPUTED_VALUE"""),46265.0)</f>
        <v>46265</v>
      </c>
      <c r="T8" s="50"/>
      <c r="U8" s="50" t="str">
        <f>IFERROR(__xludf.DUMMYFUNCTION("""COMPUTED_VALUE"""),"Not Scheduled")</f>
        <v>Not Scheduled</v>
      </c>
      <c r="V8" s="50"/>
      <c r="W8" s="50"/>
      <c r="X8" s="50"/>
      <c r="Y8" s="50"/>
      <c r="Z8" s="50"/>
      <c r="AA8" s="50">
        <f>IFERROR(__xludf.DUMMYFUNCTION("""COMPUTED_VALUE"""),0.0)</f>
        <v>0</v>
      </c>
      <c r="AB8" s="50"/>
      <c r="AC8" s="50"/>
      <c r="AD8" s="50"/>
    </row>
    <row r="9">
      <c r="A9" s="50">
        <f>IFERROR(__xludf.DUMMYFUNCTION("""COMPUTED_VALUE"""),17.0)</f>
        <v>17</v>
      </c>
      <c r="B9" s="50">
        <f>IFERROR(__xludf.DUMMYFUNCTION("""COMPUTED_VALUE"""),46264.0)</f>
        <v>46264</v>
      </c>
      <c r="C9" s="50" t="str">
        <f>IFERROR(__xludf.DUMMYFUNCTION("""COMPUTED_VALUE"""),"Divine Secret Pharma")</f>
        <v>Divine Secret Pharma</v>
      </c>
      <c r="D9" s="50" t="str">
        <f>IFERROR(__xludf.DUMMYFUNCTION("""COMPUTED_VALUE"""),"Mayur Solanki ")</f>
        <v>Mayur Solanki </v>
      </c>
      <c r="E9" s="50" t="str">
        <f>IFERROR(__xludf.DUMMYFUNCTION("""COMPUTED_VALUE"""),"9054070890")</f>
        <v>9054070890</v>
      </c>
      <c r="F9" s="50"/>
      <c r="G9" s="50" t="str">
        <f>IFERROR(__xludf.DUMMYFUNCTION("""COMPUTED_VALUE"""),"Ahmedabad")</f>
        <v>Ahmedabad</v>
      </c>
      <c r="H9" s="50" t="str">
        <f>IFERROR(__xludf.DUMMYFUNCTION("""COMPUTED_VALUE"""),"India")</f>
        <v>India</v>
      </c>
      <c r="I9" s="50" t="str">
        <f>IFERROR(__xludf.DUMMYFUNCTION("""COMPUTED_VALUE"""),"India")</f>
        <v>India</v>
      </c>
      <c r="J9" s="50" t="str">
        <f>IFERROR(__xludf.DUMMYFUNCTION("""COMPUTED_VALUE"""),"Service")</f>
        <v>Service</v>
      </c>
      <c r="K9" s="50" t="str">
        <f>IFERROR(__xludf.DUMMYFUNCTION("""COMPUTED_VALUE"""),"Healthcare")</f>
        <v>Healthcare</v>
      </c>
      <c r="L9" s="50" t="str">
        <f>IFERROR(__xludf.DUMMYFUNCTION("""COMPUTED_VALUE"""),"Other Healthcare")</f>
        <v>Other Healthcare</v>
      </c>
      <c r="M9" s="50"/>
      <c r="N9" s="50" t="str">
        <f>IFERROR(__xludf.DUMMYFUNCTION("""COMPUTED_VALUE"""),"Event/Expo")</f>
        <v>Event/Expo</v>
      </c>
      <c r="O9" s="50" t="str">
        <f>IFERROR(__xludf.DUMMYFUNCTION("""COMPUTED_VALUE"""),"Aastha")</f>
        <v>Aastha</v>
      </c>
      <c r="P9" s="50" t="str">
        <f>IFERROR(__xludf.DUMMYFUNCTION("""COMPUTED_VALUE"""),"Cold")</f>
        <v>Cold</v>
      </c>
      <c r="Q9" s="50" t="str">
        <f>IFERROR(__xludf.DUMMYFUNCTION("""COMPUTED_VALUE"""),"New")</f>
        <v>New</v>
      </c>
      <c r="R9" s="50" t="str">
        <f>IFERROR(__xludf.DUMMYFUNCTION("""COMPUTED_VALUE"""),"Not Started")</f>
        <v>Not Started</v>
      </c>
      <c r="S9" s="50"/>
      <c r="T9" s="50"/>
      <c r="U9" s="50" t="str">
        <f>IFERROR(__xludf.DUMMYFUNCTION("""COMPUTED_VALUE"""),"Not Scheduled")</f>
        <v>Not Scheduled</v>
      </c>
      <c r="V9" s="50"/>
      <c r="W9" s="50"/>
      <c r="X9" s="50"/>
      <c r="Y9" s="50"/>
      <c r="Z9" s="50"/>
      <c r="AA9" s="50">
        <f>IFERROR(__xludf.DUMMYFUNCTION("""COMPUTED_VALUE"""),0.0)</f>
        <v>0</v>
      </c>
      <c r="AB9" s="50"/>
      <c r="AC9" s="50"/>
      <c r="AD9" s="50"/>
    </row>
    <row r="10">
      <c r="A10" s="50">
        <f>IFERROR(__xludf.DUMMYFUNCTION("""COMPUTED_VALUE"""),18.0)</f>
        <v>18</v>
      </c>
      <c r="B10" s="50">
        <f>IFERROR(__xludf.DUMMYFUNCTION("""COMPUTED_VALUE"""),46264.0)</f>
        <v>46264</v>
      </c>
      <c r="C10" s="50" t="str">
        <f>IFERROR(__xludf.DUMMYFUNCTION("""COMPUTED_VALUE"""),"Jigneshkumar")</f>
        <v>Jigneshkumar</v>
      </c>
      <c r="D10" s="50" t="str">
        <f>IFERROR(__xludf.DUMMYFUNCTION("""COMPUTED_VALUE"""),"Jigneshkumar")</f>
        <v>Jigneshkumar</v>
      </c>
      <c r="E10" s="50" t="str">
        <f>IFERROR(__xludf.DUMMYFUNCTION("""COMPUTED_VALUE"""),"9428081191")</f>
        <v>9428081191</v>
      </c>
      <c r="F10" s="50"/>
      <c r="G10" s="50" t="str">
        <f>IFERROR(__xludf.DUMMYFUNCTION("""COMPUTED_VALUE"""),"Ahmedabad")</f>
        <v>Ahmedabad</v>
      </c>
      <c r="H10" s="50" t="str">
        <f>IFERROR(__xludf.DUMMYFUNCTION("""COMPUTED_VALUE"""),"India")</f>
        <v>India</v>
      </c>
      <c r="I10" s="50" t="str">
        <f>IFERROR(__xludf.DUMMYFUNCTION("""COMPUTED_VALUE"""),"India")</f>
        <v>India</v>
      </c>
      <c r="J10" s="50" t="str">
        <f>IFERROR(__xludf.DUMMYFUNCTION("""COMPUTED_VALUE"""),"Service")</f>
        <v>Service</v>
      </c>
      <c r="K10" s="50" t="str">
        <f>IFERROR(__xludf.DUMMYFUNCTION("""COMPUTED_VALUE"""),"Healthcare")</f>
        <v>Healthcare</v>
      </c>
      <c r="L10" s="50" t="str">
        <f>IFERROR(__xludf.DUMMYFUNCTION("""COMPUTED_VALUE"""),"Other Healthcare")</f>
        <v>Other Healthcare</v>
      </c>
      <c r="M10" s="50"/>
      <c r="N10" s="50" t="str">
        <f>IFERROR(__xludf.DUMMYFUNCTION("""COMPUTED_VALUE"""),"Event/Expo")</f>
        <v>Event/Expo</v>
      </c>
      <c r="O10" s="50" t="str">
        <f>IFERROR(__xludf.DUMMYFUNCTION("""COMPUTED_VALUE"""),"Aastha")</f>
        <v>Aastha</v>
      </c>
      <c r="P10" s="50" t="str">
        <f>IFERROR(__xludf.DUMMYFUNCTION("""COMPUTED_VALUE"""),"Hot")</f>
        <v>Hot</v>
      </c>
      <c r="Q10" s="50" t="str">
        <f>IFERROR(__xludf.DUMMYFUNCTION("""COMPUTED_VALUE"""),"Contacted")</f>
        <v>Contacted</v>
      </c>
      <c r="R10" s="50" t="str">
        <f>IFERROR(__xludf.DUMMYFUNCTION("""COMPUTED_VALUE"""),"Initial Contact")</f>
        <v>Initial Contact</v>
      </c>
      <c r="S10" s="50">
        <f>IFERROR(__xludf.DUMMYFUNCTION("""COMPUTED_VALUE"""),46269.0)</f>
        <v>46269</v>
      </c>
      <c r="T10" s="50"/>
      <c r="U10" s="50" t="str">
        <f>IFERROR(__xludf.DUMMYFUNCTION("""COMPUTED_VALUE"""),"Not Scheduled")</f>
        <v>Not Scheduled</v>
      </c>
      <c r="V10" s="50"/>
      <c r="W10" s="50"/>
      <c r="X10" s="50"/>
      <c r="Y10" s="50"/>
      <c r="Z10" s="50"/>
      <c r="AA10" s="50">
        <f>IFERROR(__xludf.DUMMYFUNCTION("""COMPUTED_VALUE"""),0.0)</f>
        <v>0</v>
      </c>
      <c r="AB10" s="50"/>
      <c r="AC10" s="50"/>
      <c r="AD10" s="50"/>
    </row>
    <row r="11">
      <c r="A11" s="50">
        <f>IFERROR(__xludf.DUMMYFUNCTION("""COMPUTED_VALUE"""),20.0)</f>
        <v>20</v>
      </c>
      <c r="B11" s="50">
        <f>IFERROR(__xludf.DUMMYFUNCTION("""COMPUTED_VALUE"""),46264.0)</f>
        <v>46264</v>
      </c>
      <c r="C11" s="50" t="str">
        <f>IFERROR(__xludf.DUMMYFUNCTION("""COMPUTED_VALUE"""),"Bhagat Pharmatech")</f>
        <v>Bhagat Pharmatech</v>
      </c>
      <c r="D11" s="50" t="str">
        <f>IFERROR(__xludf.DUMMYFUNCTION("""COMPUTED_VALUE"""),"Manoj VNSGU")</f>
        <v>Manoj VNSGU</v>
      </c>
      <c r="E11" s="50" t="str">
        <f>IFERROR(__xludf.DUMMYFUNCTION("""COMPUTED_VALUE"""),"9723526717 / 9023424674")</f>
        <v>9723526717 / 9023424674</v>
      </c>
      <c r="F11" s="50"/>
      <c r="G11" s="50" t="str">
        <f>IFERROR(__xludf.DUMMYFUNCTION("""COMPUTED_VALUE"""),"Ahmedabad")</f>
        <v>Ahmedabad</v>
      </c>
      <c r="H11" s="50" t="str">
        <f>IFERROR(__xludf.DUMMYFUNCTION("""COMPUTED_VALUE"""),"India")</f>
        <v>India</v>
      </c>
      <c r="I11" s="50" t="str">
        <f>IFERROR(__xludf.DUMMYFUNCTION("""COMPUTED_VALUE"""),"India")</f>
        <v>India</v>
      </c>
      <c r="J11" s="50" t="str">
        <f>IFERROR(__xludf.DUMMYFUNCTION("""COMPUTED_VALUE"""),"Service")</f>
        <v>Service</v>
      </c>
      <c r="K11" s="50" t="str">
        <f>IFERROR(__xludf.DUMMYFUNCTION("""COMPUTED_VALUE"""),"Healthcare")</f>
        <v>Healthcare</v>
      </c>
      <c r="L11" s="50" t="str">
        <f>IFERROR(__xludf.DUMMYFUNCTION("""COMPUTED_VALUE"""),"Other Healthcare")</f>
        <v>Other Healthcare</v>
      </c>
      <c r="M11" s="50"/>
      <c r="N11" s="50" t="str">
        <f>IFERROR(__xludf.DUMMYFUNCTION("""COMPUTED_VALUE"""),"Event/Expo")</f>
        <v>Event/Expo</v>
      </c>
      <c r="O11" s="50" t="str">
        <f>IFERROR(__xludf.DUMMYFUNCTION("""COMPUTED_VALUE"""),"Aastha")</f>
        <v>Aastha</v>
      </c>
      <c r="P11" s="50" t="str">
        <f>IFERROR(__xludf.DUMMYFUNCTION("""COMPUTED_VALUE"""),"Cold")</f>
        <v>Cold</v>
      </c>
      <c r="Q11" s="50" t="str">
        <f>IFERROR(__xludf.DUMMYFUNCTION("""COMPUTED_VALUE"""),"New")</f>
        <v>New</v>
      </c>
      <c r="R11" s="50" t="str">
        <f>IFERROR(__xludf.DUMMYFUNCTION("""COMPUTED_VALUE"""),"Not Started")</f>
        <v>Not Started</v>
      </c>
      <c r="S11" s="50"/>
      <c r="T11" s="50"/>
      <c r="U11" s="50" t="str">
        <f>IFERROR(__xludf.DUMMYFUNCTION("""COMPUTED_VALUE"""),"Not Scheduled")</f>
        <v>Not Scheduled</v>
      </c>
      <c r="V11" s="50"/>
      <c r="W11" s="50"/>
      <c r="X11" s="50"/>
      <c r="Y11" s="50"/>
      <c r="Z11" s="50"/>
      <c r="AA11" s="50">
        <f>IFERROR(__xludf.DUMMYFUNCTION("""COMPUTED_VALUE"""),0.0)</f>
        <v>0</v>
      </c>
      <c r="AB11" s="50"/>
      <c r="AC11" s="50"/>
      <c r="AD11" s="50"/>
    </row>
    <row r="12">
      <c r="A12" s="50">
        <f>IFERROR(__xludf.DUMMYFUNCTION("""COMPUTED_VALUE"""),21.0)</f>
        <v>21</v>
      </c>
      <c r="B12" s="50">
        <f>IFERROR(__xludf.DUMMYFUNCTION("""COMPUTED_VALUE"""),46264.0)</f>
        <v>46264</v>
      </c>
      <c r="C12" s="50" t="str">
        <f>IFERROR(__xludf.DUMMYFUNCTION("""COMPUTED_VALUE"""),"Neo India Lifeline")</f>
        <v>Neo India Lifeline</v>
      </c>
      <c r="D12" s="50" t="str">
        <f>IFERROR(__xludf.DUMMYFUNCTION("""COMPUTED_VALUE"""),"Khevna Maniar")</f>
        <v>Khevna Maniar</v>
      </c>
      <c r="E12" s="50" t="str">
        <f>IFERROR(__xludf.DUMMYFUNCTION("""COMPUTED_VALUE"""),"9898107362")</f>
        <v>9898107362</v>
      </c>
      <c r="F12" s="50"/>
      <c r="G12" s="50" t="str">
        <f>IFERROR(__xludf.DUMMYFUNCTION("""COMPUTED_VALUE"""),"Ahmedabad")</f>
        <v>Ahmedabad</v>
      </c>
      <c r="H12" s="50" t="str">
        <f>IFERROR(__xludf.DUMMYFUNCTION("""COMPUTED_VALUE"""),"India")</f>
        <v>India</v>
      </c>
      <c r="I12" s="50" t="str">
        <f>IFERROR(__xludf.DUMMYFUNCTION("""COMPUTED_VALUE"""),"India")</f>
        <v>India</v>
      </c>
      <c r="J12" s="50" t="str">
        <f>IFERROR(__xludf.DUMMYFUNCTION("""COMPUTED_VALUE"""),"Service")</f>
        <v>Service</v>
      </c>
      <c r="K12" s="50" t="str">
        <f>IFERROR(__xludf.DUMMYFUNCTION("""COMPUTED_VALUE"""),"Healthcare")</f>
        <v>Healthcare</v>
      </c>
      <c r="L12" s="50" t="str">
        <f>IFERROR(__xludf.DUMMYFUNCTION("""COMPUTED_VALUE"""),"Other Healthcare")</f>
        <v>Other Healthcare</v>
      </c>
      <c r="M12" s="50"/>
      <c r="N12" s="50" t="str">
        <f>IFERROR(__xludf.DUMMYFUNCTION("""COMPUTED_VALUE"""),"Event/Expo")</f>
        <v>Event/Expo</v>
      </c>
      <c r="O12" s="50" t="str">
        <f>IFERROR(__xludf.DUMMYFUNCTION("""COMPUTED_VALUE"""),"Aastha")</f>
        <v>Aastha</v>
      </c>
      <c r="P12" s="50" t="str">
        <f>IFERROR(__xludf.DUMMYFUNCTION("""COMPUTED_VALUE"""),"Hot")</f>
        <v>Hot</v>
      </c>
      <c r="Q12" s="50" t="str">
        <f>IFERROR(__xludf.DUMMYFUNCTION("""COMPUTED_VALUE"""),"Qualified")</f>
        <v>Qualified</v>
      </c>
      <c r="R12" s="50" t="str">
        <f>IFERROR(__xludf.DUMMYFUNCTION("""COMPUTED_VALUE"""),"2nd Follow-Up")</f>
        <v>2nd Follow-Up</v>
      </c>
      <c r="S12" s="50">
        <f>IFERROR(__xludf.DUMMYFUNCTION("""COMPUTED_VALUE"""),46272.0)</f>
        <v>46272</v>
      </c>
      <c r="T12" s="50"/>
      <c r="U12" s="50" t="str">
        <f>IFERROR(__xludf.DUMMYFUNCTION("""COMPUTED_VALUE"""),"Not Scheduled")</f>
        <v>Not Scheduled</v>
      </c>
      <c r="V12" s="50"/>
      <c r="W12" s="50"/>
      <c r="X12" s="50"/>
      <c r="Y12" s="50"/>
      <c r="Z12" s="50"/>
      <c r="AA12" s="50">
        <f>IFERROR(__xludf.DUMMYFUNCTION("""COMPUTED_VALUE"""),0.0)</f>
        <v>0</v>
      </c>
      <c r="AB12" s="50"/>
      <c r="AC12" s="50"/>
      <c r="AD12" s="50"/>
    </row>
    <row r="13">
      <c r="A13" s="50">
        <f>IFERROR(__xludf.DUMMYFUNCTION("""COMPUTED_VALUE"""),22.0)</f>
        <v>22</v>
      </c>
      <c r="B13" s="50">
        <f>IFERROR(__xludf.DUMMYFUNCTION("""COMPUTED_VALUE"""),46264.0)</f>
        <v>46264</v>
      </c>
      <c r="C13" s="50" t="str">
        <f>IFERROR(__xludf.DUMMYFUNCTION("""COMPUTED_VALUE"""),"Chapter 1")</f>
        <v>Chapter 1</v>
      </c>
      <c r="D13" s="50" t="str">
        <f>IFERROR(__xludf.DUMMYFUNCTION("""COMPUTED_VALUE"""),"Ankit Mandal")</f>
        <v>Ankit Mandal</v>
      </c>
      <c r="E13" s="50" t="str">
        <f>IFERROR(__xludf.DUMMYFUNCTION("""COMPUTED_VALUE"""),"8530465246")</f>
        <v>8530465246</v>
      </c>
      <c r="F13" s="50" t="str">
        <f>IFERROR(__xludf.DUMMYFUNCTION("""COMPUTED_VALUE"""),"hello@chapter1.finance")</f>
        <v>hello@chapter1.finance</v>
      </c>
      <c r="G13" s="50" t="str">
        <f>IFERROR(__xludf.DUMMYFUNCTION("""COMPUTED_VALUE"""),"Surat")</f>
        <v>Surat</v>
      </c>
      <c r="H13" s="50" t="str">
        <f>IFERROR(__xludf.DUMMYFUNCTION("""COMPUTED_VALUE"""),"India")</f>
        <v>India</v>
      </c>
      <c r="I13" s="50" t="str">
        <f>IFERROR(__xludf.DUMMYFUNCTION("""COMPUTED_VALUE"""),"India")</f>
        <v>India</v>
      </c>
      <c r="J13" s="50" t="str">
        <f>IFERROR(__xludf.DUMMYFUNCTION("""COMPUTED_VALUE"""),"Service")</f>
        <v>Service</v>
      </c>
      <c r="K13" s="50" t="str">
        <f>IFERROR(__xludf.DUMMYFUNCTION("""COMPUTED_VALUE"""),"Healthcare")</f>
        <v>Healthcare</v>
      </c>
      <c r="L13" s="50" t="str">
        <f>IFERROR(__xludf.DUMMYFUNCTION("""COMPUTED_VALUE"""),"Other Healthcare")</f>
        <v>Other Healthcare</v>
      </c>
      <c r="M13" s="50"/>
      <c r="N13" s="50" t="str">
        <f>IFERROR(__xludf.DUMMYFUNCTION("""COMPUTED_VALUE"""),"Event/Expo")</f>
        <v>Event/Expo</v>
      </c>
      <c r="O13" s="50" t="str">
        <f>IFERROR(__xludf.DUMMYFUNCTION("""COMPUTED_VALUE"""),"Aastha")</f>
        <v>Aastha</v>
      </c>
      <c r="P13" s="50" t="str">
        <f>IFERROR(__xludf.DUMMYFUNCTION("""COMPUTED_VALUE"""),"Cold")</f>
        <v>Cold</v>
      </c>
      <c r="Q13" s="50" t="str">
        <f>IFERROR(__xludf.DUMMYFUNCTION("""COMPUTED_VALUE"""),"Lost")</f>
        <v>Lost</v>
      </c>
      <c r="R13" s="50" t="str">
        <f>IFERROR(__xludf.DUMMYFUNCTION("""COMPUTED_VALUE"""),"Initial Contact")</f>
        <v>Initial Contact</v>
      </c>
      <c r="S13" s="50">
        <f>IFERROR(__xludf.DUMMYFUNCTION("""COMPUTED_VALUE"""),46269.0)</f>
        <v>46269</v>
      </c>
      <c r="T13" s="50"/>
      <c r="U13" s="50" t="str">
        <f>IFERROR(__xludf.DUMMYFUNCTION("""COMPUTED_VALUE"""),"Completed")</f>
        <v>Completed</v>
      </c>
      <c r="V13" s="50"/>
      <c r="W13" s="50"/>
      <c r="X13" s="50"/>
      <c r="Y13" s="50"/>
      <c r="Z13" s="50"/>
      <c r="AA13" s="50">
        <f>IFERROR(__xludf.DUMMYFUNCTION("""COMPUTED_VALUE"""),0.0)</f>
        <v>0</v>
      </c>
      <c r="AB13" s="50"/>
      <c r="AC13" s="50"/>
      <c r="AD13" s="50"/>
    </row>
    <row r="14">
      <c r="A14" s="50">
        <f>IFERROR(__xludf.DUMMYFUNCTION("""COMPUTED_VALUE"""),23.0)</f>
        <v>23</v>
      </c>
      <c r="B14" s="50">
        <f>IFERROR(__xludf.DUMMYFUNCTION("""COMPUTED_VALUE"""),46264.0)</f>
        <v>46264</v>
      </c>
      <c r="C14" s="50" t="str">
        <f>IFERROR(__xludf.DUMMYFUNCTION("""COMPUTED_VALUE"""),"Raj Polymer")</f>
        <v>Raj Polymer</v>
      </c>
      <c r="D14" s="50" t="str">
        <f>IFERROR(__xludf.DUMMYFUNCTION("""COMPUTED_VALUE"""),"Vipin Tiwari")</f>
        <v>Vipin Tiwari</v>
      </c>
      <c r="E14" s="50" t="str">
        <f>IFERROR(__xludf.DUMMYFUNCTION("""COMPUTED_VALUE"""),"9945185088 / 8970350803")</f>
        <v>9945185088 / 8970350803</v>
      </c>
      <c r="F14" s="50" t="str">
        <f>IFERROR(__xludf.DUMMYFUNCTION("""COMPUTED_VALUE"""),"vipin@rajploymer.com rajpolymer00@gmail.com")</f>
        <v>vipin@rajploymer.com rajpolymer00@gmail.com</v>
      </c>
      <c r="G14" s="50" t="str">
        <f>IFERROR(__xludf.DUMMYFUNCTION("""COMPUTED_VALUE"""),"Chikka Gollarahatti Bengaluru, Karnataka")</f>
        <v>Chikka Gollarahatti Bengaluru, Karnataka</v>
      </c>
      <c r="H14" s="50" t="str">
        <f>IFERROR(__xludf.DUMMYFUNCTION("""COMPUTED_VALUE"""),"India")</f>
        <v>India</v>
      </c>
      <c r="I14" s="50" t="str">
        <f>IFERROR(__xludf.DUMMYFUNCTION("""COMPUTED_VALUE"""),"India")</f>
        <v>India</v>
      </c>
      <c r="J14" s="50" t="str">
        <f>IFERROR(__xludf.DUMMYFUNCTION("""COMPUTED_VALUE"""),"Service")</f>
        <v>Service</v>
      </c>
      <c r="K14" s="50" t="str">
        <f>IFERROR(__xludf.DUMMYFUNCTION("""COMPUTED_VALUE"""),"Healthcare")</f>
        <v>Healthcare</v>
      </c>
      <c r="L14" s="50" t="str">
        <f>IFERROR(__xludf.DUMMYFUNCTION("""COMPUTED_VALUE"""),"Other Healthcare")</f>
        <v>Other Healthcare</v>
      </c>
      <c r="M14" s="50"/>
      <c r="N14" s="50" t="str">
        <f>IFERROR(__xludf.DUMMYFUNCTION("""COMPUTED_VALUE"""),"Event/Expo")</f>
        <v>Event/Expo</v>
      </c>
      <c r="O14" s="50" t="str">
        <f>IFERROR(__xludf.DUMMYFUNCTION("""COMPUTED_VALUE"""),"Aastha")</f>
        <v>Aastha</v>
      </c>
      <c r="P14" s="50" t="str">
        <f>IFERROR(__xludf.DUMMYFUNCTION("""COMPUTED_VALUE"""),"Cold")</f>
        <v>Cold</v>
      </c>
      <c r="Q14" s="50" t="str">
        <f>IFERROR(__xludf.DUMMYFUNCTION("""COMPUTED_VALUE"""),"New")</f>
        <v>New</v>
      </c>
      <c r="R14" s="50" t="str">
        <f>IFERROR(__xludf.DUMMYFUNCTION("""COMPUTED_VALUE"""),"Not Started")</f>
        <v>Not Started</v>
      </c>
      <c r="S14" s="50"/>
      <c r="T14" s="50"/>
      <c r="U14" s="50" t="str">
        <f>IFERROR(__xludf.DUMMYFUNCTION("""COMPUTED_VALUE"""),"Not Scheduled")</f>
        <v>Not Scheduled</v>
      </c>
      <c r="V14" s="50"/>
      <c r="W14" s="50"/>
      <c r="X14" s="50"/>
      <c r="Y14" s="50"/>
      <c r="Z14" s="50"/>
      <c r="AA14" s="50">
        <f>IFERROR(__xludf.DUMMYFUNCTION("""COMPUTED_VALUE"""),0.0)</f>
        <v>0</v>
      </c>
      <c r="AB14" s="50"/>
      <c r="AC14" s="50"/>
      <c r="AD14" s="50"/>
    </row>
    <row r="15">
      <c r="A15" s="50">
        <f>IFERROR(__xludf.DUMMYFUNCTION("""COMPUTED_VALUE"""),24.0)</f>
        <v>24</v>
      </c>
      <c r="B15" s="50">
        <f>IFERROR(__xludf.DUMMYFUNCTION("""COMPUTED_VALUE"""),46264.0)</f>
        <v>46264</v>
      </c>
      <c r="C15" s="50" t="str">
        <f>IFERROR(__xludf.DUMMYFUNCTION("""COMPUTED_VALUE"""),"Novatoz Scientific LLP")</f>
        <v>Novatoz Scientific LLP</v>
      </c>
      <c r="D15" s="50" t="str">
        <f>IFERROR(__xludf.DUMMYFUNCTION("""COMPUTED_VALUE"""),"Sandip Patel")</f>
        <v>Sandip Patel</v>
      </c>
      <c r="E15" s="50" t="str">
        <f>IFERROR(__xludf.DUMMYFUNCTION("""COMPUTED_VALUE"""),"9724330701")</f>
        <v>9724330701</v>
      </c>
      <c r="F15" s="50" t="str">
        <f>IFERROR(__xludf.DUMMYFUNCTION("""COMPUTED_VALUE"""),"info.novatoz@gmail.com")</f>
        <v>info.novatoz@gmail.com</v>
      </c>
      <c r="G15" s="50" t="str">
        <f>IFERROR(__xludf.DUMMYFUNCTION("""COMPUTED_VALUE"""),"Ahmedabad")</f>
        <v>Ahmedabad</v>
      </c>
      <c r="H15" s="50" t="str">
        <f>IFERROR(__xludf.DUMMYFUNCTION("""COMPUTED_VALUE"""),"India")</f>
        <v>India</v>
      </c>
      <c r="I15" s="50" t="str">
        <f>IFERROR(__xludf.DUMMYFUNCTION("""COMPUTED_VALUE"""),"India")</f>
        <v>India</v>
      </c>
      <c r="J15" s="50" t="str">
        <f>IFERROR(__xludf.DUMMYFUNCTION("""COMPUTED_VALUE"""),"Service")</f>
        <v>Service</v>
      </c>
      <c r="K15" s="50" t="str">
        <f>IFERROR(__xludf.DUMMYFUNCTION("""COMPUTED_VALUE"""),"Healthcare")</f>
        <v>Healthcare</v>
      </c>
      <c r="L15" s="50" t="str">
        <f>IFERROR(__xludf.DUMMYFUNCTION("""COMPUTED_VALUE"""),"Other Healthcare")</f>
        <v>Other Healthcare</v>
      </c>
      <c r="M15" s="50"/>
      <c r="N15" s="50" t="str">
        <f>IFERROR(__xludf.DUMMYFUNCTION("""COMPUTED_VALUE"""),"Event/Expo")</f>
        <v>Event/Expo</v>
      </c>
      <c r="O15" s="50" t="str">
        <f>IFERROR(__xludf.DUMMYFUNCTION("""COMPUTED_VALUE"""),"Aastha")</f>
        <v>Aastha</v>
      </c>
      <c r="P15" s="50" t="str">
        <f>IFERROR(__xludf.DUMMYFUNCTION("""COMPUTED_VALUE"""),"Cold")</f>
        <v>Cold</v>
      </c>
      <c r="Q15" s="50" t="str">
        <f>IFERROR(__xludf.DUMMYFUNCTION("""COMPUTED_VALUE"""),"New")</f>
        <v>New</v>
      </c>
      <c r="R15" s="50" t="str">
        <f>IFERROR(__xludf.DUMMYFUNCTION("""COMPUTED_VALUE"""),"Not Started")</f>
        <v>Not Started</v>
      </c>
      <c r="S15" s="50"/>
      <c r="T15" s="50"/>
      <c r="U15" s="50" t="str">
        <f>IFERROR(__xludf.DUMMYFUNCTION("""COMPUTED_VALUE"""),"Not Scheduled")</f>
        <v>Not Scheduled</v>
      </c>
      <c r="V15" s="50"/>
      <c r="W15" s="50"/>
      <c r="X15" s="50"/>
      <c r="Y15" s="50"/>
      <c r="Z15" s="50"/>
      <c r="AA15" s="50">
        <f>IFERROR(__xludf.DUMMYFUNCTION("""COMPUTED_VALUE"""),0.0)</f>
        <v>0</v>
      </c>
      <c r="AB15" s="50"/>
      <c r="AC15" s="50"/>
      <c r="AD15" s="50"/>
    </row>
    <row r="16">
      <c r="A16" s="50">
        <f>IFERROR(__xludf.DUMMYFUNCTION("""COMPUTED_VALUE"""),27.0)</f>
        <v>27</v>
      </c>
      <c r="B16" s="50">
        <f>IFERROR(__xludf.DUMMYFUNCTION("""COMPUTED_VALUE"""),46264.0)</f>
        <v>46264</v>
      </c>
      <c r="C16" s="50" t="str">
        <f>IFERROR(__xludf.DUMMYFUNCTION("""COMPUTED_VALUE"""),"Marengo CIMS Hospital / Marengo Asia Healthcare Private Limited")</f>
        <v>Marengo CIMS Hospital / Marengo Asia Healthcare Private Limited</v>
      </c>
      <c r="D16" s="50" t="str">
        <f>IFERROR(__xludf.DUMMYFUNCTION("""COMPUTED_VALUE"""),"Dr Bhagyesh Shah")</f>
        <v>Dr Bhagyesh Shah</v>
      </c>
      <c r="E16" s="50" t="str">
        <f>IFERROR(__xludf.DUMMYFUNCTION("""COMPUTED_VALUE"""),"9099068938")</f>
        <v>9099068938</v>
      </c>
      <c r="F16" s="50" t="str">
        <f>IFERROR(__xludf.DUMMYFUNCTION("""COMPUTED_VALUE"""),"bhagyesh.shah@marengoasia.com; marengocims.opd.rec@marengoasia.com")</f>
        <v>bhagyesh.shah@marengoasia.com; marengocims.opd.rec@marengoasia.com</v>
      </c>
      <c r="G16" s="50" t="str">
        <f>IFERROR(__xludf.DUMMYFUNCTION("""COMPUTED_VALUE"""),"Ahmedabad")</f>
        <v>Ahmedabad</v>
      </c>
      <c r="H16" s="50" t="str">
        <f>IFERROR(__xludf.DUMMYFUNCTION("""COMPUTED_VALUE"""),"India")</f>
        <v>India</v>
      </c>
      <c r="I16" s="50" t="str">
        <f>IFERROR(__xludf.DUMMYFUNCTION("""COMPUTED_VALUE"""),"India")</f>
        <v>India</v>
      </c>
      <c r="J16" s="50" t="str">
        <f>IFERROR(__xludf.DUMMYFUNCTION("""COMPUTED_VALUE"""),"Service")</f>
        <v>Service</v>
      </c>
      <c r="K16" s="50" t="str">
        <f>IFERROR(__xludf.DUMMYFUNCTION("""COMPUTED_VALUE"""),"Healthcare")</f>
        <v>Healthcare</v>
      </c>
      <c r="L16" s="50" t="str">
        <f>IFERROR(__xludf.DUMMYFUNCTION("""COMPUTED_VALUE"""),"Other Healthcare")</f>
        <v>Other Healthcare</v>
      </c>
      <c r="M16" s="50"/>
      <c r="N16" s="50" t="str">
        <f>IFERROR(__xludf.DUMMYFUNCTION("""COMPUTED_VALUE"""),"Event/Expo")</f>
        <v>Event/Expo</v>
      </c>
      <c r="O16" s="50" t="str">
        <f>IFERROR(__xludf.DUMMYFUNCTION("""COMPUTED_VALUE"""),"Aastha")</f>
        <v>Aastha</v>
      </c>
      <c r="P16" s="50" t="str">
        <f>IFERROR(__xludf.DUMMYFUNCTION("""COMPUTED_VALUE"""),"Cold")</f>
        <v>Cold</v>
      </c>
      <c r="Q16" s="50" t="str">
        <f>IFERROR(__xludf.DUMMYFUNCTION("""COMPUTED_VALUE"""),"New")</f>
        <v>New</v>
      </c>
      <c r="R16" s="50" t="str">
        <f>IFERROR(__xludf.DUMMYFUNCTION("""COMPUTED_VALUE"""),"Not Started")</f>
        <v>Not Started</v>
      </c>
      <c r="S16" s="50"/>
      <c r="T16" s="50"/>
      <c r="U16" s="50" t="str">
        <f>IFERROR(__xludf.DUMMYFUNCTION("""COMPUTED_VALUE"""),"Not Scheduled")</f>
        <v>Not Scheduled</v>
      </c>
      <c r="V16" s="50"/>
      <c r="W16" s="50"/>
      <c r="X16" s="50"/>
      <c r="Y16" s="50"/>
      <c r="Z16" s="50"/>
      <c r="AA16" s="50">
        <f>IFERROR(__xludf.DUMMYFUNCTION("""COMPUTED_VALUE"""),0.0)</f>
        <v>0</v>
      </c>
      <c r="AB16" s="50"/>
      <c r="AC16" s="50"/>
      <c r="AD16" s="50"/>
    </row>
    <row r="17">
      <c r="A17" s="50">
        <f>IFERROR(__xludf.DUMMYFUNCTION("""COMPUTED_VALUE"""),28.0)</f>
        <v>28</v>
      </c>
      <c r="B17" s="50">
        <f>IFERROR(__xludf.DUMMYFUNCTION("""COMPUTED_VALUE"""),46264.0)</f>
        <v>46264</v>
      </c>
      <c r="C17" s="50" t="str">
        <f>IFERROR(__xludf.DUMMYFUNCTION("""COMPUTED_VALUE"""),"Enervia Nutraceuticals Private Limited")</f>
        <v>Enervia Nutraceuticals Private Limited</v>
      </c>
      <c r="D17" s="50" t="str">
        <f>IFERROR(__xludf.DUMMYFUNCTION("""COMPUTED_VALUE"""),"Sachin Thakkar (Director)")</f>
        <v>Sachin Thakkar (Director)</v>
      </c>
      <c r="E17" s="50" t="str">
        <f>IFERROR(__xludf.DUMMYFUNCTION("""COMPUTED_VALUE"""),"9925044953")</f>
        <v>9925044953</v>
      </c>
      <c r="F17" s="50" t="str">
        <f>IFERROR(__xludf.DUMMYFUNCTION("""COMPUTED_VALUE"""),"sachin.thakkar@enervia.in")</f>
        <v>sachin.thakkar@enervia.in</v>
      </c>
      <c r="G17" s="50" t="str">
        <f>IFERROR(__xludf.DUMMYFUNCTION("""COMPUTED_VALUE"""),"Ahmedabad")</f>
        <v>Ahmedabad</v>
      </c>
      <c r="H17" s="50" t="str">
        <f>IFERROR(__xludf.DUMMYFUNCTION("""COMPUTED_VALUE"""),"India")</f>
        <v>India</v>
      </c>
      <c r="I17" s="50" t="str">
        <f>IFERROR(__xludf.DUMMYFUNCTION("""COMPUTED_VALUE"""),"India")</f>
        <v>India</v>
      </c>
      <c r="J17" s="50" t="str">
        <f>IFERROR(__xludf.DUMMYFUNCTION("""COMPUTED_VALUE"""),"Service")</f>
        <v>Service</v>
      </c>
      <c r="K17" s="50" t="str">
        <f>IFERROR(__xludf.DUMMYFUNCTION("""COMPUTED_VALUE"""),"Healthcare")</f>
        <v>Healthcare</v>
      </c>
      <c r="L17" s="50" t="str">
        <f>IFERROR(__xludf.DUMMYFUNCTION("""COMPUTED_VALUE"""),"Other Healthcare")</f>
        <v>Other Healthcare</v>
      </c>
      <c r="M17" s="50"/>
      <c r="N17" s="50" t="str">
        <f>IFERROR(__xludf.DUMMYFUNCTION("""COMPUTED_VALUE"""),"Event/Expo")</f>
        <v>Event/Expo</v>
      </c>
      <c r="O17" s="50" t="str">
        <f>IFERROR(__xludf.DUMMYFUNCTION("""COMPUTED_VALUE"""),"Aastha")</f>
        <v>Aastha</v>
      </c>
      <c r="P17" s="50" t="str">
        <f>IFERROR(__xludf.DUMMYFUNCTION("""COMPUTED_VALUE"""),"Cold")</f>
        <v>Cold</v>
      </c>
      <c r="Q17" s="50" t="str">
        <f>IFERROR(__xludf.DUMMYFUNCTION("""COMPUTED_VALUE"""),"New")</f>
        <v>New</v>
      </c>
      <c r="R17" s="50" t="str">
        <f>IFERROR(__xludf.DUMMYFUNCTION("""COMPUTED_VALUE"""),"Not Started")</f>
        <v>Not Started</v>
      </c>
      <c r="S17" s="50"/>
      <c r="T17" s="50"/>
      <c r="U17" s="50" t="str">
        <f>IFERROR(__xludf.DUMMYFUNCTION("""COMPUTED_VALUE"""),"Not Scheduled")</f>
        <v>Not Scheduled</v>
      </c>
      <c r="V17" s="50"/>
      <c r="W17" s="50"/>
      <c r="X17" s="50"/>
      <c r="Y17" s="50"/>
      <c r="Z17" s="50"/>
      <c r="AA17" s="50">
        <f>IFERROR(__xludf.DUMMYFUNCTION("""COMPUTED_VALUE"""),0.0)</f>
        <v>0</v>
      </c>
      <c r="AB17" s="50"/>
      <c r="AC17" s="50"/>
      <c r="AD17" s="50"/>
    </row>
    <row r="18">
      <c r="A18" s="50">
        <f>IFERROR(__xludf.DUMMYFUNCTION("""COMPUTED_VALUE"""),42.0)</f>
        <v>42</v>
      </c>
      <c r="B18" s="50">
        <f>IFERROR(__xludf.DUMMYFUNCTION("""COMPUTED_VALUE"""),46264.0)</f>
        <v>46264</v>
      </c>
      <c r="C18" s="50" t="str">
        <f>IFERROR(__xludf.DUMMYFUNCTION("""COMPUTED_VALUE"""),"GPE EXPO PVT. LTD.")</f>
        <v>GPE EXPO PVT. LTD.</v>
      </c>
      <c r="D18" s="50" t="str">
        <f>IFERROR(__xludf.DUMMYFUNCTION("""COMPUTED_VALUE"""),"Dhiraj Rathod (Executive, Exhibitions)")</f>
        <v>Dhiraj Rathod (Executive, Exhibitions)</v>
      </c>
      <c r="E18" s="50" t="str">
        <f>IFERROR(__xludf.DUMMYFUNCTION("""COMPUTED_VALUE"""),"8980193333")</f>
        <v>8980193333</v>
      </c>
      <c r="F18" s="50" t="str">
        <f>IFERROR(__xludf.DUMMYFUNCTION("""COMPUTED_VALUE"""),"info@GPEexpo.com")</f>
        <v>info@GPEexpo.com</v>
      </c>
      <c r="G18" s="50"/>
      <c r="H18" s="50" t="str">
        <f>IFERROR(__xludf.DUMMYFUNCTION("""COMPUTED_VALUE"""),"India")</f>
        <v>India</v>
      </c>
      <c r="I18" s="50" t="str">
        <f>IFERROR(__xludf.DUMMYFUNCTION("""COMPUTED_VALUE"""),"India")</f>
        <v>India</v>
      </c>
      <c r="J18" s="50" t="str">
        <f>IFERROR(__xludf.DUMMYFUNCTION("""COMPUTED_VALUE"""),"Service")</f>
        <v>Service</v>
      </c>
      <c r="K18" s="50" t="str">
        <f>IFERROR(__xludf.DUMMYFUNCTION("""COMPUTED_VALUE"""),"Healthcare")</f>
        <v>Healthcare</v>
      </c>
      <c r="L18" s="50" t="str">
        <f>IFERROR(__xludf.DUMMYFUNCTION("""COMPUTED_VALUE"""),"Other Healthcare")</f>
        <v>Other Healthcare</v>
      </c>
      <c r="M18" s="50"/>
      <c r="N18" s="50" t="str">
        <f>IFERROR(__xludf.DUMMYFUNCTION("""COMPUTED_VALUE"""),"Event/Expo")</f>
        <v>Event/Expo</v>
      </c>
      <c r="O18" s="50" t="str">
        <f>IFERROR(__xludf.DUMMYFUNCTION("""COMPUTED_VALUE"""),"Aastha")</f>
        <v>Aastha</v>
      </c>
      <c r="P18" s="50" t="str">
        <f>IFERROR(__xludf.DUMMYFUNCTION("""COMPUTED_VALUE"""),"Cold")</f>
        <v>Cold</v>
      </c>
      <c r="Q18" s="50" t="str">
        <f>IFERROR(__xludf.DUMMYFUNCTION("""COMPUTED_VALUE"""),"New")</f>
        <v>New</v>
      </c>
      <c r="R18" s="50" t="str">
        <f>IFERROR(__xludf.DUMMYFUNCTION("""COMPUTED_VALUE"""),"Not Started")</f>
        <v>Not Started</v>
      </c>
      <c r="S18" s="50"/>
      <c r="T18" s="50"/>
      <c r="U18" s="50" t="str">
        <f>IFERROR(__xludf.DUMMYFUNCTION("""COMPUTED_VALUE"""),"Not Scheduled")</f>
        <v>Not Scheduled</v>
      </c>
      <c r="V18" s="50"/>
      <c r="W18" s="50"/>
      <c r="X18" s="50"/>
      <c r="Y18" s="50"/>
      <c r="Z18" s="50"/>
      <c r="AA18" s="50">
        <f>IFERROR(__xludf.DUMMYFUNCTION("""COMPUTED_VALUE"""),0.0)</f>
        <v>0</v>
      </c>
      <c r="AB18" s="50"/>
      <c r="AC18" s="50"/>
      <c r="AD18" s="50"/>
    </row>
    <row r="19">
      <c r="A19" s="50">
        <f>IFERROR(__xludf.DUMMYFUNCTION("""COMPUTED_VALUE"""),51.0)</f>
        <v>51</v>
      </c>
      <c r="B19" s="50">
        <f>IFERROR(__xludf.DUMMYFUNCTION("""COMPUTED_VALUE"""),46264.0)</f>
        <v>46264</v>
      </c>
      <c r="C19" s="50" t="str">
        <f>IFERROR(__xludf.DUMMYFUNCTION("""COMPUTED_VALUE"""),"Dandekar (HVACR) System")</f>
        <v>Dandekar (HVACR) System</v>
      </c>
      <c r="D19" s="50" t="str">
        <f>IFERROR(__xludf.DUMMYFUNCTION("""COMPUTED_VALUE"""),"Roshni Panchal")</f>
        <v>Roshni Panchal</v>
      </c>
      <c r="E19" s="50" t="str">
        <f>IFERROR(__xludf.DUMMYFUNCTION("""COMPUTED_VALUE"""),"9426472954")</f>
        <v>9426472954</v>
      </c>
      <c r="F19" s="50" t="str">
        <f>IFERROR(__xludf.DUMMYFUNCTION("""COMPUTED_VALUE"""),"dandekarhvacrsystem@hotmail.com; dandekarsons@hotmail.com")</f>
        <v>dandekarhvacrsystem@hotmail.com; dandekarsons@hotmail.com</v>
      </c>
      <c r="G19" s="50" t="str">
        <f>IFERROR(__xludf.DUMMYFUNCTION("""COMPUTED_VALUE"""),"Vadodara")</f>
        <v>Vadodara</v>
      </c>
      <c r="H19" s="50" t="str">
        <f>IFERROR(__xludf.DUMMYFUNCTION("""COMPUTED_VALUE"""),"India")</f>
        <v>India</v>
      </c>
      <c r="I19" s="50" t="str">
        <f>IFERROR(__xludf.DUMMYFUNCTION("""COMPUTED_VALUE"""),"India")</f>
        <v>India</v>
      </c>
      <c r="J19" s="50" t="str">
        <f>IFERROR(__xludf.DUMMYFUNCTION("""COMPUTED_VALUE"""),"Service")</f>
        <v>Service</v>
      </c>
      <c r="K19" s="50" t="str">
        <f>IFERROR(__xludf.DUMMYFUNCTION("""COMPUTED_VALUE"""),"Healthcare")</f>
        <v>Healthcare</v>
      </c>
      <c r="L19" s="50" t="str">
        <f>IFERROR(__xludf.DUMMYFUNCTION("""COMPUTED_VALUE"""),"Other Healthcare")</f>
        <v>Other Healthcare</v>
      </c>
      <c r="M19" s="50"/>
      <c r="N19" s="50" t="str">
        <f>IFERROR(__xludf.DUMMYFUNCTION("""COMPUTED_VALUE"""),"Event/Expo")</f>
        <v>Event/Expo</v>
      </c>
      <c r="O19" s="50" t="str">
        <f>IFERROR(__xludf.DUMMYFUNCTION("""COMPUTED_VALUE"""),"Aastha")</f>
        <v>Aastha</v>
      </c>
      <c r="P19" s="50" t="str">
        <f>IFERROR(__xludf.DUMMYFUNCTION("""COMPUTED_VALUE"""),"Cold")</f>
        <v>Cold</v>
      </c>
      <c r="Q19" s="50" t="str">
        <f>IFERROR(__xludf.DUMMYFUNCTION("""COMPUTED_VALUE"""),"New")</f>
        <v>New</v>
      </c>
      <c r="R19" s="50" t="str">
        <f>IFERROR(__xludf.DUMMYFUNCTION("""COMPUTED_VALUE"""),"Not Started")</f>
        <v>Not Started</v>
      </c>
      <c r="S19" s="50"/>
      <c r="T19" s="50"/>
      <c r="U19" s="50" t="str">
        <f>IFERROR(__xludf.DUMMYFUNCTION("""COMPUTED_VALUE"""),"Not Scheduled")</f>
        <v>Not Scheduled</v>
      </c>
      <c r="V19" s="50"/>
      <c r="W19" s="50"/>
      <c r="X19" s="50"/>
      <c r="Y19" s="50"/>
      <c r="Z19" s="50"/>
      <c r="AA19" s="50">
        <f>IFERROR(__xludf.DUMMYFUNCTION("""COMPUTED_VALUE"""),0.0)</f>
        <v>0</v>
      </c>
      <c r="AB19" s="50"/>
      <c r="AC19" s="50"/>
      <c r="AD19" s="50"/>
    </row>
    <row r="20">
      <c r="A20" s="50">
        <f>IFERROR(__xludf.DUMMYFUNCTION("""COMPUTED_VALUE"""),54.0)</f>
        <v>54</v>
      </c>
      <c r="B20" s="50">
        <f>IFERROR(__xludf.DUMMYFUNCTION("""COMPUTED_VALUE"""),46267.0)</f>
        <v>46267</v>
      </c>
      <c r="C20" s="50" t="str">
        <f>IFERROR(__xludf.DUMMYFUNCTION("""COMPUTED_VALUE"""),"Spares House")</f>
        <v>Spares House</v>
      </c>
      <c r="D20" s="50" t="str">
        <f>IFERROR(__xludf.DUMMYFUNCTION("""COMPUTED_VALUE"""),"Unnati Sonawane (Founder)")</f>
        <v>Unnati Sonawane (Founder)</v>
      </c>
      <c r="E20" s="50" t="str">
        <f>IFERROR(__xludf.DUMMYFUNCTION("""COMPUTED_VALUE"""),"9574854812; 7434945262")</f>
        <v>9574854812; 7434945262</v>
      </c>
      <c r="F20" s="50" t="str">
        <f>IFERROR(__xludf.DUMMYFUNCTION("""COMPUTED_VALUE"""),"spareshouse2107@gmail.com")</f>
        <v>spareshouse2107@gmail.com</v>
      </c>
      <c r="G20" s="50" t="str">
        <f>IFERROR(__xludf.DUMMYFUNCTION("""COMPUTED_VALUE"""),"Ahmedabad")</f>
        <v>Ahmedabad</v>
      </c>
      <c r="H20" s="50" t="str">
        <f>IFERROR(__xludf.DUMMYFUNCTION("""COMPUTED_VALUE"""),"India")</f>
        <v>India</v>
      </c>
      <c r="I20" s="50" t="str">
        <f>IFERROR(__xludf.DUMMYFUNCTION("""COMPUTED_VALUE"""),"India")</f>
        <v>India</v>
      </c>
      <c r="J20" s="50" t="str">
        <f>IFERROR(__xludf.DUMMYFUNCTION("""COMPUTED_VALUE"""),"Service")</f>
        <v>Service</v>
      </c>
      <c r="K20" s="50" t="str">
        <f>IFERROR(__xludf.DUMMYFUNCTION("""COMPUTED_VALUE"""),"Healthcare")</f>
        <v>Healthcare</v>
      </c>
      <c r="L20" s="50" t="str">
        <f>IFERROR(__xludf.DUMMYFUNCTION("""COMPUTED_VALUE"""),"Other Healthcare")</f>
        <v>Other Healthcare</v>
      </c>
      <c r="M20" s="50"/>
      <c r="N20" s="50" t="str">
        <f>IFERROR(__xludf.DUMMYFUNCTION("""COMPUTED_VALUE"""),"Event/Expo")</f>
        <v>Event/Expo</v>
      </c>
      <c r="O20" s="50" t="str">
        <f>IFERROR(__xludf.DUMMYFUNCTION("""COMPUTED_VALUE"""),"Aastha")</f>
        <v>Aastha</v>
      </c>
      <c r="P20" s="50" t="str">
        <f>IFERROR(__xludf.DUMMYFUNCTION("""COMPUTED_VALUE"""),"Cold")</f>
        <v>Cold</v>
      </c>
      <c r="Q20" s="50" t="str">
        <f>IFERROR(__xludf.DUMMYFUNCTION("""COMPUTED_VALUE"""),"New")</f>
        <v>New</v>
      </c>
      <c r="R20" s="50" t="str">
        <f>IFERROR(__xludf.DUMMYFUNCTION("""COMPUTED_VALUE"""),"Not Started")</f>
        <v>Not Started</v>
      </c>
      <c r="S20" s="50"/>
      <c r="T20" s="50"/>
      <c r="U20" s="50" t="str">
        <f>IFERROR(__xludf.DUMMYFUNCTION("""COMPUTED_VALUE"""),"Not Scheduled")</f>
        <v>Not Scheduled</v>
      </c>
      <c r="V20" s="50"/>
      <c r="W20" s="50"/>
      <c r="X20" s="50"/>
      <c r="Y20" s="50"/>
      <c r="Z20" s="50"/>
      <c r="AA20" s="50">
        <f>IFERROR(__xludf.DUMMYFUNCTION("""COMPUTED_VALUE"""),0.0)</f>
        <v>0</v>
      </c>
      <c r="AB20" s="50"/>
      <c r="AC20" s="50"/>
      <c r="AD20" s="50"/>
    </row>
    <row r="21" ht="15.75" customHeight="1">
      <c r="A21" s="50">
        <f>IFERROR(__xludf.DUMMYFUNCTION("""COMPUTED_VALUE"""),64.0)</f>
        <v>64</v>
      </c>
      <c r="B21" s="50">
        <f>IFERROR(__xludf.DUMMYFUNCTION("""COMPUTED_VALUE"""),46267.0)</f>
        <v>46267</v>
      </c>
      <c r="C21" s="50" t="str">
        <f>IFERROR(__xludf.DUMMYFUNCTION("""COMPUTED_VALUE"""),"airX")</f>
        <v>airX</v>
      </c>
      <c r="D21" s="50" t="str">
        <f>IFERROR(__xludf.DUMMYFUNCTION("""COMPUTED_VALUE"""),"Urvish Mandaliya (Marketing Associate)")</f>
        <v>Urvish Mandaliya (Marketing Associate)</v>
      </c>
      <c r="E21" s="50" t="str">
        <f>IFERROR(__xludf.DUMMYFUNCTION("""COMPUTED_VALUE"""),"777916898")</f>
        <v>777916898</v>
      </c>
      <c r="F21" s="50" t="str">
        <f>IFERROR(__xludf.DUMMYFUNCTION("""COMPUTED_VALUE"""),"urvish@airxwellness.com")</f>
        <v>urvish@airxwellness.com</v>
      </c>
      <c r="G21" s="50"/>
      <c r="H21" s="50" t="str">
        <f>IFERROR(__xludf.DUMMYFUNCTION("""COMPUTED_VALUE"""),"India")</f>
        <v>India</v>
      </c>
      <c r="I21" s="50" t="str">
        <f>IFERROR(__xludf.DUMMYFUNCTION("""COMPUTED_VALUE"""),"India")</f>
        <v>India</v>
      </c>
      <c r="J21" s="50" t="str">
        <f>IFERROR(__xludf.DUMMYFUNCTION("""COMPUTED_VALUE"""),"Service")</f>
        <v>Service</v>
      </c>
      <c r="K21" s="50" t="str">
        <f>IFERROR(__xludf.DUMMYFUNCTION("""COMPUTED_VALUE"""),"Healthcare")</f>
        <v>Healthcare</v>
      </c>
      <c r="L21" s="50" t="str">
        <f>IFERROR(__xludf.DUMMYFUNCTION("""COMPUTED_VALUE"""),"Other Healthcare")</f>
        <v>Other Healthcare</v>
      </c>
      <c r="M21" s="50"/>
      <c r="N21" s="50" t="str">
        <f>IFERROR(__xludf.DUMMYFUNCTION("""COMPUTED_VALUE"""),"Event/Expo")</f>
        <v>Event/Expo</v>
      </c>
      <c r="O21" s="50" t="str">
        <f>IFERROR(__xludf.DUMMYFUNCTION("""COMPUTED_VALUE"""),"Aastha")</f>
        <v>Aastha</v>
      </c>
      <c r="P21" s="50" t="str">
        <f>IFERROR(__xludf.DUMMYFUNCTION("""COMPUTED_VALUE"""),"Cold")</f>
        <v>Cold</v>
      </c>
      <c r="Q21" s="50" t="str">
        <f>IFERROR(__xludf.DUMMYFUNCTION("""COMPUTED_VALUE"""),"New")</f>
        <v>New</v>
      </c>
      <c r="R21" s="50" t="str">
        <f>IFERROR(__xludf.DUMMYFUNCTION("""COMPUTED_VALUE"""),"Not Started")</f>
        <v>Not Started</v>
      </c>
      <c r="S21" s="50"/>
      <c r="T21" s="50"/>
      <c r="U21" s="50" t="str">
        <f>IFERROR(__xludf.DUMMYFUNCTION("""COMPUTED_VALUE"""),"Not Scheduled")</f>
        <v>Not Scheduled</v>
      </c>
      <c r="V21" s="50"/>
      <c r="W21" s="50"/>
      <c r="X21" s="50"/>
      <c r="Y21" s="50"/>
      <c r="Z21" s="50"/>
      <c r="AA21" s="50">
        <f>IFERROR(__xludf.DUMMYFUNCTION("""COMPUTED_VALUE"""),0.0)</f>
        <v>0</v>
      </c>
      <c r="AB21" s="50"/>
      <c r="AC21" s="50"/>
      <c r="AD21" s="50"/>
    </row>
    <row r="22" ht="15.75" customHeight="1">
      <c r="A22" s="50">
        <f>IFERROR(__xludf.DUMMYFUNCTION("""COMPUTED_VALUE"""),93.0)</f>
        <v>93</v>
      </c>
      <c r="B22" s="50">
        <f>IFERROR(__xludf.DUMMYFUNCTION("""COMPUTED_VALUE"""),46267.0)</f>
        <v>46267</v>
      </c>
      <c r="C22" s="50" t="str">
        <f>IFERROR(__xludf.DUMMYFUNCTION("""COMPUTED_VALUE"""),"ASOJ SOFT CAPS PVT. LTD.")</f>
        <v>ASOJ SOFT CAPS PVT. LTD.</v>
      </c>
      <c r="D22" s="50" t="str">
        <f>IFERROR(__xludf.DUMMYFUNCTION("""COMPUTED_VALUE"""),"Parul Patel (Jr. Manager - Purchase)")</f>
        <v>Parul Patel (Jr. Manager - Purchase)</v>
      </c>
      <c r="E22" s="50" t="str">
        <f>IFERROR(__xludf.DUMMYFUNCTION("""COMPUTED_VALUE"""),"89808 08776; 8980083898")</f>
        <v>89808 08776; 8980083898</v>
      </c>
      <c r="F22" s="50" t="str">
        <f>IFERROR(__xludf.DUMMYFUNCTION("""COMPUTED_VALUE"""),"purchase@asojsoftcaps.com")</f>
        <v>purchase@asojsoftcaps.com</v>
      </c>
      <c r="G22" s="50" t="str">
        <f>IFERROR(__xludf.DUMMYFUNCTION("""COMPUTED_VALUE"""),"Baroda")</f>
        <v>Baroda</v>
      </c>
      <c r="H22" s="50" t="str">
        <f>IFERROR(__xludf.DUMMYFUNCTION("""COMPUTED_VALUE"""),"India")</f>
        <v>India</v>
      </c>
      <c r="I22" s="50" t="str">
        <f>IFERROR(__xludf.DUMMYFUNCTION("""COMPUTED_VALUE"""),"India")</f>
        <v>India</v>
      </c>
      <c r="J22" s="50" t="str">
        <f>IFERROR(__xludf.DUMMYFUNCTION("""COMPUTED_VALUE"""),"Service")</f>
        <v>Service</v>
      </c>
      <c r="K22" s="50" t="str">
        <f>IFERROR(__xludf.DUMMYFUNCTION("""COMPUTED_VALUE"""),"Healthcare")</f>
        <v>Healthcare</v>
      </c>
      <c r="L22" s="50" t="str">
        <f>IFERROR(__xludf.DUMMYFUNCTION("""COMPUTED_VALUE"""),"Other Healthcare")</f>
        <v>Other Healthcare</v>
      </c>
      <c r="M22" s="50"/>
      <c r="N22" s="50" t="str">
        <f>IFERROR(__xludf.DUMMYFUNCTION("""COMPUTED_VALUE"""),"Event/Expo")</f>
        <v>Event/Expo</v>
      </c>
      <c r="O22" s="50" t="str">
        <f>IFERROR(__xludf.DUMMYFUNCTION("""COMPUTED_VALUE"""),"Aastha")</f>
        <v>Aastha</v>
      </c>
      <c r="P22" s="50" t="str">
        <f>IFERROR(__xludf.DUMMYFUNCTION("""COMPUTED_VALUE"""),"Cold")</f>
        <v>Cold</v>
      </c>
      <c r="Q22" s="50" t="str">
        <f>IFERROR(__xludf.DUMMYFUNCTION("""COMPUTED_VALUE"""),"New")</f>
        <v>New</v>
      </c>
      <c r="R22" s="50" t="str">
        <f>IFERROR(__xludf.DUMMYFUNCTION("""COMPUTED_VALUE"""),"Not Started")</f>
        <v>Not Started</v>
      </c>
      <c r="S22" s="50"/>
      <c r="T22" s="50"/>
      <c r="U22" s="50" t="str">
        <f>IFERROR(__xludf.DUMMYFUNCTION("""COMPUTED_VALUE"""),"Not Scheduled")</f>
        <v>Not Scheduled</v>
      </c>
      <c r="V22" s="50"/>
      <c r="W22" s="50"/>
      <c r="X22" s="50"/>
      <c r="Y22" s="50"/>
      <c r="Z22" s="50"/>
      <c r="AA22" s="50">
        <f>IFERROR(__xludf.DUMMYFUNCTION("""COMPUTED_VALUE"""),0.0)</f>
        <v>0</v>
      </c>
      <c r="AB22" s="50"/>
      <c r="AC22" s="50"/>
      <c r="AD22" s="5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V1"/>
    <mergeCell ref="A2:V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75"/>
    <col customWidth="1" min="2" max="2" width="12.5"/>
    <col customWidth="1" min="3" max="3" width="43.25"/>
    <col customWidth="1" min="4" max="4" width="43.5"/>
    <col customWidth="1" min="5" max="5" width="52.0"/>
    <col customWidth="1" min="6" max="6" width="43.13"/>
    <col customWidth="1" min="7" max="7" width="23.63"/>
    <col customWidth="1" min="8" max="8" width="12.5"/>
    <col customWidth="1" min="9" max="9" width="10.0"/>
    <col customWidth="1" min="10" max="10" width="11.25"/>
    <col customWidth="1" min="11" max="11" width="18.75"/>
    <col customWidth="1" min="12" max="12" width="15.0"/>
    <col customWidth="1" min="13" max="13" width="25.0"/>
    <col customWidth="1" min="14" max="14" width="13.75"/>
    <col customWidth="1" min="15" max="15" width="13.13"/>
    <col customWidth="1" min="16" max="16" width="10.0"/>
    <col customWidth="1" min="17" max="17" width="14.38"/>
    <col customWidth="1" min="18" max="18" width="15.0"/>
    <col customWidth="1" min="19" max="19" width="13.13"/>
    <col customWidth="1" min="20" max="20" width="14.38"/>
    <col customWidth="1" min="21" max="21" width="13.75"/>
    <col customWidth="1" min="22" max="22" width="26.25"/>
    <col customWidth="1" min="23" max="23" width="13.75"/>
    <col customWidth="1" min="24" max="24" width="13.13"/>
    <col customWidth="1" min="25" max="25" width="15.0"/>
    <col customWidth="1" min="26" max="26" width="10.63"/>
    <col customWidth="1" min="27" max="28" width="15.0"/>
    <col customWidth="1" min="29" max="29" width="21.25"/>
    <col customWidth="1" min="30" max="30" width="27.5"/>
  </cols>
  <sheetData>
    <row r="1" ht="27.0" customHeight="1">
      <c r="A1" s="1" t="s">
        <v>183</v>
      </c>
    </row>
    <row r="2" ht="25.5" customHeight="1">
      <c r="A2" s="2" t="s">
        <v>133</v>
      </c>
    </row>
    <row r="5">
      <c r="A5" s="3" t="s">
        <v>44</v>
      </c>
      <c r="B5" s="8" t="s">
        <v>51</v>
      </c>
      <c r="C5" s="8" t="s">
        <v>45</v>
      </c>
      <c r="D5" s="8" t="s">
        <v>53</v>
      </c>
      <c r="E5" s="8" t="s">
        <v>54</v>
      </c>
      <c r="F5" s="8" t="s">
        <v>55</v>
      </c>
      <c r="G5" s="8" t="s">
        <v>56</v>
      </c>
      <c r="H5" s="8" t="s">
        <v>57</v>
      </c>
      <c r="I5" s="8" t="s">
        <v>58</v>
      </c>
      <c r="J5" s="8" t="s">
        <v>59</v>
      </c>
      <c r="K5" s="8" t="s">
        <v>60</v>
      </c>
      <c r="L5" s="8" t="s">
        <v>61</v>
      </c>
      <c r="M5" s="8" t="s">
        <v>62</v>
      </c>
      <c r="N5" s="8" t="s">
        <v>63</v>
      </c>
      <c r="O5" s="8" t="s">
        <v>50</v>
      </c>
      <c r="P5" s="8" t="s">
        <v>23</v>
      </c>
      <c r="Q5" s="8" t="s">
        <v>29</v>
      </c>
      <c r="R5" s="8" t="s">
        <v>26</v>
      </c>
      <c r="S5" s="8" t="s">
        <v>65</v>
      </c>
      <c r="T5" s="8" t="s">
        <v>49</v>
      </c>
      <c r="U5" s="8" t="s">
        <v>67</v>
      </c>
      <c r="V5" s="8" t="s">
        <v>68</v>
      </c>
      <c r="W5" s="8" t="s">
        <v>69</v>
      </c>
      <c r="X5" s="8" t="s">
        <v>70</v>
      </c>
      <c r="Y5" s="8" t="s">
        <v>71</v>
      </c>
      <c r="Z5" s="8" t="s">
        <v>72</v>
      </c>
      <c r="AA5" s="8" t="s">
        <v>73</v>
      </c>
      <c r="AB5" s="8" t="s">
        <v>74</v>
      </c>
      <c r="AC5" s="8" t="s">
        <v>75</v>
      </c>
      <c r="AD5" s="9" t="s">
        <v>52</v>
      </c>
    </row>
    <row r="6">
      <c r="A6" s="50">
        <f>IFERROR(__xludf.DUMMYFUNCTION("IFERROR(FILTER('Master Leads'!$A$6:$AD$495, 'Master Leads'!$A$6:$A$495&lt;&gt;"""", 'Master Leads'!$K$6:$K$495=""Manufacturing""), ""No matching leads yet"")"),2.0)</f>
        <v>2</v>
      </c>
      <c r="B6" s="51">
        <f>IFERROR(__xludf.DUMMYFUNCTION("""COMPUTED_VALUE"""),46264.0)</f>
        <v>46264</v>
      </c>
      <c r="C6" s="50" t="str">
        <f>IFERROR(__xludf.DUMMYFUNCTION("""COMPUTED_VALUE"""),"Rototech")</f>
        <v>Rototech</v>
      </c>
      <c r="D6" s="50" t="str">
        <f>IFERROR(__xludf.DUMMYFUNCTION("""COMPUTED_VALUE"""),"Jignesh Patel")</f>
        <v>Jignesh Patel</v>
      </c>
      <c r="E6" s="50" t="str">
        <f>IFERROR(__xludf.DUMMYFUNCTION("""COMPUTED_VALUE"""),"9998447948")</f>
        <v>9998447948</v>
      </c>
      <c r="F6" s="50" t="str">
        <f>IFERROR(__xludf.DUMMYFUNCTION("""COMPUTED_VALUE"""),"patel.jignesh1985@gmail.com")</f>
        <v>patel.jignesh1985@gmail.com</v>
      </c>
      <c r="G6" s="50" t="str">
        <f>IFERROR(__xludf.DUMMYFUNCTION("""COMPUTED_VALUE"""),"Ahmedabad")</f>
        <v>Ahmedabad</v>
      </c>
      <c r="H6" s="50" t="str">
        <f>IFERROR(__xludf.DUMMYFUNCTION("""COMPUTED_VALUE"""),"India")</f>
        <v>India</v>
      </c>
      <c r="I6" s="50" t="str">
        <f>IFERROR(__xludf.DUMMYFUNCTION("""COMPUTED_VALUE"""),"India")</f>
        <v>India</v>
      </c>
      <c r="J6" s="50" t="str">
        <f>IFERROR(__xludf.DUMMYFUNCTION("""COMPUTED_VALUE"""),"Service")</f>
        <v>Service</v>
      </c>
      <c r="K6" s="50" t="str">
        <f>IFERROR(__xludf.DUMMYFUNCTION("""COMPUTED_VALUE"""),"Manufacturing")</f>
        <v>Manufacturing</v>
      </c>
      <c r="L6" s="50" t="str">
        <f>IFERROR(__xludf.DUMMYFUNCTION("""COMPUTED_VALUE"""),"Manufacturing")</f>
        <v>Manufacturing</v>
      </c>
      <c r="M6" s="50"/>
      <c r="N6" s="50" t="str">
        <f>IFERROR(__xludf.DUMMYFUNCTION("""COMPUTED_VALUE"""),"Existing Client")</f>
        <v>Existing Client</v>
      </c>
      <c r="O6" s="50" t="str">
        <f>IFERROR(__xludf.DUMMYFUNCTION("""COMPUTED_VALUE"""),"Aastha")</f>
        <v>Aastha</v>
      </c>
      <c r="P6" s="50" t="str">
        <f>IFERROR(__xludf.DUMMYFUNCTION("""COMPUTED_VALUE"""),"Hot")</f>
        <v>Hot</v>
      </c>
      <c r="Q6" s="50" t="str">
        <f>IFERROR(__xludf.DUMMYFUNCTION("""COMPUTED_VALUE"""),"Converted")</f>
        <v>Converted</v>
      </c>
      <c r="R6" s="50" t="str">
        <f>IFERROR(__xludf.DUMMYFUNCTION("""COMPUTED_VALUE"""),"Follow-Up Complete")</f>
        <v>Follow-Up Complete</v>
      </c>
      <c r="S6" s="50">
        <f>IFERROR(__xludf.DUMMYFUNCTION("""COMPUTED_VALUE"""),46259.0)</f>
        <v>46259</v>
      </c>
      <c r="T6" s="50"/>
      <c r="U6" s="50" t="str">
        <f>IFERROR(__xludf.DUMMYFUNCTION("""COMPUTED_VALUE"""),"Completed")</f>
        <v>Completed</v>
      </c>
      <c r="V6" s="50"/>
      <c r="W6" s="50"/>
      <c r="X6" s="50"/>
      <c r="Y6" s="50"/>
      <c r="Z6" s="50"/>
      <c r="AA6" s="50">
        <f>IFERROR(__xludf.DUMMYFUNCTION("""COMPUTED_VALUE"""),0.0)</f>
        <v>0</v>
      </c>
      <c r="AB6" s="50"/>
      <c r="AC6" s="50"/>
      <c r="AD6" s="50"/>
    </row>
    <row r="7">
      <c r="A7" s="50">
        <f>IFERROR(__xludf.DUMMYFUNCTION("""COMPUTED_VALUE"""),5.0)</f>
        <v>5</v>
      </c>
      <c r="B7" s="51">
        <f>IFERROR(__xludf.DUMMYFUNCTION("""COMPUTED_VALUE"""),46264.0)</f>
        <v>46264</v>
      </c>
      <c r="C7" s="50" t="str">
        <f>IFERROR(__xludf.DUMMYFUNCTION("""COMPUTED_VALUE"""),"Acme Industries")</f>
        <v>Acme Industries</v>
      </c>
      <c r="D7" s="50" t="str">
        <f>IFERROR(__xludf.DUMMYFUNCTION("""COMPUTED_VALUE"""),"Ketan Shah")</f>
        <v>Ketan Shah</v>
      </c>
      <c r="E7" s="50" t="str">
        <f>IFERROR(__xludf.DUMMYFUNCTION("""COMPUTED_VALUE"""),"9825060677")</f>
        <v>9825060677</v>
      </c>
      <c r="F7" s="50"/>
      <c r="G7" s="50" t="str">
        <f>IFERROR(__xludf.DUMMYFUNCTION("""COMPUTED_VALUE"""),"Ahmedabad")</f>
        <v>Ahmedabad</v>
      </c>
      <c r="H7" s="50" t="str">
        <f>IFERROR(__xludf.DUMMYFUNCTION("""COMPUTED_VALUE"""),"India")</f>
        <v>India</v>
      </c>
      <c r="I7" s="50" t="str">
        <f>IFERROR(__xludf.DUMMYFUNCTION("""COMPUTED_VALUE"""),"India")</f>
        <v>India</v>
      </c>
      <c r="J7" s="50" t="str">
        <f>IFERROR(__xludf.DUMMYFUNCTION("""COMPUTED_VALUE"""),"Service")</f>
        <v>Service</v>
      </c>
      <c r="K7" s="50" t="str">
        <f>IFERROR(__xludf.DUMMYFUNCTION("""COMPUTED_VALUE"""),"Manufacturing")</f>
        <v>Manufacturing</v>
      </c>
      <c r="L7" s="50" t="str">
        <f>IFERROR(__xludf.DUMMYFUNCTION("""COMPUTED_VALUE"""),"Manufacturing")</f>
        <v>Manufacturing</v>
      </c>
      <c r="M7" s="50"/>
      <c r="N7" s="50" t="str">
        <f>IFERROR(__xludf.DUMMYFUNCTION("""COMPUTED_VALUE"""),"Cold Outreach")</f>
        <v>Cold Outreach</v>
      </c>
      <c r="O7" s="50" t="str">
        <f>IFERROR(__xludf.DUMMYFUNCTION("""COMPUTED_VALUE"""),"Aastha")</f>
        <v>Aastha</v>
      </c>
      <c r="P7" s="50" t="str">
        <f>IFERROR(__xludf.DUMMYFUNCTION("""COMPUTED_VALUE"""),"Cold")</f>
        <v>Cold</v>
      </c>
      <c r="Q7" s="50" t="str">
        <f>IFERROR(__xludf.DUMMYFUNCTION("""COMPUTED_VALUE"""),"Lost")</f>
        <v>Lost</v>
      </c>
      <c r="R7" s="50" t="str">
        <f>IFERROR(__xludf.DUMMYFUNCTION("""COMPUTED_VALUE"""),"Follow-Up Complete")</f>
        <v>Follow-Up Complete</v>
      </c>
      <c r="S7" s="50"/>
      <c r="T7" s="50"/>
      <c r="U7" s="50" t="str">
        <f>IFERROR(__xludf.DUMMYFUNCTION("""COMPUTED_VALUE"""),"Completed")</f>
        <v>Completed</v>
      </c>
      <c r="V7" s="50"/>
      <c r="W7" s="50"/>
      <c r="X7" s="50"/>
      <c r="Y7" s="50"/>
      <c r="Z7" s="50"/>
      <c r="AA7" s="50">
        <f>IFERROR(__xludf.DUMMYFUNCTION("""COMPUTED_VALUE"""),0.0)</f>
        <v>0</v>
      </c>
      <c r="AB7" s="50"/>
      <c r="AC7" s="50"/>
      <c r="AD7" s="50"/>
    </row>
    <row r="8">
      <c r="A8" s="50">
        <f>IFERROR(__xludf.DUMMYFUNCTION("""COMPUTED_VALUE"""),26.0)</f>
        <v>26</v>
      </c>
      <c r="B8" s="51">
        <f>IFERROR(__xludf.DUMMYFUNCTION("""COMPUTED_VALUE"""),46264.0)</f>
        <v>46264</v>
      </c>
      <c r="C8" s="50" t="str">
        <f>IFERROR(__xludf.DUMMYFUNCTION("""COMPUTED_VALUE"""),"Shamura Polytech PVT. Ltd")</f>
        <v>Shamura Polytech PVT. Ltd</v>
      </c>
      <c r="D8" s="50" t="str">
        <f>IFERROR(__xludf.DUMMYFUNCTION("""COMPUTED_VALUE"""),"Rajesh Rami (Marketing Manager)")</f>
        <v>Rajesh Rami (Marketing Manager)</v>
      </c>
      <c r="E8" s="50" t="str">
        <f>IFERROR(__xludf.DUMMYFUNCTION("""COMPUTED_VALUE"""),"9913864345; 902325424")</f>
        <v>9913864345; 902325424</v>
      </c>
      <c r="F8" s="50" t="str">
        <f>IFERROR(__xludf.DUMMYFUNCTION("""COMPUTED_VALUE"""),"shamurapolytechpvt.ltd@gmail.com")</f>
        <v>shamurapolytechpvt.ltd@gmail.com</v>
      </c>
      <c r="G8" s="50" t="str">
        <f>IFERROR(__xludf.DUMMYFUNCTION("""COMPUTED_VALUE"""),"Vijapur")</f>
        <v>Vijapur</v>
      </c>
      <c r="H8" s="50" t="str">
        <f>IFERROR(__xludf.DUMMYFUNCTION("""COMPUTED_VALUE"""),"India")</f>
        <v>India</v>
      </c>
      <c r="I8" s="50" t="str">
        <f>IFERROR(__xludf.DUMMYFUNCTION("""COMPUTED_VALUE"""),"India")</f>
        <v>India</v>
      </c>
      <c r="J8" s="50" t="str">
        <f>IFERROR(__xludf.DUMMYFUNCTION("""COMPUTED_VALUE"""),"Service")</f>
        <v>Service</v>
      </c>
      <c r="K8" s="50" t="str">
        <f>IFERROR(__xludf.DUMMYFUNCTION("""COMPUTED_VALUE"""),"Manufacturing")</f>
        <v>Manufacturing</v>
      </c>
      <c r="L8" s="50" t="str">
        <f>IFERROR(__xludf.DUMMYFUNCTION("""COMPUTED_VALUE"""),"Manufacturing")</f>
        <v>Manufacturing</v>
      </c>
      <c r="M8" s="50"/>
      <c r="N8" s="50" t="str">
        <f>IFERROR(__xludf.DUMMYFUNCTION("""COMPUTED_VALUE"""),"Event/Expo")</f>
        <v>Event/Expo</v>
      </c>
      <c r="O8" s="50" t="str">
        <f>IFERROR(__xludf.DUMMYFUNCTION("""COMPUTED_VALUE"""),"Aastha")</f>
        <v>Aastha</v>
      </c>
      <c r="P8" s="50" t="str">
        <f>IFERROR(__xludf.DUMMYFUNCTION("""COMPUTED_VALUE"""),"Cold")</f>
        <v>Cold</v>
      </c>
      <c r="Q8" s="50" t="str">
        <f>IFERROR(__xludf.DUMMYFUNCTION("""COMPUTED_VALUE"""),"New")</f>
        <v>New</v>
      </c>
      <c r="R8" s="50" t="str">
        <f>IFERROR(__xludf.DUMMYFUNCTION("""COMPUTED_VALUE"""),"Not Started")</f>
        <v>Not Started</v>
      </c>
      <c r="S8" s="50"/>
      <c r="T8" s="50"/>
      <c r="U8" s="50" t="str">
        <f>IFERROR(__xludf.DUMMYFUNCTION("""COMPUTED_VALUE"""),"Not Scheduled")</f>
        <v>Not Scheduled</v>
      </c>
      <c r="V8" s="50"/>
      <c r="W8" s="50"/>
      <c r="X8" s="50"/>
      <c r="Y8" s="50"/>
      <c r="Z8" s="50"/>
      <c r="AA8" s="50">
        <f>IFERROR(__xludf.DUMMYFUNCTION("""COMPUTED_VALUE"""),0.0)</f>
        <v>0</v>
      </c>
      <c r="AB8" s="50"/>
      <c r="AC8" s="50"/>
      <c r="AD8" s="50"/>
    </row>
    <row r="9">
      <c r="A9" s="50">
        <f>IFERROR(__xludf.DUMMYFUNCTION("""COMPUTED_VALUE"""),34.0)</f>
        <v>34</v>
      </c>
      <c r="B9" s="51">
        <f>IFERROR(__xludf.DUMMYFUNCTION("""COMPUTED_VALUE"""),46264.0)</f>
        <v>46264</v>
      </c>
      <c r="C9" s="50" t="str">
        <f>IFERROR(__xludf.DUMMYFUNCTION("""COMPUTED_VALUE"""),"SINGH ENTERPRISES")</f>
        <v>SINGH ENTERPRISES</v>
      </c>
      <c r="D9" s="50" t="str">
        <f>IFERROR(__xludf.DUMMYFUNCTION("""COMPUTED_VALUE"""),"Ekyot Singh")</f>
        <v>Ekyot Singh</v>
      </c>
      <c r="E9" s="50" t="str">
        <f>IFERROR(__xludf.DUMMYFUNCTION("""COMPUTED_VALUE"""),"9619134047; 9820070228")</f>
        <v>9619134047; 9820070228</v>
      </c>
      <c r="F9" s="50" t="str">
        <f>IFERROR(__xludf.DUMMYFUNCTION("""COMPUTED_VALUE"""),"singh_enterprises7@yahoo.com; info@singh-enterprises.com")</f>
        <v>singh_enterprises7@yahoo.com; info@singh-enterprises.com</v>
      </c>
      <c r="G9" s="50" t="str">
        <f>IFERROR(__xludf.DUMMYFUNCTION("""COMPUTED_VALUE"""),"Mumbai")</f>
        <v>Mumbai</v>
      </c>
      <c r="H9" s="50" t="str">
        <f>IFERROR(__xludf.DUMMYFUNCTION("""COMPUTED_VALUE"""),"India")</f>
        <v>India</v>
      </c>
      <c r="I9" s="50" t="str">
        <f>IFERROR(__xludf.DUMMYFUNCTION("""COMPUTED_VALUE"""),"India")</f>
        <v>India</v>
      </c>
      <c r="J9" s="50" t="str">
        <f>IFERROR(__xludf.DUMMYFUNCTION("""COMPUTED_VALUE"""),"Service")</f>
        <v>Service</v>
      </c>
      <c r="K9" s="50" t="str">
        <f>IFERROR(__xludf.DUMMYFUNCTION("""COMPUTED_VALUE"""),"Manufacturing")</f>
        <v>Manufacturing</v>
      </c>
      <c r="L9" s="50" t="str">
        <f>IFERROR(__xludf.DUMMYFUNCTION("""COMPUTED_VALUE"""),"Manufacturing")</f>
        <v>Manufacturing</v>
      </c>
      <c r="M9" s="50"/>
      <c r="N9" s="50" t="str">
        <f>IFERROR(__xludf.DUMMYFUNCTION("""COMPUTED_VALUE"""),"Event/Expo")</f>
        <v>Event/Expo</v>
      </c>
      <c r="O9" s="50" t="str">
        <f>IFERROR(__xludf.DUMMYFUNCTION("""COMPUTED_VALUE"""),"Aastha")</f>
        <v>Aastha</v>
      </c>
      <c r="P9" s="50" t="str">
        <f>IFERROR(__xludf.DUMMYFUNCTION("""COMPUTED_VALUE"""),"Cold")</f>
        <v>Cold</v>
      </c>
      <c r="Q9" s="50" t="str">
        <f>IFERROR(__xludf.DUMMYFUNCTION("""COMPUTED_VALUE"""),"New")</f>
        <v>New</v>
      </c>
      <c r="R9" s="50" t="str">
        <f>IFERROR(__xludf.DUMMYFUNCTION("""COMPUTED_VALUE"""),"Not Started")</f>
        <v>Not Started</v>
      </c>
      <c r="S9" s="50"/>
      <c r="T9" s="50"/>
      <c r="U9" s="50" t="str">
        <f>IFERROR(__xludf.DUMMYFUNCTION("""COMPUTED_VALUE"""),"Not Scheduled")</f>
        <v>Not Scheduled</v>
      </c>
      <c r="V9" s="50"/>
      <c r="W9" s="50"/>
      <c r="X9" s="50"/>
      <c r="Y9" s="50"/>
      <c r="Z9" s="50"/>
      <c r="AA9" s="50">
        <f>IFERROR(__xludf.DUMMYFUNCTION("""COMPUTED_VALUE"""),0.0)</f>
        <v>0</v>
      </c>
      <c r="AB9" s="50"/>
      <c r="AC9" s="50"/>
      <c r="AD9" s="50"/>
    </row>
    <row r="10">
      <c r="A10" s="50">
        <f>IFERROR(__xludf.DUMMYFUNCTION("""COMPUTED_VALUE"""),38.0)</f>
        <v>38</v>
      </c>
      <c r="B10" s="51">
        <f>IFERROR(__xludf.DUMMYFUNCTION("""COMPUTED_VALUE"""),46264.0)</f>
        <v>46264</v>
      </c>
      <c r="C10" s="50" t="str">
        <f>IFERROR(__xludf.DUMMYFUNCTION("""COMPUTED_VALUE"""),"Sachdev Scientific Equipments / Blancoz")</f>
        <v>Sachdev Scientific Equipments / Blancoz</v>
      </c>
      <c r="D10" s="50" t="str">
        <f>IFERROR(__xludf.DUMMYFUNCTION("""COMPUTED_VALUE"""),"Aditya Sachdev (Director)")</f>
        <v>Aditya Sachdev (Director)</v>
      </c>
      <c r="E10" s="50" t="str">
        <f>IFERROR(__xludf.DUMMYFUNCTION("""COMPUTED_VALUE"""),"90330 07000; 7721-290133")</f>
        <v>90330 07000; 7721-290133</v>
      </c>
      <c r="F10" s="50" t="str">
        <f>IFERROR(__xludf.DUMMYFUNCTION("""COMPUTED_VALUE"""),"info@blancoz.in; sachdevaditya@hotmail.com")</f>
        <v>info@blancoz.in; sachdevaditya@hotmail.com</v>
      </c>
      <c r="G10" s="50" t="str">
        <f>IFERROR(__xludf.DUMMYFUNCTION("""COMPUTED_VALUE"""),"Raipur")</f>
        <v>Raipur</v>
      </c>
      <c r="H10" s="50" t="str">
        <f>IFERROR(__xludf.DUMMYFUNCTION("""COMPUTED_VALUE"""),"India")</f>
        <v>India</v>
      </c>
      <c r="I10" s="50" t="str">
        <f>IFERROR(__xludf.DUMMYFUNCTION("""COMPUTED_VALUE"""),"India")</f>
        <v>India</v>
      </c>
      <c r="J10" s="50" t="str">
        <f>IFERROR(__xludf.DUMMYFUNCTION("""COMPUTED_VALUE"""),"Service")</f>
        <v>Service</v>
      </c>
      <c r="K10" s="50" t="str">
        <f>IFERROR(__xludf.DUMMYFUNCTION("""COMPUTED_VALUE"""),"Manufacturing")</f>
        <v>Manufacturing</v>
      </c>
      <c r="L10" s="50" t="str">
        <f>IFERROR(__xludf.DUMMYFUNCTION("""COMPUTED_VALUE"""),"Manufacturing")</f>
        <v>Manufacturing</v>
      </c>
      <c r="M10" s="50"/>
      <c r="N10" s="50" t="str">
        <f>IFERROR(__xludf.DUMMYFUNCTION("""COMPUTED_VALUE"""),"Event/Expo")</f>
        <v>Event/Expo</v>
      </c>
      <c r="O10" s="50" t="str">
        <f>IFERROR(__xludf.DUMMYFUNCTION("""COMPUTED_VALUE"""),"Aastha")</f>
        <v>Aastha</v>
      </c>
      <c r="P10" s="50" t="str">
        <f>IFERROR(__xludf.DUMMYFUNCTION("""COMPUTED_VALUE"""),"Cold")</f>
        <v>Cold</v>
      </c>
      <c r="Q10" s="50" t="str">
        <f>IFERROR(__xludf.DUMMYFUNCTION("""COMPUTED_VALUE"""),"New")</f>
        <v>New</v>
      </c>
      <c r="R10" s="50" t="str">
        <f>IFERROR(__xludf.DUMMYFUNCTION("""COMPUTED_VALUE"""),"Not Started")</f>
        <v>Not Started</v>
      </c>
      <c r="S10" s="50"/>
      <c r="T10" s="50"/>
      <c r="U10" s="50" t="str">
        <f>IFERROR(__xludf.DUMMYFUNCTION("""COMPUTED_VALUE"""),"Not Scheduled")</f>
        <v>Not Scheduled</v>
      </c>
      <c r="V10" s="50"/>
      <c r="W10" s="50"/>
      <c r="X10" s="50"/>
      <c r="Y10" s="50"/>
      <c r="Z10" s="50"/>
      <c r="AA10" s="50">
        <f>IFERROR(__xludf.DUMMYFUNCTION("""COMPUTED_VALUE"""),0.0)</f>
        <v>0</v>
      </c>
      <c r="AB10" s="50"/>
      <c r="AC10" s="50"/>
      <c r="AD10" s="50"/>
    </row>
    <row r="11">
      <c r="A11" s="50">
        <f>IFERROR(__xludf.DUMMYFUNCTION("""COMPUTED_VALUE"""),39.0)</f>
        <v>39</v>
      </c>
      <c r="B11" s="51">
        <f>IFERROR(__xludf.DUMMYFUNCTION("""COMPUTED_VALUE"""),46264.0)</f>
        <v>46264</v>
      </c>
      <c r="C11" s="50" t="str">
        <f>IFERROR(__xludf.DUMMYFUNCTION("""COMPUTED_VALUE"""),"Kalpana Lights / Seridone")</f>
        <v>Kalpana Lights / Seridone</v>
      </c>
      <c r="D11" s="50" t="str">
        <f>IFERROR(__xludf.DUMMYFUNCTION("""COMPUTED_VALUE"""),"Vijaysingh Rajput / Arjunsingh Rajput")</f>
        <v>Vijaysingh Rajput / Arjunsingh Rajput</v>
      </c>
      <c r="E11" s="50" t="str">
        <f>IFERROR(__xludf.DUMMYFUNCTION("""COMPUTED_VALUE"""),"9773479961; 9930479535; 079 22155334")</f>
        <v>9773479961; 9930479535; 079 22155334</v>
      </c>
      <c r="F11" s="50"/>
      <c r="G11" s="50" t="str">
        <f>IFERROR(__xludf.DUMMYFUNCTION("""COMPUTED_VALUE"""),"Ahmedabad")</f>
        <v>Ahmedabad</v>
      </c>
      <c r="H11" s="50" t="str">
        <f>IFERROR(__xludf.DUMMYFUNCTION("""COMPUTED_VALUE"""),"India")</f>
        <v>India</v>
      </c>
      <c r="I11" s="50" t="str">
        <f>IFERROR(__xludf.DUMMYFUNCTION("""COMPUTED_VALUE"""),"India")</f>
        <v>India</v>
      </c>
      <c r="J11" s="50" t="str">
        <f>IFERROR(__xludf.DUMMYFUNCTION("""COMPUTED_VALUE"""),"Service")</f>
        <v>Service</v>
      </c>
      <c r="K11" s="50" t="str">
        <f>IFERROR(__xludf.DUMMYFUNCTION("""COMPUTED_VALUE"""),"Manufacturing")</f>
        <v>Manufacturing</v>
      </c>
      <c r="L11" s="50" t="str">
        <f>IFERROR(__xludf.DUMMYFUNCTION("""COMPUTED_VALUE"""),"Manufacturing")</f>
        <v>Manufacturing</v>
      </c>
      <c r="M11" s="50"/>
      <c r="N11" s="50" t="str">
        <f>IFERROR(__xludf.DUMMYFUNCTION("""COMPUTED_VALUE"""),"Event/Expo")</f>
        <v>Event/Expo</v>
      </c>
      <c r="O11" s="50" t="str">
        <f>IFERROR(__xludf.DUMMYFUNCTION("""COMPUTED_VALUE"""),"Aastha")</f>
        <v>Aastha</v>
      </c>
      <c r="P11" s="50" t="str">
        <f>IFERROR(__xludf.DUMMYFUNCTION("""COMPUTED_VALUE"""),"Cold")</f>
        <v>Cold</v>
      </c>
      <c r="Q11" s="50" t="str">
        <f>IFERROR(__xludf.DUMMYFUNCTION("""COMPUTED_VALUE"""),"New")</f>
        <v>New</v>
      </c>
      <c r="R11" s="50" t="str">
        <f>IFERROR(__xludf.DUMMYFUNCTION("""COMPUTED_VALUE"""),"Not Started")</f>
        <v>Not Started</v>
      </c>
      <c r="S11" s="50"/>
      <c r="T11" s="50"/>
      <c r="U11" s="50" t="str">
        <f>IFERROR(__xludf.DUMMYFUNCTION("""COMPUTED_VALUE"""),"Not Scheduled")</f>
        <v>Not Scheduled</v>
      </c>
      <c r="V11" s="50"/>
      <c r="W11" s="50"/>
      <c r="X11" s="50"/>
      <c r="Y11" s="50"/>
      <c r="Z11" s="50"/>
      <c r="AA11" s="50">
        <f>IFERROR(__xludf.DUMMYFUNCTION("""COMPUTED_VALUE"""),0.0)</f>
        <v>0</v>
      </c>
      <c r="AB11" s="50"/>
      <c r="AC11" s="50"/>
      <c r="AD11" s="50"/>
    </row>
    <row r="12">
      <c r="A12" s="50">
        <f>IFERROR(__xludf.DUMMYFUNCTION("""COMPUTED_VALUE"""),44.0)</f>
        <v>44</v>
      </c>
      <c r="B12" s="51">
        <f>IFERROR(__xludf.DUMMYFUNCTION("""COMPUTED_VALUE"""),46264.0)</f>
        <v>46264</v>
      </c>
      <c r="C12" s="50" t="str">
        <f>IFERROR(__xludf.DUMMYFUNCTION("""COMPUTED_VALUE"""),"Glotex Solutions Pvt. Ltd.")</f>
        <v>Glotex Solutions Pvt. Ltd.</v>
      </c>
      <c r="D12" s="50" t="str">
        <f>IFERROR(__xludf.DUMMYFUNCTION("""COMPUTED_VALUE"""),"Zahid Rais (Sr. Manager-Sales)")</f>
        <v>Zahid Rais (Sr. Manager-Sales)</v>
      </c>
      <c r="E12" s="50" t="str">
        <f>IFERROR(__xludf.DUMMYFUNCTION("""COMPUTED_VALUE"""),"9212302986")</f>
        <v>9212302986</v>
      </c>
      <c r="F12" s="50" t="str">
        <f>IFERROR(__xludf.DUMMYFUNCTION("""COMPUTED_VALUE"""),"sales3@glotexinc.com")</f>
        <v>sales3@glotexinc.com</v>
      </c>
      <c r="G12" s="50" t="str">
        <f>IFERROR(__xludf.DUMMYFUNCTION("""COMPUTED_VALUE"""),"Vadodara")</f>
        <v>Vadodara</v>
      </c>
      <c r="H12" s="50" t="str">
        <f>IFERROR(__xludf.DUMMYFUNCTION("""COMPUTED_VALUE"""),"India")</f>
        <v>India</v>
      </c>
      <c r="I12" s="50" t="str">
        <f>IFERROR(__xludf.DUMMYFUNCTION("""COMPUTED_VALUE"""),"India")</f>
        <v>India</v>
      </c>
      <c r="J12" s="50" t="str">
        <f>IFERROR(__xludf.DUMMYFUNCTION("""COMPUTED_VALUE"""),"Service")</f>
        <v>Service</v>
      </c>
      <c r="K12" s="50" t="str">
        <f>IFERROR(__xludf.DUMMYFUNCTION("""COMPUTED_VALUE"""),"Manufacturing")</f>
        <v>Manufacturing</v>
      </c>
      <c r="L12" s="50" t="str">
        <f>IFERROR(__xludf.DUMMYFUNCTION("""COMPUTED_VALUE"""),"Manufacturing")</f>
        <v>Manufacturing</v>
      </c>
      <c r="M12" s="50"/>
      <c r="N12" s="50" t="str">
        <f>IFERROR(__xludf.DUMMYFUNCTION("""COMPUTED_VALUE"""),"Event/Expo")</f>
        <v>Event/Expo</v>
      </c>
      <c r="O12" s="50" t="str">
        <f>IFERROR(__xludf.DUMMYFUNCTION("""COMPUTED_VALUE"""),"Aastha")</f>
        <v>Aastha</v>
      </c>
      <c r="P12" s="50" t="str">
        <f>IFERROR(__xludf.DUMMYFUNCTION("""COMPUTED_VALUE"""),"Cold")</f>
        <v>Cold</v>
      </c>
      <c r="Q12" s="50" t="str">
        <f>IFERROR(__xludf.DUMMYFUNCTION("""COMPUTED_VALUE"""),"New")</f>
        <v>New</v>
      </c>
      <c r="R12" s="50" t="str">
        <f>IFERROR(__xludf.DUMMYFUNCTION("""COMPUTED_VALUE"""),"Not Started")</f>
        <v>Not Started</v>
      </c>
      <c r="S12" s="50"/>
      <c r="T12" s="50"/>
      <c r="U12" s="50" t="str">
        <f>IFERROR(__xludf.DUMMYFUNCTION("""COMPUTED_VALUE"""),"Not Scheduled")</f>
        <v>Not Scheduled</v>
      </c>
      <c r="V12" s="50"/>
      <c r="W12" s="50"/>
      <c r="X12" s="50"/>
      <c r="Y12" s="50"/>
      <c r="Z12" s="50"/>
      <c r="AA12" s="50">
        <f>IFERROR(__xludf.DUMMYFUNCTION("""COMPUTED_VALUE"""),0.0)</f>
        <v>0</v>
      </c>
      <c r="AB12" s="50"/>
      <c r="AC12" s="50"/>
      <c r="AD12" s="50"/>
    </row>
    <row r="13">
      <c r="A13" s="50">
        <f>IFERROR(__xludf.DUMMYFUNCTION("""COMPUTED_VALUE"""),48.0)</f>
        <v>48</v>
      </c>
      <c r="B13" s="51">
        <f>IFERROR(__xludf.DUMMYFUNCTION("""COMPUTED_VALUE"""),46264.0)</f>
        <v>46264</v>
      </c>
      <c r="C13" s="50" t="str">
        <f>IFERROR(__xludf.DUMMYFUNCTION("""COMPUTED_VALUE"""),"Madhav Plastomech Pvt. Ltd.")</f>
        <v>Madhav Plastomech Pvt. Ltd.</v>
      </c>
      <c r="D13" s="50" t="str">
        <f>IFERROR(__xludf.DUMMYFUNCTION("""COMPUTED_VALUE"""),"Perish Nasit (Sales Executive)")</f>
        <v>Perish Nasit (Sales Executive)</v>
      </c>
      <c r="E13" s="50" t="str">
        <f>IFERROR(__xludf.DUMMYFUNCTION("""COMPUTED_VALUE"""),"9879252126")</f>
        <v>9879252126</v>
      </c>
      <c r="F13" s="50" t="str">
        <f>IFERROR(__xludf.DUMMYFUNCTION("""COMPUTED_VALUE"""),"sales@madhavplastomech.com")</f>
        <v>sales@madhavplastomech.com</v>
      </c>
      <c r="G13" s="50" t="str">
        <f>IFERROR(__xludf.DUMMYFUNCTION("""COMPUTED_VALUE"""),"Ahmedabad")</f>
        <v>Ahmedabad</v>
      </c>
      <c r="H13" s="50" t="str">
        <f>IFERROR(__xludf.DUMMYFUNCTION("""COMPUTED_VALUE"""),"India")</f>
        <v>India</v>
      </c>
      <c r="I13" s="50" t="str">
        <f>IFERROR(__xludf.DUMMYFUNCTION("""COMPUTED_VALUE"""),"India")</f>
        <v>India</v>
      </c>
      <c r="J13" s="50" t="str">
        <f>IFERROR(__xludf.DUMMYFUNCTION("""COMPUTED_VALUE"""),"Service")</f>
        <v>Service</v>
      </c>
      <c r="K13" s="50" t="str">
        <f>IFERROR(__xludf.DUMMYFUNCTION("""COMPUTED_VALUE"""),"Manufacturing")</f>
        <v>Manufacturing</v>
      </c>
      <c r="L13" s="50" t="str">
        <f>IFERROR(__xludf.DUMMYFUNCTION("""COMPUTED_VALUE"""),"Manufacturing")</f>
        <v>Manufacturing</v>
      </c>
      <c r="M13" s="50"/>
      <c r="N13" s="50" t="str">
        <f>IFERROR(__xludf.DUMMYFUNCTION("""COMPUTED_VALUE"""),"Event/Expo")</f>
        <v>Event/Expo</v>
      </c>
      <c r="O13" s="50" t="str">
        <f>IFERROR(__xludf.DUMMYFUNCTION("""COMPUTED_VALUE"""),"Aastha")</f>
        <v>Aastha</v>
      </c>
      <c r="P13" s="50" t="str">
        <f>IFERROR(__xludf.DUMMYFUNCTION("""COMPUTED_VALUE"""),"Cold")</f>
        <v>Cold</v>
      </c>
      <c r="Q13" s="50" t="str">
        <f>IFERROR(__xludf.DUMMYFUNCTION("""COMPUTED_VALUE"""),"New")</f>
        <v>New</v>
      </c>
      <c r="R13" s="50" t="str">
        <f>IFERROR(__xludf.DUMMYFUNCTION("""COMPUTED_VALUE"""),"Not Started")</f>
        <v>Not Started</v>
      </c>
      <c r="S13" s="50"/>
      <c r="T13" s="50"/>
      <c r="U13" s="50" t="str">
        <f>IFERROR(__xludf.DUMMYFUNCTION("""COMPUTED_VALUE"""),"Not Scheduled")</f>
        <v>Not Scheduled</v>
      </c>
      <c r="V13" s="50"/>
      <c r="W13" s="50"/>
      <c r="X13" s="50"/>
      <c r="Y13" s="50"/>
      <c r="Z13" s="50"/>
      <c r="AA13" s="50">
        <f>IFERROR(__xludf.DUMMYFUNCTION("""COMPUTED_VALUE"""),0.0)</f>
        <v>0</v>
      </c>
      <c r="AB13" s="50"/>
      <c r="AC13" s="50"/>
      <c r="AD13" s="50"/>
    </row>
    <row r="14">
      <c r="A14" s="50">
        <f>IFERROR(__xludf.DUMMYFUNCTION("""COMPUTED_VALUE"""),52.0)</f>
        <v>52</v>
      </c>
      <c r="B14" s="51">
        <f>IFERROR(__xludf.DUMMYFUNCTION("""COMPUTED_VALUE"""),46264.0)</f>
        <v>46264</v>
      </c>
      <c r="C14" s="50" t="str">
        <f>IFERROR(__xludf.DUMMYFUNCTION("""COMPUTED_VALUE"""),"Ramdoot Packaging")</f>
        <v>Ramdoot Packaging</v>
      </c>
      <c r="D14" s="50" t="str">
        <f>IFERROR(__xludf.DUMMYFUNCTION("""COMPUTED_VALUE"""),"Design Team")</f>
        <v>Design Team</v>
      </c>
      <c r="E14" s="50" t="str">
        <f>IFERROR(__xludf.DUMMYFUNCTION("""COMPUTED_VALUE"""),"9601349884; 8238139002")</f>
        <v>9601349884; 8238139002</v>
      </c>
      <c r="F14" s="50" t="str">
        <f>IFERROR(__xludf.DUMMYFUNCTION("""COMPUTED_VALUE"""),"ramdootpackaging@gmail.com")</f>
        <v>ramdootpackaging@gmail.com</v>
      </c>
      <c r="G14" s="50" t="str">
        <f>IFERROR(__xludf.DUMMYFUNCTION("""COMPUTED_VALUE"""),"Kalol")</f>
        <v>Kalol</v>
      </c>
      <c r="H14" s="50" t="str">
        <f>IFERROR(__xludf.DUMMYFUNCTION("""COMPUTED_VALUE"""),"India")</f>
        <v>India</v>
      </c>
      <c r="I14" s="50" t="str">
        <f>IFERROR(__xludf.DUMMYFUNCTION("""COMPUTED_VALUE"""),"India")</f>
        <v>India</v>
      </c>
      <c r="J14" s="50" t="str">
        <f>IFERROR(__xludf.DUMMYFUNCTION("""COMPUTED_VALUE"""),"Service")</f>
        <v>Service</v>
      </c>
      <c r="K14" s="50" t="str">
        <f>IFERROR(__xludf.DUMMYFUNCTION("""COMPUTED_VALUE"""),"Manufacturing")</f>
        <v>Manufacturing</v>
      </c>
      <c r="L14" s="50" t="str">
        <f>IFERROR(__xludf.DUMMYFUNCTION("""COMPUTED_VALUE"""),"Manufacturing")</f>
        <v>Manufacturing</v>
      </c>
      <c r="M14" s="50"/>
      <c r="N14" s="50" t="str">
        <f>IFERROR(__xludf.DUMMYFUNCTION("""COMPUTED_VALUE"""),"Event/Expo")</f>
        <v>Event/Expo</v>
      </c>
      <c r="O14" s="50" t="str">
        <f>IFERROR(__xludf.DUMMYFUNCTION("""COMPUTED_VALUE"""),"Aastha")</f>
        <v>Aastha</v>
      </c>
      <c r="P14" s="50" t="str">
        <f>IFERROR(__xludf.DUMMYFUNCTION("""COMPUTED_VALUE"""),"Cold")</f>
        <v>Cold</v>
      </c>
      <c r="Q14" s="50" t="str">
        <f>IFERROR(__xludf.DUMMYFUNCTION("""COMPUTED_VALUE"""),"New")</f>
        <v>New</v>
      </c>
      <c r="R14" s="50" t="str">
        <f>IFERROR(__xludf.DUMMYFUNCTION("""COMPUTED_VALUE"""),"Not Started")</f>
        <v>Not Started</v>
      </c>
      <c r="S14" s="50"/>
      <c r="T14" s="50"/>
      <c r="U14" s="50" t="str">
        <f>IFERROR(__xludf.DUMMYFUNCTION("""COMPUTED_VALUE"""),"Not Scheduled")</f>
        <v>Not Scheduled</v>
      </c>
      <c r="V14" s="50"/>
      <c r="W14" s="50"/>
      <c r="X14" s="50"/>
      <c r="Y14" s="50"/>
      <c r="Z14" s="50"/>
      <c r="AA14" s="50">
        <f>IFERROR(__xludf.DUMMYFUNCTION("""COMPUTED_VALUE"""),0.0)</f>
        <v>0</v>
      </c>
      <c r="AB14" s="50"/>
      <c r="AC14" s="50"/>
      <c r="AD14" s="50"/>
    </row>
    <row r="15">
      <c r="A15" s="50">
        <f>IFERROR(__xludf.DUMMYFUNCTION("""COMPUTED_VALUE"""),57.0)</f>
        <v>57</v>
      </c>
      <c r="B15" s="51">
        <f>IFERROR(__xludf.DUMMYFUNCTION("""COMPUTED_VALUE"""),46267.0)</f>
        <v>46267</v>
      </c>
      <c r="C15" s="50" t="str">
        <f>IFERROR(__xludf.DUMMYFUNCTION("""COMPUTED_VALUE"""),"iSiemens Industries Private Limited")</f>
        <v>iSiemens Industries Private Limited</v>
      </c>
      <c r="D15" s="50" t="str">
        <f>IFERROR(__xludf.DUMMYFUNCTION("""COMPUTED_VALUE"""),"Ritu Patel (Sales Executive)")</f>
        <v>Ritu Patel (Sales Executive)</v>
      </c>
      <c r="E15" s="50" t="str">
        <f>IFERROR(__xludf.DUMMYFUNCTION("""COMPUTED_VALUE"""),"9898497526")</f>
        <v>9898497526</v>
      </c>
      <c r="F15" s="50" t="str">
        <f>IFERROR(__xludf.DUMMYFUNCTION("""COMPUTED_VALUE"""),"salesisiemensahmedabad@gmail.com")</f>
        <v>salesisiemensahmedabad@gmail.com</v>
      </c>
      <c r="G15" s="50" t="str">
        <f>IFERROR(__xludf.DUMMYFUNCTION("""COMPUTED_VALUE"""),"Ahmedabad")</f>
        <v>Ahmedabad</v>
      </c>
      <c r="H15" s="50" t="str">
        <f>IFERROR(__xludf.DUMMYFUNCTION("""COMPUTED_VALUE"""),"India")</f>
        <v>India</v>
      </c>
      <c r="I15" s="50" t="str">
        <f>IFERROR(__xludf.DUMMYFUNCTION("""COMPUTED_VALUE"""),"India")</f>
        <v>India</v>
      </c>
      <c r="J15" s="50" t="str">
        <f>IFERROR(__xludf.DUMMYFUNCTION("""COMPUTED_VALUE"""),"Service")</f>
        <v>Service</v>
      </c>
      <c r="K15" s="50" t="str">
        <f>IFERROR(__xludf.DUMMYFUNCTION("""COMPUTED_VALUE"""),"Manufacturing")</f>
        <v>Manufacturing</v>
      </c>
      <c r="L15" s="50" t="str">
        <f>IFERROR(__xludf.DUMMYFUNCTION("""COMPUTED_VALUE"""),"Manufacturing")</f>
        <v>Manufacturing</v>
      </c>
      <c r="M15" s="50"/>
      <c r="N15" s="50" t="str">
        <f>IFERROR(__xludf.DUMMYFUNCTION("""COMPUTED_VALUE"""),"Event/Expo")</f>
        <v>Event/Expo</v>
      </c>
      <c r="O15" s="50" t="str">
        <f>IFERROR(__xludf.DUMMYFUNCTION("""COMPUTED_VALUE"""),"Aastha")</f>
        <v>Aastha</v>
      </c>
      <c r="P15" s="50" t="str">
        <f>IFERROR(__xludf.DUMMYFUNCTION("""COMPUTED_VALUE"""),"Cold")</f>
        <v>Cold</v>
      </c>
      <c r="Q15" s="50" t="str">
        <f>IFERROR(__xludf.DUMMYFUNCTION("""COMPUTED_VALUE"""),"New")</f>
        <v>New</v>
      </c>
      <c r="R15" s="50" t="str">
        <f>IFERROR(__xludf.DUMMYFUNCTION("""COMPUTED_VALUE"""),"Not Started")</f>
        <v>Not Started</v>
      </c>
      <c r="S15" s="50"/>
      <c r="T15" s="50"/>
      <c r="U15" s="50" t="str">
        <f>IFERROR(__xludf.DUMMYFUNCTION("""COMPUTED_VALUE"""),"Not Scheduled")</f>
        <v>Not Scheduled</v>
      </c>
      <c r="V15" s="50"/>
      <c r="W15" s="50"/>
      <c r="X15" s="50"/>
      <c r="Y15" s="50"/>
      <c r="Z15" s="50"/>
      <c r="AA15" s="50">
        <f>IFERROR(__xludf.DUMMYFUNCTION("""COMPUTED_VALUE"""),0.0)</f>
        <v>0</v>
      </c>
      <c r="AB15" s="50"/>
      <c r="AC15" s="50"/>
      <c r="AD15" s="50"/>
    </row>
    <row r="16">
      <c r="A16" s="50">
        <f>IFERROR(__xludf.DUMMYFUNCTION("""COMPUTED_VALUE"""),58.0)</f>
        <v>58</v>
      </c>
      <c r="B16" s="51">
        <f>IFERROR(__xludf.DUMMYFUNCTION("""COMPUTED_VALUE"""),46267.0)</f>
        <v>46267</v>
      </c>
      <c r="C16" s="50" t="str">
        <f>IFERROR(__xludf.DUMMYFUNCTION("""COMPUTED_VALUE"""),"The Food's Life (TFL) / United Nutritions")</f>
        <v>The Food's Life (TFL) / United Nutritions</v>
      </c>
      <c r="D16" s="50" t="str">
        <f>IFERROR(__xludf.DUMMYFUNCTION("""COMPUTED_VALUE"""),"Mr. Vishal Prajapati (BDE)")</f>
        <v>Mr. Vishal Prajapati (BDE)</v>
      </c>
      <c r="E16" s="50" t="str">
        <f>IFERROR(__xludf.DUMMYFUNCTION("""COMPUTED_VALUE"""),"6352807509")</f>
        <v>6352807509</v>
      </c>
      <c r="F16" s="50" t="str">
        <f>IFERROR(__xludf.DUMMYFUNCTION("""COMPUTED_VALUE"""),"info.thefoodslife@gmail.com")</f>
        <v>info.thefoodslife@gmail.com</v>
      </c>
      <c r="G16" s="50" t="str">
        <f>IFERROR(__xludf.DUMMYFUNCTION("""COMPUTED_VALUE"""),"Vadodara")</f>
        <v>Vadodara</v>
      </c>
      <c r="H16" s="50" t="str">
        <f>IFERROR(__xludf.DUMMYFUNCTION("""COMPUTED_VALUE"""),"India")</f>
        <v>India</v>
      </c>
      <c r="I16" s="50" t="str">
        <f>IFERROR(__xludf.DUMMYFUNCTION("""COMPUTED_VALUE"""),"India")</f>
        <v>India</v>
      </c>
      <c r="J16" s="50" t="str">
        <f>IFERROR(__xludf.DUMMYFUNCTION("""COMPUTED_VALUE"""),"Service")</f>
        <v>Service</v>
      </c>
      <c r="K16" s="50" t="str">
        <f>IFERROR(__xludf.DUMMYFUNCTION("""COMPUTED_VALUE"""),"Manufacturing")</f>
        <v>Manufacturing</v>
      </c>
      <c r="L16" s="50" t="str">
        <f>IFERROR(__xludf.DUMMYFUNCTION("""COMPUTED_VALUE"""),"Manufacturing")</f>
        <v>Manufacturing</v>
      </c>
      <c r="M16" s="50"/>
      <c r="N16" s="50" t="str">
        <f>IFERROR(__xludf.DUMMYFUNCTION("""COMPUTED_VALUE"""),"Event/Expo")</f>
        <v>Event/Expo</v>
      </c>
      <c r="O16" s="50" t="str">
        <f>IFERROR(__xludf.DUMMYFUNCTION("""COMPUTED_VALUE"""),"Aastha")</f>
        <v>Aastha</v>
      </c>
      <c r="P16" s="50" t="str">
        <f>IFERROR(__xludf.DUMMYFUNCTION("""COMPUTED_VALUE"""),"Cold")</f>
        <v>Cold</v>
      </c>
      <c r="Q16" s="50" t="str">
        <f>IFERROR(__xludf.DUMMYFUNCTION("""COMPUTED_VALUE"""),"New")</f>
        <v>New</v>
      </c>
      <c r="R16" s="50" t="str">
        <f>IFERROR(__xludf.DUMMYFUNCTION("""COMPUTED_VALUE"""),"Not Started")</f>
        <v>Not Started</v>
      </c>
      <c r="S16" s="50"/>
      <c r="T16" s="50"/>
      <c r="U16" s="50" t="str">
        <f>IFERROR(__xludf.DUMMYFUNCTION("""COMPUTED_VALUE"""),"Not Scheduled")</f>
        <v>Not Scheduled</v>
      </c>
      <c r="V16" s="50"/>
      <c r="W16" s="50"/>
      <c r="X16" s="50"/>
      <c r="Y16" s="50"/>
      <c r="Z16" s="50"/>
      <c r="AA16" s="50">
        <f>IFERROR(__xludf.DUMMYFUNCTION("""COMPUTED_VALUE"""),0.0)</f>
        <v>0</v>
      </c>
      <c r="AB16" s="50"/>
      <c r="AC16" s="50"/>
      <c r="AD16" s="50"/>
    </row>
    <row r="17">
      <c r="A17" s="50">
        <f>IFERROR(__xludf.DUMMYFUNCTION("""COMPUTED_VALUE"""),61.0)</f>
        <v>61</v>
      </c>
      <c r="B17" s="51">
        <f>IFERROR(__xludf.DUMMYFUNCTION("""COMPUTED_VALUE"""),46267.0)</f>
        <v>46267</v>
      </c>
      <c r="C17" s="50" t="str">
        <f>IFERROR(__xludf.DUMMYFUNCTION("""COMPUTED_VALUE"""),"JP Enterprise")</f>
        <v>JP Enterprise</v>
      </c>
      <c r="D17" s="50" t="str">
        <f>IFERROR(__xludf.DUMMYFUNCTION("""COMPUTED_VALUE"""),"Jatin Patel")</f>
        <v>Jatin Patel</v>
      </c>
      <c r="E17" s="50" t="str">
        <f>IFERROR(__xludf.DUMMYFUNCTION("""COMPUTED_VALUE"""),"7600825011")</f>
        <v>7600825011</v>
      </c>
      <c r="F17" s="50" t="str">
        <f>IFERROR(__xludf.DUMMYFUNCTION("""COMPUTED_VALUE"""),"jatinpatel3187@gmail.com")</f>
        <v>jatinpatel3187@gmail.com</v>
      </c>
      <c r="G17" s="50" t="str">
        <f>IFERROR(__xludf.DUMMYFUNCTION("""COMPUTED_VALUE"""),"Ahmedabad / Chhatral")</f>
        <v>Ahmedabad / Chhatral</v>
      </c>
      <c r="H17" s="50" t="str">
        <f>IFERROR(__xludf.DUMMYFUNCTION("""COMPUTED_VALUE"""),"India")</f>
        <v>India</v>
      </c>
      <c r="I17" s="50" t="str">
        <f>IFERROR(__xludf.DUMMYFUNCTION("""COMPUTED_VALUE"""),"India")</f>
        <v>India</v>
      </c>
      <c r="J17" s="50" t="str">
        <f>IFERROR(__xludf.DUMMYFUNCTION("""COMPUTED_VALUE"""),"Service")</f>
        <v>Service</v>
      </c>
      <c r="K17" s="50" t="str">
        <f>IFERROR(__xludf.DUMMYFUNCTION("""COMPUTED_VALUE"""),"Manufacturing")</f>
        <v>Manufacturing</v>
      </c>
      <c r="L17" s="50" t="str">
        <f>IFERROR(__xludf.DUMMYFUNCTION("""COMPUTED_VALUE"""),"Manufacturing")</f>
        <v>Manufacturing</v>
      </c>
      <c r="M17" s="50"/>
      <c r="N17" s="50" t="str">
        <f>IFERROR(__xludf.DUMMYFUNCTION("""COMPUTED_VALUE"""),"Event/Expo")</f>
        <v>Event/Expo</v>
      </c>
      <c r="O17" s="50" t="str">
        <f>IFERROR(__xludf.DUMMYFUNCTION("""COMPUTED_VALUE"""),"Aastha")</f>
        <v>Aastha</v>
      </c>
      <c r="P17" s="50" t="str">
        <f>IFERROR(__xludf.DUMMYFUNCTION("""COMPUTED_VALUE"""),"Cold")</f>
        <v>Cold</v>
      </c>
      <c r="Q17" s="50" t="str">
        <f>IFERROR(__xludf.DUMMYFUNCTION("""COMPUTED_VALUE"""),"New")</f>
        <v>New</v>
      </c>
      <c r="R17" s="50" t="str">
        <f>IFERROR(__xludf.DUMMYFUNCTION("""COMPUTED_VALUE"""),"Not Started")</f>
        <v>Not Started</v>
      </c>
      <c r="S17" s="50"/>
      <c r="T17" s="50"/>
      <c r="U17" s="50" t="str">
        <f>IFERROR(__xludf.DUMMYFUNCTION("""COMPUTED_VALUE"""),"Not Scheduled")</f>
        <v>Not Scheduled</v>
      </c>
      <c r="V17" s="50"/>
      <c r="W17" s="50"/>
      <c r="X17" s="50"/>
      <c r="Y17" s="50"/>
      <c r="Z17" s="50"/>
      <c r="AA17" s="50">
        <f>IFERROR(__xludf.DUMMYFUNCTION("""COMPUTED_VALUE"""),0.0)</f>
        <v>0</v>
      </c>
      <c r="AB17" s="50"/>
      <c r="AC17" s="50"/>
      <c r="AD17" s="50"/>
    </row>
    <row r="18">
      <c r="A18" s="50">
        <f>IFERROR(__xludf.DUMMYFUNCTION("""COMPUTED_VALUE"""),62.0)</f>
        <v>62</v>
      </c>
      <c r="B18" s="51">
        <f>IFERROR(__xludf.DUMMYFUNCTION("""COMPUTED_VALUE"""),46267.0)</f>
        <v>46267</v>
      </c>
      <c r="C18" s="50" t="str">
        <f>IFERROR(__xludf.DUMMYFUNCTION("""COMPUTED_VALUE"""),"Newtech Engineers")</f>
        <v>Newtech Engineers</v>
      </c>
      <c r="D18" s="50" t="str">
        <f>IFERROR(__xludf.DUMMYFUNCTION("""COMPUTED_VALUE"""),"Siddharth Panchal / Narambhai Panchal")</f>
        <v>Siddharth Panchal / Narambhai Panchal</v>
      </c>
      <c r="E18" s="50" t="str">
        <f>IFERROR(__xludf.DUMMYFUNCTION("""COMPUTED_VALUE"""),"8740814449; 9998678321; 9988217647")</f>
        <v>8740814449; 9998678321; 9988217647</v>
      </c>
      <c r="F18" s="50" t="str">
        <f>IFERROR(__xludf.DUMMYFUNCTION("""COMPUTED_VALUE"""),"sales@newtechfurniture.com")</f>
        <v>sales@newtechfurniture.com</v>
      </c>
      <c r="G18" s="50" t="str">
        <f>IFERROR(__xludf.DUMMYFUNCTION("""COMPUTED_VALUE"""),"Vadodara")</f>
        <v>Vadodara</v>
      </c>
      <c r="H18" s="50" t="str">
        <f>IFERROR(__xludf.DUMMYFUNCTION("""COMPUTED_VALUE"""),"India")</f>
        <v>India</v>
      </c>
      <c r="I18" s="50" t="str">
        <f>IFERROR(__xludf.DUMMYFUNCTION("""COMPUTED_VALUE"""),"India")</f>
        <v>India</v>
      </c>
      <c r="J18" s="50" t="str">
        <f>IFERROR(__xludf.DUMMYFUNCTION("""COMPUTED_VALUE"""),"Service")</f>
        <v>Service</v>
      </c>
      <c r="K18" s="50" t="str">
        <f>IFERROR(__xludf.DUMMYFUNCTION("""COMPUTED_VALUE"""),"Manufacturing")</f>
        <v>Manufacturing</v>
      </c>
      <c r="L18" s="50" t="str">
        <f>IFERROR(__xludf.DUMMYFUNCTION("""COMPUTED_VALUE"""),"Manufacturing")</f>
        <v>Manufacturing</v>
      </c>
      <c r="M18" s="50"/>
      <c r="N18" s="50" t="str">
        <f>IFERROR(__xludf.DUMMYFUNCTION("""COMPUTED_VALUE"""),"Event/Expo")</f>
        <v>Event/Expo</v>
      </c>
      <c r="O18" s="50" t="str">
        <f>IFERROR(__xludf.DUMMYFUNCTION("""COMPUTED_VALUE"""),"Aastha")</f>
        <v>Aastha</v>
      </c>
      <c r="P18" s="50" t="str">
        <f>IFERROR(__xludf.DUMMYFUNCTION("""COMPUTED_VALUE"""),"Cold")</f>
        <v>Cold</v>
      </c>
      <c r="Q18" s="50" t="str">
        <f>IFERROR(__xludf.DUMMYFUNCTION("""COMPUTED_VALUE"""),"New")</f>
        <v>New</v>
      </c>
      <c r="R18" s="50" t="str">
        <f>IFERROR(__xludf.DUMMYFUNCTION("""COMPUTED_VALUE"""),"Not Started")</f>
        <v>Not Started</v>
      </c>
      <c r="S18" s="50"/>
      <c r="T18" s="50"/>
      <c r="U18" s="50" t="str">
        <f>IFERROR(__xludf.DUMMYFUNCTION("""COMPUTED_VALUE"""),"Not Scheduled")</f>
        <v>Not Scheduled</v>
      </c>
      <c r="V18" s="50"/>
      <c r="W18" s="50"/>
      <c r="X18" s="50"/>
      <c r="Y18" s="50"/>
      <c r="Z18" s="50"/>
      <c r="AA18" s="50">
        <f>IFERROR(__xludf.DUMMYFUNCTION("""COMPUTED_VALUE"""),0.0)</f>
        <v>0</v>
      </c>
      <c r="AB18" s="50"/>
      <c r="AC18" s="50"/>
      <c r="AD18" s="50"/>
    </row>
    <row r="19">
      <c r="A19" s="50">
        <f>IFERROR(__xludf.DUMMYFUNCTION("""COMPUTED_VALUE"""),65.0)</f>
        <v>65</v>
      </c>
      <c r="B19" s="51">
        <f>IFERROR(__xludf.DUMMYFUNCTION("""COMPUTED_VALUE"""),46267.0)</f>
        <v>46267</v>
      </c>
      <c r="C19" s="50" t="str">
        <f>IFERROR(__xludf.DUMMYFUNCTION("""COMPUTED_VALUE"""),"Fabi Iron Engineers Pvt. Ltd.")</f>
        <v>Fabi Iron Engineers Pvt. Ltd.</v>
      </c>
      <c r="D19" s="50" t="str">
        <f>IFERROR(__xludf.DUMMYFUNCTION("""COMPUTED_VALUE"""),"Adarsh Dudhat (Director) / Vinubhai Dudhat (Director)")</f>
        <v>Adarsh Dudhat (Director) / Vinubhai Dudhat (Director)</v>
      </c>
      <c r="E19" s="50" t="str">
        <f>IFERROR(__xludf.DUMMYFUNCTION("""COMPUTED_VALUE"""),"9712122320; 825049949")</f>
        <v>9712122320; 825049949</v>
      </c>
      <c r="F19" s="50" t="str">
        <f>IFERROR(__xludf.DUMMYFUNCTION("""COMPUTED_VALUE"""),"fabiron@yahoo.com")</f>
        <v>fabiron@yahoo.com</v>
      </c>
      <c r="G19" s="50" t="str">
        <f>IFERROR(__xludf.DUMMYFUNCTION("""COMPUTED_VALUE"""),"Ahmedabad")</f>
        <v>Ahmedabad</v>
      </c>
      <c r="H19" s="50" t="str">
        <f>IFERROR(__xludf.DUMMYFUNCTION("""COMPUTED_VALUE"""),"India")</f>
        <v>India</v>
      </c>
      <c r="I19" s="50" t="str">
        <f>IFERROR(__xludf.DUMMYFUNCTION("""COMPUTED_VALUE"""),"India")</f>
        <v>India</v>
      </c>
      <c r="J19" s="50" t="str">
        <f>IFERROR(__xludf.DUMMYFUNCTION("""COMPUTED_VALUE"""),"Service")</f>
        <v>Service</v>
      </c>
      <c r="K19" s="50" t="str">
        <f>IFERROR(__xludf.DUMMYFUNCTION("""COMPUTED_VALUE"""),"Manufacturing")</f>
        <v>Manufacturing</v>
      </c>
      <c r="L19" s="50" t="str">
        <f>IFERROR(__xludf.DUMMYFUNCTION("""COMPUTED_VALUE"""),"Manufacturing")</f>
        <v>Manufacturing</v>
      </c>
      <c r="M19" s="50"/>
      <c r="N19" s="50" t="str">
        <f>IFERROR(__xludf.DUMMYFUNCTION("""COMPUTED_VALUE"""),"Event/Expo")</f>
        <v>Event/Expo</v>
      </c>
      <c r="O19" s="50" t="str">
        <f>IFERROR(__xludf.DUMMYFUNCTION("""COMPUTED_VALUE"""),"Aastha")</f>
        <v>Aastha</v>
      </c>
      <c r="P19" s="50" t="str">
        <f>IFERROR(__xludf.DUMMYFUNCTION("""COMPUTED_VALUE"""),"Cold")</f>
        <v>Cold</v>
      </c>
      <c r="Q19" s="50" t="str">
        <f>IFERROR(__xludf.DUMMYFUNCTION("""COMPUTED_VALUE"""),"New")</f>
        <v>New</v>
      </c>
      <c r="R19" s="50" t="str">
        <f>IFERROR(__xludf.DUMMYFUNCTION("""COMPUTED_VALUE"""),"Not Started")</f>
        <v>Not Started</v>
      </c>
      <c r="S19" s="50"/>
      <c r="T19" s="50"/>
      <c r="U19" s="50" t="str">
        <f>IFERROR(__xludf.DUMMYFUNCTION("""COMPUTED_VALUE"""),"Not Scheduled")</f>
        <v>Not Scheduled</v>
      </c>
      <c r="V19" s="50"/>
      <c r="W19" s="50"/>
      <c r="X19" s="50"/>
      <c r="Y19" s="50"/>
      <c r="Z19" s="50"/>
      <c r="AA19" s="50">
        <f>IFERROR(__xludf.DUMMYFUNCTION("""COMPUTED_VALUE"""),0.0)</f>
        <v>0</v>
      </c>
      <c r="AB19" s="50"/>
      <c r="AC19" s="50"/>
      <c r="AD19" s="50"/>
    </row>
    <row r="20">
      <c r="A20" s="50">
        <f>IFERROR(__xludf.DUMMYFUNCTION("""COMPUTED_VALUE"""),66.0)</f>
        <v>66</v>
      </c>
      <c r="B20" s="51">
        <f>IFERROR(__xludf.DUMMYFUNCTION("""COMPUTED_VALUE"""),46267.0)</f>
        <v>46267</v>
      </c>
      <c r="C20" s="50" t="str">
        <f>IFERROR(__xludf.DUMMYFUNCTION("""COMPUTED_VALUE"""),"JP Perfumery Works Private Limited")</f>
        <v>JP Perfumery Works Private Limited</v>
      </c>
      <c r="D20" s="50" t="str">
        <f>IFERROR(__xludf.DUMMYFUNCTION("""COMPUTED_VALUE"""),"Haresh K. Buddhdev / Hardik H. Buddhdev / Akash H. Buddhdev / Yash H. Buddhdev")</f>
        <v>Haresh K. Buddhdev / Hardik H. Buddhdev / Akash H. Buddhdev / Yash H. Buddhdev</v>
      </c>
      <c r="E20" s="50" t="str">
        <f>IFERROR(__xludf.DUMMYFUNCTION("""COMPUTED_VALUE"""),"93759 27106; 9974402605; 9825746462; 9428242724")</f>
        <v>93759 27106; 9974402605; 9825746462; 9428242724</v>
      </c>
      <c r="F20" s="50" t="str">
        <f>IFERROR(__xludf.DUMMYFUNCTION("""COMPUTED_VALUE"""),"info@jpperfumery.com")</f>
        <v>info@jpperfumery.com</v>
      </c>
      <c r="G20" s="50" t="str">
        <f>IFERROR(__xludf.DUMMYFUNCTION("""COMPUTED_VALUE"""),"Vadodara")</f>
        <v>Vadodara</v>
      </c>
      <c r="H20" s="50" t="str">
        <f>IFERROR(__xludf.DUMMYFUNCTION("""COMPUTED_VALUE"""),"India")</f>
        <v>India</v>
      </c>
      <c r="I20" s="50" t="str">
        <f>IFERROR(__xludf.DUMMYFUNCTION("""COMPUTED_VALUE"""),"India")</f>
        <v>India</v>
      </c>
      <c r="J20" s="50" t="str">
        <f>IFERROR(__xludf.DUMMYFUNCTION("""COMPUTED_VALUE"""),"Service")</f>
        <v>Service</v>
      </c>
      <c r="K20" s="50" t="str">
        <f>IFERROR(__xludf.DUMMYFUNCTION("""COMPUTED_VALUE"""),"Manufacturing")</f>
        <v>Manufacturing</v>
      </c>
      <c r="L20" s="50" t="str">
        <f>IFERROR(__xludf.DUMMYFUNCTION("""COMPUTED_VALUE"""),"Manufacturing")</f>
        <v>Manufacturing</v>
      </c>
      <c r="M20" s="50"/>
      <c r="N20" s="50" t="str">
        <f>IFERROR(__xludf.DUMMYFUNCTION("""COMPUTED_VALUE"""),"Event/Expo")</f>
        <v>Event/Expo</v>
      </c>
      <c r="O20" s="50" t="str">
        <f>IFERROR(__xludf.DUMMYFUNCTION("""COMPUTED_VALUE"""),"Aastha")</f>
        <v>Aastha</v>
      </c>
      <c r="P20" s="50" t="str">
        <f>IFERROR(__xludf.DUMMYFUNCTION("""COMPUTED_VALUE"""),"Cold")</f>
        <v>Cold</v>
      </c>
      <c r="Q20" s="50" t="str">
        <f>IFERROR(__xludf.DUMMYFUNCTION("""COMPUTED_VALUE"""),"New")</f>
        <v>New</v>
      </c>
      <c r="R20" s="50" t="str">
        <f>IFERROR(__xludf.DUMMYFUNCTION("""COMPUTED_VALUE"""),"Not Started")</f>
        <v>Not Started</v>
      </c>
      <c r="S20" s="50"/>
      <c r="T20" s="50"/>
      <c r="U20" s="50" t="str">
        <f>IFERROR(__xludf.DUMMYFUNCTION("""COMPUTED_VALUE"""),"Not Scheduled")</f>
        <v>Not Scheduled</v>
      </c>
      <c r="V20" s="50"/>
      <c r="W20" s="50"/>
      <c r="X20" s="50"/>
      <c r="Y20" s="50"/>
      <c r="Z20" s="50"/>
      <c r="AA20" s="50">
        <f>IFERROR(__xludf.DUMMYFUNCTION("""COMPUTED_VALUE"""),0.0)</f>
        <v>0</v>
      </c>
      <c r="AB20" s="50"/>
      <c r="AC20" s="50"/>
      <c r="AD20" s="50"/>
    </row>
    <row r="21" ht="15.75" customHeight="1">
      <c r="A21" s="50">
        <f>IFERROR(__xludf.DUMMYFUNCTION("""COMPUTED_VALUE"""),67.0)</f>
        <v>67</v>
      </c>
      <c r="B21" s="51">
        <f>IFERROR(__xludf.DUMMYFUNCTION("""COMPUTED_VALUE"""),46267.0)</f>
        <v>46267</v>
      </c>
      <c r="C21" s="50" t="str">
        <f>IFERROR(__xludf.DUMMYFUNCTION("""COMPUTED_VALUE"""),"Notion Electronics Pvt. Ltd.")</f>
        <v>Notion Electronics Pvt. Ltd.</v>
      </c>
      <c r="D21" s="50" t="str">
        <f>IFERROR(__xludf.DUMMYFUNCTION("""COMPUTED_VALUE"""),"Pooja Bhavsar")</f>
        <v>Pooja Bhavsar</v>
      </c>
      <c r="E21" s="50" t="str">
        <f>IFERROR(__xludf.DUMMYFUNCTION("""COMPUTED_VALUE"""),"9512711349; 9824679970; 9727679970; 9825879970")</f>
        <v>9512711349; 9824679970; 9727679970; 9825879970</v>
      </c>
      <c r="F21" s="50" t="str">
        <f>IFERROR(__xludf.DUMMYFUNCTION("""COMPUTED_VALUE"""),"sales@notionelectronics.com")</f>
        <v>sales@notionelectronics.com</v>
      </c>
      <c r="G21" s="50" t="str">
        <f>IFERROR(__xludf.DUMMYFUNCTION("""COMPUTED_VALUE"""),"Ahmedabad")</f>
        <v>Ahmedabad</v>
      </c>
      <c r="H21" s="50" t="str">
        <f>IFERROR(__xludf.DUMMYFUNCTION("""COMPUTED_VALUE"""),"India")</f>
        <v>India</v>
      </c>
      <c r="I21" s="50" t="str">
        <f>IFERROR(__xludf.DUMMYFUNCTION("""COMPUTED_VALUE"""),"India")</f>
        <v>India</v>
      </c>
      <c r="J21" s="50" t="str">
        <f>IFERROR(__xludf.DUMMYFUNCTION("""COMPUTED_VALUE"""),"Service")</f>
        <v>Service</v>
      </c>
      <c r="K21" s="50" t="str">
        <f>IFERROR(__xludf.DUMMYFUNCTION("""COMPUTED_VALUE"""),"Manufacturing")</f>
        <v>Manufacturing</v>
      </c>
      <c r="L21" s="50" t="str">
        <f>IFERROR(__xludf.DUMMYFUNCTION("""COMPUTED_VALUE"""),"Manufacturing")</f>
        <v>Manufacturing</v>
      </c>
      <c r="M21" s="50"/>
      <c r="N21" s="50" t="str">
        <f>IFERROR(__xludf.DUMMYFUNCTION("""COMPUTED_VALUE"""),"Event/Expo")</f>
        <v>Event/Expo</v>
      </c>
      <c r="O21" s="50" t="str">
        <f>IFERROR(__xludf.DUMMYFUNCTION("""COMPUTED_VALUE"""),"Aastha")</f>
        <v>Aastha</v>
      </c>
      <c r="P21" s="50" t="str">
        <f>IFERROR(__xludf.DUMMYFUNCTION("""COMPUTED_VALUE"""),"Cold")</f>
        <v>Cold</v>
      </c>
      <c r="Q21" s="50" t="str">
        <f>IFERROR(__xludf.DUMMYFUNCTION("""COMPUTED_VALUE"""),"New")</f>
        <v>New</v>
      </c>
      <c r="R21" s="50" t="str">
        <f>IFERROR(__xludf.DUMMYFUNCTION("""COMPUTED_VALUE"""),"Not Started")</f>
        <v>Not Started</v>
      </c>
      <c r="S21" s="50"/>
      <c r="T21" s="50"/>
      <c r="U21" s="50" t="str">
        <f>IFERROR(__xludf.DUMMYFUNCTION("""COMPUTED_VALUE"""),"Not Scheduled")</f>
        <v>Not Scheduled</v>
      </c>
      <c r="V21" s="50"/>
      <c r="W21" s="50"/>
      <c r="X21" s="50"/>
      <c r="Y21" s="50"/>
      <c r="Z21" s="50"/>
      <c r="AA21" s="50">
        <f>IFERROR(__xludf.DUMMYFUNCTION("""COMPUTED_VALUE"""),0.0)</f>
        <v>0</v>
      </c>
      <c r="AB21" s="50"/>
      <c r="AC21" s="50"/>
      <c r="AD21" s="50"/>
    </row>
    <row r="22" ht="15.75" customHeight="1">
      <c r="A22" s="50">
        <f>IFERROR(__xludf.DUMMYFUNCTION("""COMPUTED_VALUE"""),68.0)</f>
        <v>68</v>
      </c>
      <c r="B22" s="51">
        <f>IFERROR(__xludf.DUMMYFUNCTION("""COMPUTED_VALUE"""),46267.0)</f>
        <v>46267</v>
      </c>
      <c r="C22" s="50" t="str">
        <f>IFERROR(__xludf.DUMMYFUNCTION("""COMPUTED_VALUE"""),"MPRS Group of Companies")</f>
        <v>MPRS Group of Companies</v>
      </c>
      <c r="D22" s="50" t="str">
        <f>IFERROR(__xludf.DUMMYFUNCTION("""COMPUTED_VALUE"""),"Sapan Shah (Branch Manager)")</f>
        <v>Sapan Shah (Branch Manager)</v>
      </c>
      <c r="E22" s="50" t="str">
        <f>IFERROR(__xludf.DUMMYFUNCTION("""COMPUTED_VALUE"""),"9892365844")</f>
        <v>9892365844</v>
      </c>
      <c r="F22" s="50" t="str">
        <f>IFERROR(__xludf.DUMMYFUNCTION("""COMPUTED_VALUE"""),"sapan.shah@mprshipping.com")</f>
        <v>sapan.shah@mprshipping.com</v>
      </c>
      <c r="G22" s="50" t="str">
        <f>IFERROR(__xludf.DUMMYFUNCTION("""COMPUTED_VALUE"""),"Ahmedabad / Mumbai")</f>
        <v>Ahmedabad / Mumbai</v>
      </c>
      <c r="H22" s="50" t="str">
        <f>IFERROR(__xludf.DUMMYFUNCTION("""COMPUTED_VALUE"""),"India")</f>
        <v>India</v>
      </c>
      <c r="I22" s="50" t="str">
        <f>IFERROR(__xludf.DUMMYFUNCTION("""COMPUTED_VALUE"""),"India")</f>
        <v>India</v>
      </c>
      <c r="J22" s="50" t="str">
        <f>IFERROR(__xludf.DUMMYFUNCTION("""COMPUTED_VALUE"""),"Service")</f>
        <v>Service</v>
      </c>
      <c r="K22" s="50" t="str">
        <f>IFERROR(__xludf.DUMMYFUNCTION("""COMPUTED_VALUE"""),"Manufacturing")</f>
        <v>Manufacturing</v>
      </c>
      <c r="L22" s="50" t="str">
        <f>IFERROR(__xludf.DUMMYFUNCTION("""COMPUTED_VALUE"""),"Manufacturing")</f>
        <v>Manufacturing</v>
      </c>
      <c r="M22" s="50"/>
      <c r="N22" s="50" t="str">
        <f>IFERROR(__xludf.DUMMYFUNCTION("""COMPUTED_VALUE"""),"Event/Expo")</f>
        <v>Event/Expo</v>
      </c>
      <c r="O22" s="50" t="str">
        <f>IFERROR(__xludf.DUMMYFUNCTION("""COMPUTED_VALUE"""),"Aastha")</f>
        <v>Aastha</v>
      </c>
      <c r="P22" s="50" t="str">
        <f>IFERROR(__xludf.DUMMYFUNCTION("""COMPUTED_VALUE"""),"Cold")</f>
        <v>Cold</v>
      </c>
      <c r="Q22" s="50" t="str">
        <f>IFERROR(__xludf.DUMMYFUNCTION("""COMPUTED_VALUE"""),"New")</f>
        <v>New</v>
      </c>
      <c r="R22" s="50" t="str">
        <f>IFERROR(__xludf.DUMMYFUNCTION("""COMPUTED_VALUE"""),"Not Started")</f>
        <v>Not Started</v>
      </c>
      <c r="S22" s="50"/>
      <c r="T22" s="50"/>
      <c r="U22" s="50" t="str">
        <f>IFERROR(__xludf.DUMMYFUNCTION("""COMPUTED_VALUE"""),"Not Scheduled")</f>
        <v>Not Scheduled</v>
      </c>
      <c r="V22" s="50"/>
      <c r="W22" s="50"/>
      <c r="X22" s="50"/>
      <c r="Y22" s="50"/>
      <c r="Z22" s="50"/>
      <c r="AA22" s="50">
        <f>IFERROR(__xludf.DUMMYFUNCTION("""COMPUTED_VALUE"""),0.0)</f>
        <v>0</v>
      </c>
      <c r="AB22" s="50"/>
      <c r="AC22" s="50"/>
      <c r="AD22" s="50"/>
    </row>
    <row r="23" ht="15.75" customHeight="1">
      <c r="A23" s="50">
        <f>IFERROR(__xludf.DUMMYFUNCTION("""COMPUTED_VALUE"""),70.0)</f>
        <v>70</v>
      </c>
      <c r="B23" s="51">
        <f>IFERROR(__xludf.DUMMYFUNCTION("""COMPUTED_VALUE"""),46267.0)</f>
        <v>46267</v>
      </c>
      <c r="C23" s="50" t="str">
        <f>IFERROR(__xludf.DUMMYFUNCTION("""COMPUTED_VALUE"""),"United Nutritions")</f>
        <v>United Nutritions</v>
      </c>
      <c r="D23" s="50" t="str">
        <f>IFERROR(__xludf.DUMMYFUNCTION("""COMPUTED_VALUE"""),"Mr. Jainal Kothari (BDE)")</f>
        <v>Mr. Jainal Kothari (BDE)</v>
      </c>
      <c r="E23" s="50" t="str">
        <f>IFERROR(__xludf.DUMMYFUNCTION("""COMPUTED_VALUE"""),"635280748")</f>
        <v>635280748</v>
      </c>
      <c r="F23" s="50" t="str">
        <f>IFERROR(__xludf.DUMMYFUNCTION("""COMPUTED_VALUE"""),"sales.unitednutri@gmail.com")</f>
        <v>sales.unitednutri@gmail.com</v>
      </c>
      <c r="G23" s="50" t="str">
        <f>IFERROR(__xludf.DUMMYFUNCTION("""COMPUTED_VALUE"""),"Vadodara")</f>
        <v>Vadodara</v>
      </c>
      <c r="H23" s="50" t="str">
        <f>IFERROR(__xludf.DUMMYFUNCTION("""COMPUTED_VALUE"""),"India")</f>
        <v>India</v>
      </c>
      <c r="I23" s="50" t="str">
        <f>IFERROR(__xludf.DUMMYFUNCTION("""COMPUTED_VALUE"""),"India")</f>
        <v>India</v>
      </c>
      <c r="J23" s="50" t="str">
        <f>IFERROR(__xludf.DUMMYFUNCTION("""COMPUTED_VALUE"""),"Service")</f>
        <v>Service</v>
      </c>
      <c r="K23" s="50" t="str">
        <f>IFERROR(__xludf.DUMMYFUNCTION("""COMPUTED_VALUE"""),"Manufacturing")</f>
        <v>Manufacturing</v>
      </c>
      <c r="L23" s="50" t="str">
        <f>IFERROR(__xludf.DUMMYFUNCTION("""COMPUTED_VALUE"""),"Manufacturing")</f>
        <v>Manufacturing</v>
      </c>
      <c r="M23" s="50"/>
      <c r="N23" s="50" t="str">
        <f>IFERROR(__xludf.DUMMYFUNCTION("""COMPUTED_VALUE"""),"Event/Expo")</f>
        <v>Event/Expo</v>
      </c>
      <c r="O23" s="50" t="str">
        <f>IFERROR(__xludf.DUMMYFUNCTION("""COMPUTED_VALUE"""),"Aastha")</f>
        <v>Aastha</v>
      </c>
      <c r="P23" s="50" t="str">
        <f>IFERROR(__xludf.DUMMYFUNCTION("""COMPUTED_VALUE"""),"Cold")</f>
        <v>Cold</v>
      </c>
      <c r="Q23" s="50" t="str">
        <f>IFERROR(__xludf.DUMMYFUNCTION("""COMPUTED_VALUE"""),"New")</f>
        <v>New</v>
      </c>
      <c r="R23" s="50" t="str">
        <f>IFERROR(__xludf.DUMMYFUNCTION("""COMPUTED_VALUE"""),"Not Started")</f>
        <v>Not Started</v>
      </c>
      <c r="S23" s="50"/>
      <c r="T23" s="50"/>
      <c r="U23" s="50" t="str">
        <f>IFERROR(__xludf.DUMMYFUNCTION("""COMPUTED_VALUE"""),"Not Scheduled")</f>
        <v>Not Scheduled</v>
      </c>
      <c r="V23" s="50"/>
      <c r="W23" s="50"/>
      <c r="X23" s="50"/>
      <c r="Y23" s="50"/>
      <c r="Z23" s="50"/>
      <c r="AA23" s="50">
        <f>IFERROR(__xludf.DUMMYFUNCTION("""COMPUTED_VALUE"""),0.0)</f>
        <v>0</v>
      </c>
      <c r="AB23" s="50"/>
      <c r="AC23" s="50"/>
      <c r="AD23" s="50"/>
    </row>
    <row r="24" ht="15.75" customHeight="1">
      <c r="A24" s="50">
        <f>IFERROR(__xludf.DUMMYFUNCTION("""COMPUTED_VALUE"""),71.0)</f>
        <v>71</v>
      </c>
      <c r="B24" s="51">
        <f>IFERROR(__xludf.DUMMYFUNCTION("""COMPUTED_VALUE"""),46267.0)</f>
        <v>46267</v>
      </c>
      <c r="C24" s="50" t="str">
        <f>IFERROR(__xludf.DUMMYFUNCTION("""COMPUTED_VALUE"""),"Paramount Corporation Inc")</f>
        <v>Paramount Corporation Inc</v>
      </c>
      <c r="D24" s="50" t="str">
        <f>IFERROR(__xludf.DUMMYFUNCTION("""COMPUTED_VALUE"""),"Payal Panchal (Manager)")</f>
        <v>Payal Panchal (Manager)</v>
      </c>
      <c r="E24" s="50" t="str">
        <f>IFERROR(__xludf.DUMMYFUNCTION("""COMPUTED_VALUE"""),"9965038038")</f>
        <v>9965038038</v>
      </c>
      <c r="F24" s="50" t="str">
        <f>IFERROR(__xludf.DUMMYFUNCTION("""COMPUTED_VALUE"""),"mail@paramountcorp.co.in")</f>
        <v>mail@paramountcorp.co.in</v>
      </c>
      <c r="G24" s="50" t="str">
        <f>IFERROR(__xludf.DUMMYFUNCTION("""COMPUTED_VALUE"""),"Ahmedabad / Mumbai")</f>
        <v>Ahmedabad / Mumbai</v>
      </c>
      <c r="H24" s="50" t="str">
        <f>IFERROR(__xludf.DUMMYFUNCTION("""COMPUTED_VALUE"""),"India")</f>
        <v>India</v>
      </c>
      <c r="I24" s="50" t="str">
        <f>IFERROR(__xludf.DUMMYFUNCTION("""COMPUTED_VALUE"""),"India")</f>
        <v>India</v>
      </c>
      <c r="J24" s="50" t="str">
        <f>IFERROR(__xludf.DUMMYFUNCTION("""COMPUTED_VALUE"""),"Service")</f>
        <v>Service</v>
      </c>
      <c r="K24" s="50" t="str">
        <f>IFERROR(__xludf.DUMMYFUNCTION("""COMPUTED_VALUE"""),"Manufacturing")</f>
        <v>Manufacturing</v>
      </c>
      <c r="L24" s="50" t="str">
        <f>IFERROR(__xludf.DUMMYFUNCTION("""COMPUTED_VALUE"""),"Manufacturing")</f>
        <v>Manufacturing</v>
      </c>
      <c r="M24" s="50"/>
      <c r="N24" s="50" t="str">
        <f>IFERROR(__xludf.DUMMYFUNCTION("""COMPUTED_VALUE"""),"Event/Expo")</f>
        <v>Event/Expo</v>
      </c>
      <c r="O24" s="50" t="str">
        <f>IFERROR(__xludf.DUMMYFUNCTION("""COMPUTED_VALUE"""),"Aastha")</f>
        <v>Aastha</v>
      </c>
      <c r="P24" s="50" t="str">
        <f>IFERROR(__xludf.DUMMYFUNCTION("""COMPUTED_VALUE"""),"Cold")</f>
        <v>Cold</v>
      </c>
      <c r="Q24" s="50" t="str">
        <f>IFERROR(__xludf.DUMMYFUNCTION("""COMPUTED_VALUE"""),"New")</f>
        <v>New</v>
      </c>
      <c r="R24" s="50" t="str">
        <f>IFERROR(__xludf.DUMMYFUNCTION("""COMPUTED_VALUE"""),"Not Started")</f>
        <v>Not Started</v>
      </c>
      <c r="S24" s="50"/>
      <c r="T24" s="50"/>
      <c r="U24" s="50" t="str">
        <f>IFERROR(__xludf.DUMMYFUNCTION("""COMPUTED_VALUE"""),"Not Scheduled")</f>
        <v>Not Scheduled</v>
      </c>
      <c r="V24" s="50"/>
      <c r="W24" s="50"/>
      <c r="X24" s="50"/>
      <c r="Y24" s="50"/>
      <c r="Z24" s="50"/>
      <c r="AA24" s="50">
        <f>IFERROR(__xludf.DUMMYFUNCTION("""COMPUTED_VALUE"""),0.0)</f>
        <v>0</v>
      </c>
      <c r="AB24" s="50"/>
      <c r="AC24" s="50"/>
      <c r="AD24" s="50"/>
    </row>
    <row r="25" ht="15.75" customHeight="1">
      <c r="A25" s="50">
        <f>IFERROR(__xludf.DUMMYFUNCTION("""COMPUTED_VALUE"""),73.0)</f>
        <v>73</v>
      </c>
      <c r="B25" s="51">
        <f>IFERROR(__xludf.DUMMYFUNCTION("""COMPUTED_VALUE"""),46267.0)</f>
        <v>46267</v>
      </c>
      <c r="C25" s="50" t="str">
        <f>IFERROR(__xludf.DUMMYFUNCTION("""COMPUTED_VALUE"""),"MSC NUTRA")</f>
        <v>MSC NUTRA</v>
      </c>
      <c r="D25" s="50" t="str">
        <f>IFERROR(__xludf.DUMMYFUNCTION("""COMPUTED_VALUE"""),"Chandana K B (Sales and Marketing Executive)")</f>
        <v>Chandana K B (Sales and Marketing Executive)</v>
      </c>
      <c r="E25" s="50" t="str">
        <f>IFERROR(__xludf.DUMMYFUNCTION("""COMPUTED_VALUE"""),"9513681010")</f>
        <v>9513681010</v>
      </c>
      <c r="F25" s="50" t="str">
        <f>IFERROR(__xludf.DUMMYFUNCTION("""COMPUTED_VALUE"""),"business@mscchemicals.co.in")</f>
        <v>business@mscchemicals.co.in</v>
      </c>
      <c r="G25" s="50" t="str">
        <f>IFERROR(__xludf.DUMMYFUNCTION("""COMPUTED_VALUE"""),"Bengaluru / Mumbai")</f>
        <v>Bengaluru / Mumbai</v>
      </c>
      <c r="H25" s="50" t="str">
        <f>IFERROR(__xludf.DUMMYFUNCTION("""COMPUTED_VALUE"""),"India")</f>
        <v>India</v>
      </c>
      <c r="I25" s="50" t="str">
        <f>IFERROR(__xludf.DUMMYFUNCTION("""COMPUTED_VALUE"""),"India")</f>
        <v>India</v>
      </c>
      <c r="J25" s="50" t="str">
        <f>IFERROR(__xludf.DUMMYFUNCTION("""COMPUTED_VALUE"""),"Service")</f>
        <v>Service</v>
      </c>
      <c r="K25" s="50" t="str">
        <f>IFERROR(__xludf.DUMMYFUNCTION("""COMPUTED_VALUE"""),"Manufacturing")</f>
        <v>Manufacturing</v>
      </c>
      <c r="L25" s="50" t="str">
        <f>IFERROR(__xludf.DUMMYFUNCTION("""COMPUTED_VALUE"""),"Manufacturing")</f>
        <v>Manufacturing</v>
      </c>
      <c r="M25" s="50"/>
      <c r="N25" s="50" t="str">
        <f>IFERROR(__xludf.DUMMYFUNCTION("""COMPUTED_VALUE"""),"Event/Expo")</f>
        <v>Event/Expo</v>
      </c>
      <c r="O25" s="50" t="str">
        <f>IFERROR(__xludf.DUMMYFUNCTION("""COMPUTED_VALUE"""),"Aastha")</f>
        <v>Aastha</v>
      </c>
      <c r="P25" s="50" t="str">
        <f>IFERROR(__xludf.DUMMYFUNCTION("""COMPUTED_VALUE"""),"Cold")</f>
        <v>Cold</v>
      </c>
      <c r="Q25" s="50" t="str">
        <f>IFERROR(__xludf.DUMMYFUNCTION("""COMPUTED_VALUE"""),"New")</f>
        <v>New</v>
      </c>
      <c r="R25" s="50" t="str">
        <f>IFERROR(__xludf.DUMMYFUNCTION("""COMPUTED_VALUE"""),"Not Started")</f>
        <v>Not Started</v>
      </c>
      <c r="S25" s="50"/>
      <c r="T25" s="50"/>
      <c r="U25" s="50" t="str">
        <f>IFERROR(__xludf.DUMMYFUNCTION("""COMPUTED_VALUE"""),"Not Scheduled")</f>
        <v>Not Scheduled</v>
      </c>
      <c r="V25" s="50"/>
      <c r="W25" s="50"/>
      <c r="X25" s="50"/>
      <c r="Y25" s="50"/>
      <c r="Z25" s="50"/>
      <c r="AA25" s="50">
        <f>IFERROR(__xludf.DUMMYFUNCTION("""COMPUTED_VALUE"""),0.0)</f>
        <v>0</v>
      </c>
      <c r="AB25" s="50"/>
      <c r="AC25" s="50"/>
      <c r="AD25" s="50"/>
    </row>
    <row r="26" ht="15.75" customHeight="1">
      <c r="A26" s="50">
        <f>IFERROR(__xludf.DUMMYFUNCTION("""COMPUTED_VALUE"""),79.0)</f>
        <v>79</v>
      </c>
      <c r="B26" s="51">
        <f>IFERROR(__xludf.DUMMYFUNCTION("""COMPUTED_VALUE"""),46267.0)</f>
        <v>46267</v>
      </c>
      <c r="C26" s="50" t="str">
        <f>IFERROR(__xludf.DUMMYFUNCTION("""COMPUTED_VALUE"""),"Mint Packaging")</f>
        <v>Mint Packaging</v>
      </c>
      <c r="D26" s="50" t="str">
        <f>IFERROR(__xludf.DUMMYFUNCTION("""COMPUTED_VALUE"""),"Gaurav Agrawal / Pratik Agrawal")</f>
        <v>Gaurav Agrawal / Pratik Agrawal</v>
      </c>
      <c r="E26" s="50" t="str">
        <f>IFERROR(__xludf.DUMMYFUNCTION("""COMPUTED_VALUE"""),"9099965517; 9687628803")</f>
        <v>9099965517; 9687628803</v>
      </c>
      <c r="F26" s="50" t="str">
        <f>IFERROR(__xludf.DUMMYFUNCTION("""COMPUTED_VALUE"""),"gaurav@mintp.in")</f>
        <v>gaurav@mintp.in</v>
      </c>
      <c r="G26" s="50" t="str">
        <f>IFERROR(__xludf.DUMMYFUNCTION("""COMPUTED_VALUE"""),"Moraiya, Ahmedabad")</f>
        <v>Moraiya, Ahmedabad</v>
      </c>
      <c r="H26" s="50" t="str">
        <f>IFERROR(__xludf.DUMMYFUNCTION("""COMPUTED_VALUE"""),"India")</f>
        <v>India</v>
      </c>
      <c r="I26" s="50" t="str">
        <f>IFERROR(__xludf.DUMMYFUNCTION("""COMPUTED_VALUE"""),"India")</f>
        <v>India</v>
      </c>
      <c r="J26" s="50" t="str">
        <f>IFERROR(__xludf.DUMMYFUNCTION("""COMPUTED_VALUE"""),"Service")</f>
        <v>Service</v>
      </c>
      <c r="K26" s="50" t="str">
        <f>IFERROR(__xludf.DUMMYFUNCTION("""COMPUTED_VALUE"""),"Manufacturing")</f>
        <v>Manufacturing</v>
      </c>
      <c r="L26" s="50" t="str">
        <f>IFERROR(__xludf.DUMMYFUNCTION("""COMPUTED_VALUE"""),"Manufacturing")</f>
        <v>Manufacturing</v>
      </c>
      <c r="M26" s="50"/>
      <c r="N26" s="50" t="str">
        <f>IFERROR(__xludf.DUMMYFUNCTION("""COMPUTED_VALUE"""),"Event/Expo")</f>
        <v>Event/Expo</v>
      </c>
      <c r="O26" s="50" t="str">
        <f>IFERROR(__xludf.DUMMYFUNCTION("""COMPUTED_VALUE"""),"Aastha")</f>
        <v>Aastha</v>
      </c>
      <c r="P26" s="50" t="str">
        <f>IFERROR(__xludf.DUMMYFUNCTION("""COMPUTED_VALUE"""),"Hot")</f>
        <v>Hot</v>
      </c>
      <c r="Q26" s="50" t="str">
        <f>IFERROR(__xludf.DUMMYFUNCTION("""COMPUTED_VALUE"""),"Contacted")</f>
        <v>Contacted</v>
      </c>
      <c r="R26" s="50" t="str">
        <f>IFERROR(__xludf.DUMMYFUNCTION("""COMPUTED_VALUE"""),"Not Started")</f>
        <v>Not Started</v>
      </c>
      <c r="S26" s="50"/>
      <c r="T26" s="50"/>
      <c r="U26" s="50" t="str">
        <f>IFERROR(__xludf.DUMMYFUNCTION("""COMPUTED_VALUE"""),"Not Scheduled")</f>
        <v>Not Scheduled</v>
      </c>
      <c r="V26" s="50"/>
      <c r="W26" s="50"/>
      <c r="X26" s="50"/>
      <c r="Y26" s="50"/>
      <c r="Z26" s="50"/>
      <c r="AA26" s="50">
        <f>IFERROR(__xludf.DUMMYFUNCTION("""COMPUTED_VALUE"""),0.0)</f>
        <v>0</v>
      </c>
      <c r="AB26" s="50"/>
      <c r="AC26" s="50"/>
      <c r="AD26" s="50"/>
    </row>
    <row r="27" ht="15.75" customHeight="1">
      <c r="A27" s="50">
        <f>IFERROR(__xludf.DUMMYFUNCTION("""COMPUTED_VALUE"""),80.0)</f>
        <v>80</v>
      </c>
      <c r="B27" s="51">
        <f>IFERROR(__xludf.DUMMYFUNCTION("""COMPUTED_VALUE"""),46267.0)</f>
        <v>46267</v>
      </c>
      <c r="C27" s="50" t="str">
        <f>IFERROR(__xludf.DUMMYFUNCTION("""COMPUTED_VALUE"""),"Prem Green Private Limited")</f>
        <v>Prem Green Private Limited</v>
      </c>
      <c r="D27" s="50" t="str">
        <f>IFERROR(__xludf.DUMMYFUNCTION("""COMPUTED_VALUE"""),"Ashwin Patel (Deputy General Manager, R &amp; D)")</f>
        <v>Ashwin Patel (Deputy General Manager, R &amp; D)</v>
      </c>
      <c r="E27" s="50" t="str">
        <f>IFERROR(__xludf.DUMMYFUNCTION("""COMPUTED_VALUE"""),"7374007777; 9509288840")</f>
        <v>7374007777; 9509288840</v>
      </c>
      <c r="F27" s="50" t="str">
        <f>IFERROR(__xludf.DUMMYFUNCTION("""COMPUTED_VALUE"""),"ashwin.patel@premgreen.com")</f>
        <v>ashwin.patel@premgreen.com</v>
      </c>
      <c r="G27" s="50" t="str">
        <f>IFERROR(__xludf.DUMMYFUNCTION("""COMPUTED_VALUE"""),"Gandhinagar")</f>
        <v>Gandhinagar</v>
      </c>
      <c r="H27" s="50" t="str">
        <f>IFERROR(__xludf.DUMMYFUNCTION("""COMPUTED_VALUE"""),"India")</f>
        <v>India</v>
      </c>
      <c r="I27" s="50" t="str">
        <f>IFERROR(__xludf.DUMMYFUNCTION("""COMPUTED_VALUE"""),"India")</f>
        <v>India</v>
      </c>
      <c r="J27" s="50" t="str">
        <f>IFERROR(__xludf.DUMMYFUNCTION("""COMPUTED_VALUE"""),"Service")</f>
        <v>Service</v>
      </c>
      <c r="K27" s="50" t="str">
        <f>IFERROR(__xludf.DUMMYFUNCTION("""COMPUTED_VALUE"""),"Manufacturing")</f>
        <v>Manufacturing</v>
      </c>
      <c r="L27" s="50" t="str">
        <f>IFERROR(__xludf.DUMMYFUNCTION("""COMPUTED_VALUE"""),"Manufacturing")</f>
        <v>Manufacturing</v>
      </c>
      <c r="M27" s="50"/>
      <c r="N27" s="50" t="str">
        <f>IFERROR(__xludf.DUMMYFUNCTION("""COMPUTED_VALUE"""),"Event/Expo")</f>
        <v>Event/Expo</v>
      </c>
      <c r="O27" s="50" t="str">
        <f>IFERROR(__xludf.DUMMYFUNCTION("""COMPUTED_VALUE"""),"Aastha")</f>
        <v>Aastha</v>
      </c>
      <c r="P27" s="50" t="str">
        <f>IFERROR(__xludf.DUMMYFUNCTION("""COMPUTED_VALUE"""),"Hot")</f>
        <v>Hot</v>
      </c>
      <c r="Q27" s="50" t="str">
        <f>IFERROR(__xludf.DUMMYFUNCTION("""COMPUTED_VALUE"""),"Qualified")</f>
        <v>Qualified</v>
      </c>
      <c r="R27" s="50" t="str">
        <f>IFERROR(__xludf.DUMMYFUNCTION("""COMPUTED_VALUE"""),"Not Started")</f>
        <v>Not Started</v>
      </c>
      <c r="S27" s="50"/>
      <c r="T27" s="50"/>
      <c r="U27" s="50" t="str">
        <f>IFERROR(__xludf.DUMMYFUNCTION("""COMPUTED_VALUE"""),"Not Scheduled")</f>
        <v>Not Scheduled</v>
      </c>
      <c r="V27" s="50"/>
      <c r="W27" s="50"/>
      <c r="X27" s="50"/>
      <c r="Y27" s="50"/>
      <c r="Z27" s="50"/>
      <c r="AA27" s="50">
        <f>IFERROR(__xludf.DUMMYFUNCTION("""COMPUTED_VALUE"""),0.0)</f>
        <v>0</v>
      </c>
      <c r="AB27" s="50"/>
      <c r="AC27" s="50"/>
      <c r="AD27" s="50"/>
    </row>
    <row r="28" ht="15.75" customHeight="1">
      <c r="A28" s="50">
        <f>IFERROR(__xludf.DUMMYFUNCTION("""COMPUTED_VALUE"""),92.0)</f>
        <v>92</v>
      </c>
      <c r="B28" s="51">
        <f>IFERROR(__xludf.DUMMYFUNCTION("""COMPUTED_VALUE"""),46267.0)</f>
        <v>46267</v>
      </c>
      <c r="C28" s="50" t="str">
        <f>IFERROR(__xludf.DUMMYFUNCTION("""COMPUTED_VALUE"""),"Adventure Chemicals Suppliers")</f>
        <v>Adventure Chemicals Suppliers</v>
      </c>
      <c r="D28" s="50"/>
      <c r="E28" s="50" t="str">
        <f>IFERROR(__xludf.DUMMYFUNCTION("""COMPUTED_VALUE"""),"9979862649")</f>
        <v>9979862649</v>
      </c>
      <c r="F28" s="50" t="str">
        <f>IFERROR(__xludf.DUMMYFUNCTION("""COMPUTED_VALUE"""),"adventure@adventureoverseas.com")</f>
        <v>adventure@adventureoverseas.com</v>
      </c>
      <c r="G28" s="50" t="str">
        <f>IFERROR(__xludf.DUMMYFUNCTION("""COMPUTED_VALUE"""),"Ahmedabad")</f>
        <v>Ahmedabad</v>
      </c>
      <c r="H28" s="50" t="str">
        <f>IFERROR(__xludf.DUMMYFUNCTION("""COMPUTED_VALUE"""),"India")</f>
        <v>India</v>
      </c>
      <c r="I28" s="50" t="str">
        <f>IFERROR(__xludf.DUMMYFUNCTION("""COMPUTED_VALUE"""),"India")</f>
        <v>India</v>
      </c>
      <c r="J28" s="50" t="str">
        <f>IFERROR(__xludf.DUMMYFUNCTION("""COMPUTED_VALUE"""),"Service")</f>
        <v>Service</v>
      </c>
      <c r="K28" s="50" t="str">
        <f>IFERROR(__xludf.DUMMYFUNCTION("""COMPUTED_VALUE"""),"Manufacturing")</f>
        <v>Manufacturing</v>
      </c>
      <c r="L28" s="50" t="str">
        <f>IFERROR(__xludf.DUMMYFUNCTION("""COMPUTED_VALUE"""),"Manufacturing")</f>
        <v>Manufacturing</v>
      </c>
      <c r="M28" s="50"/>
      <c r="N28" s="50" t="str">
        <f>IFERROR(__xludf.DUMMYFUNCTION("""COMPUTED_VALUE"""),"Event/Expo")</f>
        <v>Event/Expo</v>
      </c>
      <c r="O28" s="50" t="str">
        <f>IFERROR(__xludf.DUMMYFUNCTION("""COMPUTED_VALUE"""),"Aastha")</f>
        <v>Aastha</v>
      </c>
      <c r="P28" s="50" t="str">
        <f>IFERROR(__xludf.DUMMYFUNCTION("""COMPUTED_VALUE"""),"Cold")</f>
        <v>Cold</v>
      </c>
      <c r="Q28" s="50" t="str">
        <f>IFERROR(__xludf.DUMMYFUNCTION("""COMPUTED_VALUE"""),"New")</f>
        <v>New</v>
      </c>
      <c r="R28" s="50" t="str">
        <f>IFERROR(__xludf.DUMMYFUNCTION("""COMPUTED_VALUE"""),"Not Started")</f>
        <v>Not Started</v>
      </c>
      <c r="S28" s="50"/>
      <c r="T28" s="50"/>
      <c r="U28" s="50" t="str">
        <f>IFERROR(__xludf.DUMMYFUNCTION("""COMPUTED_VALUE"""),"Not Scheduled")</f>
        <v>Not Scheduled</v>
      </c>
      <c r="V28" s="50"/>
      <c r="W28" s="50"/>
      <c r="X28" s="50"/>
      <c r="Y28" s="50"/>
      <c r="Z28" s="50"/>
      <c r="AA28" s="50">
        <f>IFERROR(__xludf.DUMMYFUNCTION("""COMPUTED_VALUE"""),0.0)</f>
        <v>0</v>
      </c>
      <c r="AB28" s="50"/>
      <c r="AC28" s="50"/>
      <c r="AD28" s="50"/>
    </row>
    <row r="29" ht="15.75" customHeight="1">
      <c r="A29" s="50">
        <f>IFERROR(__xludf.DUMMYFUNCTION("""COMPUTED_VALUE"""),114.0)</f>
        <v>114</v>
      </c>
      <c r="B29" s="51">
        <f>IFERROR(__xludf.DUMMYFUNCTION("""COMPUTED_VALUE"""),46272.0)</f>
        <v>46272</v>
      </c>
      <c r="C29" s="50" t="str">
        <f>IFERROR(__xludf.DUMMYFUNCTION("""COMPUTED_VALUE"""),"Wee")</f>
        <v>Wee</v>
      </c>
      <c r="D29" s="50" t="str">
        <f>IFERROR(__xludf.DUMMYFUNCTION("""COMPUTED_VALUE"""),"Anton Sizemin")</f>
        <v>Anton Sizemin</v>
      </c>
      <c r="E29" s="50" t="str">
        <f>IFERROR(__xludf.DUMMYFUNCTION("""COMPUTED_VALUE"""),"7 917 567 74 13")</f>
        <v>7 917 567 74 13</v>
      </c>
      <c r="F29" s="50" t="str">
        <f>IFERROR(__xludf.DUMMYFUNCTION("""COMPUTED_VALUE"""),"anton.sizemin@gmail.com")</f>
        <v>anton.sizemin@gmail.com</v>
      </c>
      <c r="G29" s="50" t="str">
        <f>IFERROR(__xludf.DUMMYFUNCTION("""COMPUTED_VALUE"""),"UAE")</f>
        <v>UAE</v>
      </c>
      <c r="H29" s="50" t="str">
        <f>IFERROR(__xludf.DUMMYFUNCTION("""COMPUTED_VALUE"""),"Dubai")</f>
        <v>Dubai</v>
      </c>
      <c r="I29" s="50" t="str">
        <f>IFERROR(__xludf.DUMMYFUNCTION("""COMPUTED_VALUE"""),"Foreign")</f>
        <v>Foreign</v>
      </c>
      <c r="J29" s="50" t="str">
        <f>IFERROR(__xludf.DUMMYFUNCTION("""COMPUTED_VALUE"""),"Service")</f>
        <v>Service</v>
      </c>
      <c r="K29" s="50" t="str">
        <f>IFERROR(__xludf.DUMMYFUNCTION("""COMPUTED_VALUE"""),"Manufacturing")</f>
        <v>Manufacturing</v>
      </c>
      <c r="L29" s="50" t="str">
        <f>IFERROR(__xludf.DUMMYFUNCTION("""COMPUTED_VALUE"""),"Manufacturing")</f>
        <v>Manufacturing</v>
      </c>
      <c r="M29" s="50"/>
      <c r="N29" s="50" t="str">
        <f>IFERROR(__xludf.DUMMYFUNCTION("""COMPUTED_VALUE"""),"Cold Outreach")</f>
        <v>Cold Outreach</v>
      </c>
      <c r="O29" s="50" t="str">
        <f>IFERROR(__xludf.DUMMYFUNCTION("""COMPUTED_VALUE"""),"Aastha")</f>
        <v>Aastha</v>
      </c>
      <c r="P29" s="50"/>
      <c r="Q29" s="50"/>
      <c r="R29" s="50"/>
      <c r="S29" s="50"/>
      <c r="T29" s="50"/>
      <c r="U29" s="50" t="str">
        <f>IFERROR(__xludf.DUMMYFUNCTION("""COMPUTED_VALUE"""),"Not Scheduled")</f>
        <v>Not Scheduled</v>
      </c>
      <c r="V29" s="50"/>
      <c r="W29" s="50"/>
      <c r="X29" s="50"/>
      <c r="Y29" s="50"/>
      <c r="Z29" s="50"/>
      <c r="AA29" s="50">
        <f>IFERROR(__xludf.DUMMYFUNCTION("""COMPUTED_VALUE"""),0.0)</f>
        <v>0</v>
      </c>
      <c r="AB29" s="50"/>
      <c r="AC29" s="50"/>
      <c r="AD29" s="50"/>
    </row>
    <row r="30" ht="15.75" customHeight="1">
      <c r="A30" s="50">
        <f>IFERROR(__xludf.DUMMYFUNCTION("""COMPUTED_VALUE"""),125.0)</f>
        <v>125</v>
      </c>
      <c r="B30" s="51">
        <f>IFERROR(__xludf.DUMMYFUNCTION("""COMPUTED_VALUE"""),46274.0)</f>
        <v>46274</v>
      </c>
      <c r="C30" s="50" t="str">
        <f>IFERROR(__xludf.DUMMYFUNCTION("""COMPUTED_VALUE"""),"Dynamic Cables Limited")</f>
        <v>Dynamic Cables Limited</v>
      </c>
      <c r="D30" s="50" t="str">
        <f>IFERROR(__xludf.DUMMYFUNCTION("""COMPUTED_VALUE"""),"Ashok Sharma")</f>
        <v>Ashok Sharma</v>
      </c>
      <c r="E30" s="50" t="str">
        <f>IFERROR(__xludf.DUMMYFUNCTION("""COMPUTED_VALUE"""),"9887394888")</f>
        <v>9887394888</v>
      </c>
      <c r="F30" s="50" t="str">
        <f>IFERROR(__xludf.DUMMYFUNCTION("""COMPUTED_VALUE""")," gm.delhi@dynamiccables.co.in")</f>
        <v> gm.delhi@dynamiccables.co.in</v>
      </c>
      <c r="G30" s="50" t="str">
        <f>IFERROR(__xludf.DUMMYFUNCTION("""COMPUTED_VALUE"""),"Ahmedabad")</f>
        <v>Ahmedabad</v>
      </c>
      <c r="H30" s="50" t="str">
        <f>IFERROR(__xludf.DUMMYFUNCTION("""COMPUTED_VALUE"""),"India")</f>
        <v>India</v>
      </c>
      <c r="I30" s="50" t="str">
        <f>IFERROR(__xludf.DUMMYFUNCTION("""COMPUTED_VALUE"""),"India")</f>
        <v>India</v>
      </c>
      <c r="J30" s="50" t="str">
        <f>IFERROR(__xludf.DUMMYFUNCTION("""COMPUTED_VALUE"""),"Service")</f>
        <v>Service</v>
      </c>
      <c r="K30" s="50" t="str">
        <f>IFERROR(__xludf.DUMMYFUNCTION("""COMPUTED_VALUE"""),"Manufacturing")</f>
        <v>Manufacturing</v>
      </c>
      <c r="L30" s="50" t="str">
        <f>IFERROR(__xludf.DUMMYFUNCTION("""COMPUTED_VALUE"""),"Manufacturing")</f>
        <v>Manufacturing</v>
      </c>
      <c r="M30" s="50"/>
      <c r="N30" s="50" t="str">
        <f>IFERROR(__xludf.DUMMYFUNCTION("""COMPUTED_VALUE"""),"Cold Outreach")</f>
        <v>Cold Outreach</v>
      </c>
      <c r="O30" s="50" t="str">
        <f>IFERROR(__xludf.DUMMYFUNCTION("""COMPUTED_VALUE"""),"Aastha")</f>
        <v>Aastha</v>
      </c>
      <c r="P30" s="50"/>
      <c r="Q30" s="50"/>
      <c r="R30" s="50"/>
      <c r="S30" s="50"/>
      <c r="T30" s="50"/>
      <c r="U30" s="50" t="str">
        <f>IFERROR(__xludf.DUMMYFUNCTION("""COMPUTED_VALUE"""),"Not Scheduled")</f>
        <v>Not Scheduled</v>
      </c>
      <c r="V30" s="50"/>
      <c r="W30" s="50"/>
      <c r="X30" s="50"/>
      <c r="Y30" s="50"/>
      <c r="Z30" s="50"/>
      <c r="AA30" s="50">
        <f>IFERROR(__xludf.DUMMYFUNCTION("""COMPUTED_VALUE"""),0.0)</f>
        <v>0</v>
      </c>
      <c r="AB30" s="50"/>
      <c r="AC30" s="50"/>
      <c r="AD30" s="50"/>
    </row>
    <row r="31" ht="15.75" customHeight="1">
      <c r="A31" s="50">
        <f>IFERROR(__xludf.DUMMYFUNCTION("""COMPUTED_VALUE"""),126.0)</f>
        <v>126</v>
      </c>
      <c r="B31" s="51">
        <f>IFERROR(__xludf.DUMMYFUNCTION("""COMPUTED_VALUE"""),46274.0)</f>
        <v>46274</v>
      </c>
      <c r="C31" s="50" t="str">
        <f>IFERROR(__xludf.DUMMYFUNCTION("""COMPUTED_VALUE"""),"Bharat Packs")</f>
        <v>Bharat Packs</v>
      </c>
      <c r="D31" s="50" t="str">
        <f>IFERROR(__xludf.DUMMYFUNCTION("""COMPUTED_VALUE"""),"Pratik Patell")</f>
        <v>Pratik Patell</v>
      </c>
      <c r="E31" s="50" t="str">
        <f>IFERROR(__xludf.DUMMYFUNCTION("""COMPUTED_VALUE"""),"8460203534")</f>
        <v>8460203534</v>
      </c>
      <c r="F31" s="50"/>
      <c r="G31" s="50" t="str">
        <f>IFERROR(__xludf.DUMMYFUNCTION("""COMPUTED_VALUE"""),"Ahmedabad")</f>
        <v>Ahmedabad</v>
      </c>
      <c r="H31" s="50" t="str">
        <f>IFERROR(__xludf.DUMMYFUNCTION("""COMPUTED_VALUE"""),"India")</f>
        <v>India</v>
      </c>
      <c r="I31" s="50" t="str">
        <f>IFERROR(__xludf.DUMMYFUNCTION("""COMPUTED_VALUE"""),"India")</f>
        <v>India</v>
      </c>
      <c r="J31" s="50" t="str">
        <f>IFERROR(__xludf.DUMMYFUNCTION("""COMPUTED_VALUE"""),"Service")</f>
        <v>Service</v>
      </c>
      <c r="K31" s="50" t="str">
        <f>IFERROR(__xludf.DUMMYFUNCTION("""COMPUTED_VALUE"""),"Manufacturing")</f>
        <v>Manufacturing</v>
      </c>
      <c r="L31" s="50" t="str">
        <f>IFERROR(__xludf.DUMMYFUNCTION("""COMPUTED_VALUE"""),"Manufacturing")</f>
        <v>Manufacturing</v>
      </c>
      <c r="M31" s="50"/>
      <c r="N31" s="50" t="str">
        <f>IFERROR(__xludf.DUMMYFUNCTION("""COMPUTED_VALUE"""),"Event/Expo")</f>
        <v>Event/Expo</v>
      </c>
      <c r="O31" s="50" t="str">
        <f>IFERROR(__xludf.DUMMYFUNCTION("""COMPUTED_VALUE"""),"Aastha")</f>
        <v>Aastha</v>
      </c>
      <c r="P31" s="50"/>
      <c r="Q31" s="50"/>
      <c r="R31" s="50"/>
      <c r="S31" s="50"/>
      <c r="T31" s="50"/>
      <c r="U31" s="50" t="str">
        <f>IFERROR(__xludf.DUMMYFUNCTION("""COMPUTED_VALUE"""),"Not Scheduled")</f>
        <v>Not Scheduled</v>
      </c>
      <c r="V31" s="50"/>
      <c r="W31" s="50"/>
      <c r="X31" s="50"/>
      <c r="Y31" s="50"/>
      <c r="Z31" s="50"/>
      <c r="AA31" s="50">
        <f>IFERROR(__xludf.DUMMYFUNCTION("""COMPUTED_VALUE"""),0.0)</f>
        <v>0</v>
      </c>
      <c r="AB31" s="50"/>
      <c r="AC31" s="50"/>
      <c r="AD31" s="50"/>
    </row>
    <row r="32" ht="15.75" customHeight="1">
      <c r="B32" s="51"/>
    </row>
    <row r="33" ht="15.75" customHeight="1">
      <c r="B33" s="51"/>
    </row>
    <row r="34" ht="15.75" customHeight="1">
      <c r="B34" s="51"/>
    </row>
    <row r="35" ht="15.75" customHeight="1">
      <c r="B35" s="51"/>
    </row>
    <row r="36" ht="15.75" customHeight="1">
      <c r="B36" s="51"/>
    </row>
    <row r="37" ht="15.75" customHeight="1">
      <c r="B37" s="51"/>
    </row>
    <row r="38" ht="15.75" customHeight="1">
      <c r="B38" s="51"/>
    </row>
    <row r="39" ht="15.75" customHeight="1">
      <c r="B39" s="51"/>
    </row>
    <row r="40" ht="15.75" customHeight="1">
      <c r="B40" s="51"/>
    </row>
    <row r="41" ht="15.75" customHeight="1">
      <c r="B41" s="51"/>
    </row>
    <row r="42" ht="15.75" customHeight="1">
      <c r="B42" s="51"/>
    </row>
    <row r="43" ht="15.75" customHeight="1">
      <c r="B43" s="51"/>
    </row>
    <row r="44" ht="15.75" customHeight="1">
      <c r="B44" s="51"/>
    </row>
    <row r="45" ht="15.75" customHeight="1">
      <c r="B45" s="51"/>
    </row>
    <row r="46" ht="15.75" customHeight="1">
      <c r="B46" s="51"/>
    </row>
    <row r="47" ht="15.75" customHeight="1">
      <c r="B47" s="51"/>
    </row>
    <row r="48" ht="15.75" customHeight="1">
      <c r="B48" s="51"/>
    </row>
    <row r="49" ht="15.75" customHeight="1">
      <c r="B49" s="51"/>
    </row>
    <row r="50" ht="15.75" customHeight="1">
      <c r="B50" s="51"/>
    </row>
    <row r="51" ht="15.75" customHeight="1">
      <c r="B51" s="51"/>
    </row>
    <row r="52" ht="15.75" customHeight="1">
      <c r="B52" s="51"/>
    </row>
    <row r="53" ht="15.75" customHeight="1">
      <c r="B53" s="51"/>
    </row>
    <row r="54" ht="15.75" customHeight="1">
      <c r="B54" s="51"/>
    </row>
    <row r="55" ht="15.75" customHeight="1">
      <c r="B55" s="51"/>
    </row>
    <row r="56" ht="15.75" customHeight="1">
      <c r="B56" s="51"/>
    </row>
    <row r="57" ht="15.75" customHeight="1">
      <c r="B57" s="51"/>
    </row>
    <row r="58" ht="15.75" customHeight="1">
      <c r="B58" s="51"/>
    </row>
    <row r="59" ht="15.75" customHeight="1">
      <c r="B59" s="51"/>
    </row>
    <row r="60" ht="15.75" customHeight="1">
      <c r="B60" s="51"/>
    </row>
    <row r="61" ht="15.75" customHeight="1">
      <c r="B61" s="51"/>
    </row>
    <row r="62" ht="15.75" customHeight="1">
      <c r="B62" s="51"/>
    </row>
    <row r="63" ht="15.75" customHeight="1">
      <c r="B63" s="51"/>
    </row>
    <row r="64" ht="15.75" customHeight="1">
      <c r="B64" s="51"/>
    </row>
    <row r="65" ht="15.75" customHeight="1">
      <c r="B65" s="51"/>
    </row>
    <row r="66" ht="15.75" customHeight="1">
      <c r="B66" s="51"/>
    </row>
    <row r="67" ht="15.75" customHeight="1">
      <c r="B67" s="51"/>
    </row>
    <row r="68" ht="15.75" customHeight="1">
      <c r="B68" s="51"/>
    </row>
    <row r="69" ht="15.75" customHeight="1">
      <c r="B69" s="51"/>
    </row>
    <row r="70" ht="15.75" customHeight="1">
      <c r="B70" s="51"/>
    </row>
    <row r="71" ht="15.75" customHeight="1">
      <c r="B71" s="51"/>
    </row>
    <row r="72" ht="15.75" customHeight="1">
      <c r="B72" s="51"/>
    </row>
    <row r="73" ht="15.75" customHeight="1">
      <c r="B73" s="51"/>
    </row>
    <row r="74" ht="15.75" customHeight="1">
      <c r="B74" s="51"/>
    </row>
    <row r="75" ht="15.75" customHeight="1">
      <c r="B75" s="51"/>
    </row>
    <row r="76" ht="15.75" customHeight="1">
      <c r="B76" s="51"/>
    </row>
    <row r="77" ht="15.75" customHeight="1">
      <c r="B77" s="51"/>
    </row>
    <row r="78" ht="15.75" customHeight="1">
      <c r="B78" s="51"/>
    </row>
    <row r="79" ht="15.75" customHeight="1">
      <c r="B79" s="51"/>
    </row>
    <row r="80" ht="15.75" customHeight="1">
      <c r="B80" s="51"/>
    </row>
    <row r="81" ht="15.75" customHeight="1">
      <c r="B81" s="51"/>
    </row>
    <row r="82" ht="15.75" customHeight="1">
      <c r="B82" s="51"/>
    </row>
    <row r="83" ht="15.75" customHeight="1">
      <c r="B83" s="51"/>
    </row>
    <row r="84" ht="15.75" customHeight="1">
      <c r="B84" s="51"/>
    </row>
    <row r="85" ht="15.75" customHeight="1">
      <c r="B85" s="51"/>
    </row>
    <row r="86" ht="15.75" customHeight="1">
      <c r="B86" s="51"/>
    </row>
    <row r="87" ht="15.75" customHeight="1">
      <c r="B87" s="51"/>
    </row>
    <row r="88" ht="15.75" customHeight="1">
      <c r="B88" s="51"/>
    </row>
    <row r="89" ht="15.75" customHeight="1">
      <c r="B89" s="51"/>
    </row>
    <row r="90" ht="15.75" customHeight="1">
      <c r="B90" s="51"/>
    </row>
    <row r="91" ht="15.75" customHeight="1">
      <c r="B91" s="51"/>
    </row>
    <row r="92" ht="15.75" customHeight="1">
      <c r="B92" s="51"/>
    </row>
    <row r="93" ht="15.75" customHeight="1">
      <c r="B93" s="51"/>
    </row>
    <row r="94" ht="15.75" customHeight="1">
      <c r="B94" s="51"/>
    </row>
    <row r="95" ht="15.75" customHeight="1">
      <c r="B95" s="51"/>
    </row>
    <row r="96" ht="15.75" customHeight="1">
      <c r="B96" s="51"/>
    </row>
    <row r="97" ht="15.75" customHeight="1">
      <c r="B97" s="51"/>
    </row>
    <row r="98" ht="15.75" customHeight="1">
      <c r="B98" s="51"/>
    </row>
    <row r="99" ht="15.75" customHeight="1">
      <c r="B99" s="51"/>
    </row>
    <row r="100" ht="15.75" customHeight="1">
      <c r="B100" s="51"/>
    </row>
    <row r="101" ht="15.75" customHeight="1">
      <c r="B101" s="51"/>
    </row>
    <row r="102" ht="15.75" customHeight="1">
      <c r="B102" s="51"/>
    </row>
    <row r="103" ht="15.75" customHeight="1">
      <c r="B103" s="51"/>
    </row>
    <row r="104" ht="15.75" customHeight="1">
      <c r="B104" s="51"/>
    </row>
    <row r="105" ht="15.75" customHeight="1">
      <c r="B105" s="51"/>
    </row>
    <row r="106" ht="15.75" customHeight="1">
      <c r="B106" s="51"/>
    </row>
    <row r="107" ht="15.75" customHeight="1">
      <c r="B107" s="51"/>
    </row>
    <row r="108" ht="15.75" customHeight="1">
      <c r="B108" s="51"/>
    </row>
    <row r="109" ht="15.75" customHeight="1">
      <c r="B109" s="51"/>
    </row>
    <row r="110" ht="15.75" customHeight="1">
      <c r="B110" s="51"/>
    </row>
    <row r="111" ht="15.75" customHeight="1">
      <c r="B111" s="51"/>
    </row>
    <row r="112" ht="15.75" customHeight="1">
      <c r="B112" s="51"/>
    </row>
    <row r="113" ht="15.75" customHeight="1">
      <c r="B113" s="51"/>
    </row>
    <row r="114" ht="15.75" customHeight="1">
      <c r="B114" s="51"/>
    </row>
    <row r="115" ht="15.75" customHeight="1">
      <c r="B115" s="51"/>
    </row>
    <row r="116" ht="15.75" customHeight="1">
      <c r="B116" s="51"/>
    </row>
    <row r="117" ht="15.75" customHeight="1">
      <c r="B117" s="51"/>
    </row>
    <row r="118" ht="15.75" customHeight="1">
      <c r="B118" s="51"/>
    </row>
    <row r="119" ht="15.75" customHeight="1">
      <c r="B119" s="51"/>
    </row>
    <row r="120" ht="15.75" customHeight="1">
      <c r="B120" s="51"/>
    </row>
    <row r="121" ht="15.75" customHeight="1">
      <c r="B121" s="51"/>
    </row>
    <row r="122" ht="15.75" customHeight="1">
      <c r="B122" s="51"/>
    </row>
    <row r="123" ht="15.75" customHeight="1">
      <c r="B123" s="51"/>
    </row>
    <row r="124" ht="15.75" customHeight="1">
      <c r="B124" s="51"/>
    </row>
    <row r="125" ht="15.75" customHeight="1">
      <c r="B125" s="51"/>
    </row>
    <row r="126" ht="15.75" customHeight="1">
      <c r="B126" s="51"/>
    </row>
    <row r="127" ht="15.75" customHeight="1">
      <c r="B127" s="51"/>
    </row>
    <row r="128" ht="15.75" customHeight="1">
      <c r="B128" s="51"/>
    </row>
    <row r="129" ht="15.75" customHeight="1">
      <c r="B129" s="51"/>
    </row>
    <row r="130" ht="15.75" customHeight="1">
      <c r="B130" s="51"/>
    </row>
    <row r="131" ht="15.75" customHeight="1">
      <c r="B131" s="51"/>
    </row>
    <row r="132" ht="15.75" customHeight="1">
      <c r="B132" s="51"/>
    </row>
    <row r="133" ht="15.75" customHeight="1">
      <c r="B133" s="51"/>
    </row>
    <row r="134" ht="15.75" customHeight="1">
      <c r="B134" s="51"/>
    </row>
    <row r="135" ht="15.75" customHeight="1">
      <c r="B135" s="51"/>
    </row>
    <row r="136" ht="15.75" customHeight="1">
      <c r="B136" s="51"/>
    </row>
    <row r="137" ht="15.75" customHeight="1">
      <c r="B137" s="51"/>
    </row>
    <row r="138" ht="15.75" customHeight="1">
      <c r="B138" s="51"/>
    </row>
    <row r="139" ht="15.75" customHeight="1">
      <c r="B139" s="51"/>
    </row>
    <row r="140" ht="15.75" customHeight="1">
      <c r="B140" s="51"/>
    </row>
    <row r="141" ht="15.75" customHeight="1">
      <c r="B141" s="51"/>
    </row>
    <row r="142" ht="15.75" customHeight="1">
      <c r="B142" s="51"/>
    </row>
    <row r="143" ht="15.75" customHeight="1">
      <c r="B143" s="51"/>
    </row>
    <row r="144" ht="15.75" customHeight="1">
      <c r="B144" s="51"/>
    </row>
    <row r="145" ht="15.75" customHeight="1">
      <c r="B145" s="51"/>
    </row>
    <row r="146" ht="15.75" customHeight="1">
      <c r="B146" s="51"/>
    </row>
    <row r="147" ht="15.75" customHeight="1">
      <c r="B147" s="51"/>
    </row>
    <row r="148" ht="15.75" customHeight="1">
      <c r="B148" s="51"/>
    </row>
    <row r="149" ht="15.75" customHeight="1">
      <c r="B149" s="51"/>
    </row>
    <row r="150" ht="15.75" customHeight="1">
      <c r="B150" s="51"/>
    </row>
    <row r="151" ht="15.75" customHeight="1">
      <c r="B151" s="51"/>
    </row>
    <row r="152" ht="15.75" customHeight="1">
      <c r="B152" s="51"/>
    </row>
    <row r="153" ht="15.75" customHeight="1">
      <c r="B153" s="51"/>
    </row>
    <row r="154" ht="15.75" customHeight="1">
      <c r="B154" s="51"/>
    </row>
    <row r="155" ht="15.75" customHeight="1">
      <c r="B155" s="51"/>
    </row>
    <row r="156" ht="15.75" customHeight="1">
      <c r="B156" s="51"/>
    </row>
    <row r="157" ht="15.75" customHeight="1">
      <c r="B157" s="51"/>
    </row>
    <row r="158" ht="15.75" customHeight="1">
      <c r="B158" s="51"/>
    </row>
    <row r="159" ht="15.75" customHeight="1">
      <c r="B159" s="51"/>
    </row>
    <row r="160" ht="15.75" customHeight="1">
      <c r="B160" s="51"/>
    </row>
    <row r="161" ht="15.75" customHeight="1">
      <c r="B161" s="51"/>
    </row>
    <row r="162" ht="15.75" customHeight="1">
      <c r="B162" s="51"/>
    </row>
    <row r="163" ht="15.75" customHeight="1">
      <c r="B163" s="51"/>
    </row>
    <row r="164" ht="15.75" customHeight="1">
      <c r="B164" s="51"/>
    </row>
    <row r="165" ht="15.75" customHeight="1">
      <c r="B165" s="51"/>
    </row>
    <row r="166" ht="15.75" customHeight="1">
      <c r="B166" s="51"/>
    </row>
    <row r="167" ht="15.75" customHeight="1">
      <c r="B167" s="51"/>
    </row>
    <row r="168" ht="15.75" customHeight="1">
      <c r="B168" s="51"/>
    </row>
    <row r="169" ht="15.75" customHeight="1">
      <c r="B169" s="51"/>
    </row>
    <row r="170" ht="15.75" customHeight="1">
      <c r="B170" s="51"/>
    </row>
    <row r="171" ht="15.75" customHeight="1">
      <c r="B171" s="51"/>
    </row>
    <row r="172" ht="15.75" customHeight="1">
      <c r="B172" s="51"/>
    </row>
    <row r="173" ht="15.75" customHeight="1">
      <c r="B173" s="51"/>
    </row>
    <row r="174" ht="15.75" customHeight="1">
      <c r="B174" s="51"/>
    </row>
    <row r="175" ht="15.75" customHeight="1">
      <c r="B175" s="51"/>
    </row>
    <row r="176" ht="15.75" customHeight="1">
      <c r="B176" s="51"/>
    </row>
    <row r="177" ht="15.75" customHeight="1">
      <c r="B177" s="51"/>
    </row>
    <row r="178" ht="15.75" customHeight="1">
      <c r="B178" s="51"/>
    </row>
    <row r="179" ht="15.75" customHeight="1">
      <c r="B179" s="51"/>
    </row>
    <row r="180" ht="15.75" customHeight="1">
      <c r="B180" s="51"/>
    </row>
    <row r="181" ht="15.75" customHeight="1">
      <c r="B181" s="51"/>
    </row>
    <row r="182" ht="15.75" customHeight="1">
      <c r="B182" s="51"/>
    </row>
    <row r="183" ht="15.75" customHeight="1">
      <c r="B183" s="51"/>
    </row>
    <row r="184" ht="15.75" customHeight="1">
      <c r="B184" s="51"/>
    </row>
    <row r="185" ht="15.75" customHeight="1">
      <c r="B185" s="51"/>
    </row>
    <row r="186" ht="15.75" customHeight="1">
      <c r="B186" s="51"/>
    </row>
    <row r="187" ht="15.75" customHeight="1">
      <c r="B187" s="51"/>
    </row>
    <row r="188" ht="15.75" customHeight="1">
      <c r="B188" s="51"/>
    </row>
    <row r="189" ht="15.75" customHeight="1">
      <c r="B189" s="51"/>
    </row>
    <row r="190" ht="15.75" customHeight="1">
      <c r="B190" s="51"/>
    </row>
    <row r="191" ht="15.75" customHeight="1">
      <c r="B191" s="51"/>
    </row>
    <row r="192" ht="15.75" customHeight="1">
      <c r="B192" s="51"/>
    </row>
    <row r="193" ht="15.75" customHeight="1">
      <c r="B193" s="51"/>
    </row>
    <row r="194" ht="15.75" customHeight="1">
      <c r="B194" s="51"/>
    </row>
    <row r="195" ht="15.75" customHeight="1">
      <c r="B195" s="51"/>
    </row>
    <row r="196" ht="15.75" customHeight="1">
      <c r="B196" s="51"/>
    </row>
    <row r="197" ht="15.75" customHeight="1">
      <c r="B197" s="51"/>
    </row>
    <row r="198" ht="15.75" customHeight="1">
      <c r="B198" s="51"/>
    </row>
    <row r="199" ht="15.75" customHeight="1">
      <c r="B199" s="51"/>
    </row>
    <row r="200" ht="15.75" customHeight="1">
      <c r="B200" s="51"/>
    </row>
    <row r="201" ht="15.75" customHeight="1">
      <c r="B201" s="51"/>
    </row>
    <row r="202" ht="15.75" customHeight="1">
      <c r="B202" s="51"/>
    </row>
    <row r="203" ht="15.75" customHeight="1">
      <c r="B203" s="51"/>
    </row>
    <row r="204" ht="15.75" customHeight="1">
      <c r="B204" s="51"/>
    </row>
    <row r="205" ht="15.75" customHeight="1">
      <c r="B205" s="51"/>
    </row>
    <row r="206" ht="15.75" customHeight="1">
      <c r="B206" s="51"/>
    </row>
    <row r="207" ht="15.75" customHeight="1">
      <c r="B207" s="51"/>
    </row>
    <row r="208" ht="15.75" customHeight="1">
      <c r="B208" s="51"/>
    </row>
    <row r="209" ht="15.75" customHeight="1">
      <c r="B209" s="51"/>
    </row>
    <row r="210" ht="15.75" customHeight="1">
      <c r="B210" s="51"/>
    </row>
    <row r="211" ht="15.75" customHeight="1">
      <c r="B211" s="51"/>
    </row>
    <row r="212" ht="15.75" customHeight="1">
      <c r="B212" s="51"/>
    </row>
    <row r="213" ht="15.75" customHeight="1">
      <c r="B213" s="51"/>
    </row>
    <row r="214" ht="15.75" customHeight="1">
      <c r="B214" s="51"/>
    </row>
    <row r="215" ht="15.75" customHeight="1">
      <c r="B215" s="51"/>
    </row>
    <row r="216" ht="15.75" customHeight="1">
      <c r="B216" s="51"/>
    </row>
    <row r="217" ht="15.75" customHeight="1">
      <c r="B217" s="51"/>
    </row>
    <row r="218" ht="15.75" customHeight="1">
      <c r="B218" s="51"/>
    </row>
    <row r="219" ht="15.75" customHeight="1">
      <c r="B219" s="51"/>
    </row>
    <row r="220" ht="15.75" customHeight="1">
      <c r="B220" s="51"/>
    </row>
    <row r="221" ht="15.75" customHeight="1">
      <c r="B221" s="51"/>
    </row>
    <row r="222" ht="15.75" customHeight="1">
      <c r="B222" s="51"/>
    </row>
    <row r="223" ht="15.75" customHeight="1">
      <c r="B223" s="51"/>
    </row>
    <row r="224" ht="15.75" customHeight="1">
      <c r="B224" s="51"/>
    </row>
    <row r="225" ht="15.75" customHeight="1">
      <c r="B225" s="51"/>
    </row>
    <row r="226" ht="15.75" customHeight="1">
      <c r="B226" s="51"/>
    </row>
    <row r="227" ht="15.75" customHeight="1">
      <c r="B227" s="51"/>
    </row>
    <row r="228" ht="15.75" customHeight="1">
      <c r="B228" s="51"/>
    </row>
    <row r="229" ht="15.75" customHeight="1">
      <c r="B229" s="51"/>
    </row>
    <row r="230" ht="15.75" customHeight="1">
      <c r="B230" s="51"/>
    </row>
    <row r="231" ht="15.75" customHeight="1">
      <c r="B231" s="51"/>
    </row>
    <row r="232" ht="15.75" customHeight="1">
      <c r="B232" s="51"/>
    </row>
    <row r="233" ht="15.75" customHeight="1">
      <c r="B233" s="51"/>
    </row>
    <row r="234" ht="15.75" customHeight="1">
      <c r="B234" s="51"/>
    </row>
    <row r="235" ht="15.75" customHeight="1">
      <c r="B235" s="51"/>
    </row>
    <row r="236" ht="15.75" customHeight="1">
      <c r="B236" s="51"/>
    </row>
    <row r="237" ht="15.75" customHeight="1">
      <c r="B237" s="51"/>
    </row>
    <row r="238" ht="15.75" customHeight="1">
      <c r="B238" s="51"/>
    </row>
    <row r="239" ht="15.75" customHeight="1">
      <c r="B239" s="51"/>
    </row>
    <row r="240" ht="15.75" customHeight="1">
      <c r="B240" s="51"/>
    </row>
    <row r="241" ht="15.75" customHeight="1">
      <c r="B241" s="51"/>
    </row>
    <row r="242" ht="15.75" customHeight="1">
      <c r="B242" s="51"/>
    </row>
    <row r="243" ht="15.75" customHeight="1">
      <c r="B243" s="51"/>
    </row>
    <row r="244" ht="15.75" customHeight="1">
      <c r="B244" s="51"/>
    </row>
    <row r="245" ht="15.75" customHeight="1">
      <c r="B245" s="51"/>
    </row>
    <row r="246" ht="15.75" customHeight="1">
      <c r="B246" s="51"/>
    </row>
    <row r="247" ht="15.75" customHeight="1">
      <c r="B247" s="51"/>
    </row>
    <row r="248" ht="15.75" customHeight="1">
      <c r="B248" s="51"/>
    </row>
    <row r="249" ht="15.75" customHeight="1">
      <c r="B249" s="51"/>
    </row>
    <row r="250" ht="15.75" customHeight="1">
      <c r="B250" s="51"/>
    </row>
    <row r="251" ht="15.75" customHeight="1">
      <c r="B251" s="51"/>
    </row>
    <row r="252" ht="15.75" customHeight="1">
      <c r="B252" s="51"/>
    </row>
    <row r="253" ht="15.75" customHeight="1">
      <c r="B253" s="51"/>
    </row>
    <row r="254" ht="15.75" customHeight="1">
      <c r="B254" s="51"/>
    </row>
    <row r="255" ht="15.75" customHeight="1">
      <c r="B255" s="51"/>
    </row>
    <row r="256" ht="15.75" customHeight="1">
      <c r="B256" s="51"/>
    </row>
    <row r="257" ht="15.75" customHeight="1">
      <c r="B257" s="51"/>
    </row>
    <row r="258" ht="15.75" customHeight="1">
      <c r="B258" s="51"/>
    </row>
    <row r="259" ht="15.75" customHeight="1">
      <c r="B259" s="51"/>
    </row>
    <row r="260" ht="15.75" customHeight="1">
      <c r="B260" s="51"/>
    </row>
    <row r="261" ht="15.75" customHeight="1">
      <c r="B261" s="51"/>
    </row>
    <row r="262" ht="15.75" customHeight="1">
      <c r="B262" s="51"/>
    </row>
    <row r="263" ht="15.75" customHeight="1">
      <c r="B263" s="51"/>
    </row>
    <row r="264" ht="15.75" customHeight="1">
      <c r="B264" s="51"/>
    </row>
    <row r="265" ht="15.75" customHeight="1">
      <c r="B265" s="51"/>
    </row>
    <row r="266" ht="15.75" customHeight="1">
      <c r="B266" s="51"/>
    </row>
    <row r="267" ht="15.75" customHeight="1">
      <c r="B267" s="51"/>
    </row>
    <row r="268" ht="15.75" customHeight="1">
      <c r="B268" s="51"/>
    </row>
    <row r="269" ht="15.75" customHeight="1">
      <c r="B269" s="51"/>
    </row>
    <row r="270" ht="15.75" customHeight="1">
      <c r="B270" s="51"/>
    </row>
    <row r="271" ht="15.75" customHeight="1">
      <c r="B271" s="51"/>
    </row>
    <row r="272" ht="15.75" customHeight="1">
      <c r="B272" s="51"/>
    </row>
    <row r="273" ht="15.75" customHeight="1">
      <c r="B273" s="51"/>
    </row>
    <row r="274" ht="15.75" customHeight="1">
      <c r="B274" s="51"/>
    </row>
    <row r="275" ht="15.75" customHeight="1">
      <c r="B275" s="51"/>
    </row>
    <row r="276" ht="15.75" customHeight="1">
      <c r="B276" s="51"/>
    </row>
    <row r="277" ht="15.75" customHeight="1">
      <c r="B277" s="51"/>
    </row>
    <row r="278" ht="15.75" customHeight="1">
      <c r="B278" s="51"/>
    </row>
    <row r="279" ht="15.75" customHeight="1">
      <c r="B279" s="51"/>
    </row>
    <row r="280" ht="15.75" customHeight="1">
      <c r="B280" s="51"/>
    </row>
    <row r="281" ht="15.75" customHeight="1">
      <c r="B281" s="51"/>
    </row>
    <row r="282" ht="15.75" customHeight="1">
      <c r="B282" s="51"/>
    </row>
    <row r="283" ht="15.75" customHeight="1">
      <c r="B283" s="51"/>
    </row>
    <row r="284" ht="15.75" customHeight="1">
      <c r="B284" s="51"/>
    </row>
    <row r="285" ht="15.75" customHeight="1">
      <c r="B285" s="51"/>
    </row>
    <row r="286" ht="15.75" customHeight="1">
      <c r="B286" s="51"/>
    </row>
    <row r="287" ht="15.75" customHeight="1">
      <c r="B287" s="51"/>
    </row>
    <row r="288" ht="15.75" customHeight="1">
      <c r="B288" s="51"/>
    </row>
    <row r="289" ht="15.75" customHeight="1">
      <c r="B289" s="51"/>
    </row>
    <row r="290" ht="15.75" customHeight="1">
      <c r="B290" s="51"/>
    </row>
    <row r="291" ht="15.75" customHeight="1">
      <c r="B291" s="51"/>
    </row>
    <row r="292" ht="15.75" customHeight="1">
      <c r="B292" s="51"/>
    </row>
    <row r="293" ht="15.75" customHeight="1">
      <c r="B293" s="51"/>
    </row>
    <row r="294" ht="15.75" customHeight="1">
      <c r="B294" s="51"/>
    </row>
    <row r="295" ht="15.75" customHeight="1">
      <c r="B295" s="51"/>
    </row>
    <row r="296" ht="15.75" customHeight="1">
      <c r="B296" s="51"/>
    </row>
    <row r="297" ht="15.75" customHeight="1">
      <c r="B297" s="51"/>
    </row>
    <row r="298" ht="15.75" customHeight="1">
      <c r="B298" s="51"/>
    </row>
    <row r="299" ht="15.75" customHeight="1">
      <c r="B299" s="51"/>
    </row>
    <row r="300" ht="15.75" customHeight="1">
      <c r="B300" s="51"/>
    </row>
    <row r="301" ht="15.75" customHeight="1">
      <c r="B301" s="51"/>
    </row>
    <row r="302" ht="15.75" customHeight="1">
      <c r="B302" s="51"/>
    </row>
    <row r="303" ht="15.75" customHeight="1">
      <c r="B303" s="51"/>
    </row>
    <row r="304" ht="15.75" customHeight="1">
      <c r="B304" s="51"/>
    </row>
    <row r="305" ht="15.75" customHeight="1">
      <c r="B305" s="51"/>
    </row>
    <row r="306" ht="15.75" customHeight="1">
      <c r="B306" s="51"/>
    </row>
    <row r="307" ht="15.75" customHeight="1">
      <c r="B307" s="51"/>
    </row>
    <row r="308" ht="15.75" customHeight="1">
      <c r="B308" s="51"/>
    </row>
    <row r="309" ht="15.75" customHeight="1">
      <c r="B309" s="51"/>
    </row>
    <row r="310" ht="15.75" customHeight="1">
      <c r="B310" s="51"/>
    </row>
    <row r="311" ht="15.75" customHeight="1">
      <c r="B311" s="51"/>
    </row>
    <row r="312" ht="15.75" customHeight="1">
      <c r="B312" s="51"/>
    </row>
    <row r="313" ht="15.75" customHeight="1">
      <c r="B313" s="51"/>
    </row>
    <row r="314" ht="15.75" customHeight="1">
      <c r="B314" s="51"/>
    </row>
    <row r="315" ht="15.75" customHeight="1">
      <c r="B315" s="51"/>
    </row>
    <row r="316" ht="15.75" customHeight="1">
      <c r="B316" s="51"/>
    </row>
    <row r="317" ht="15.75" customHeight="1">
      <c r="B317" s="51"/>
    </row>
    <row r="318" ht="15.75" customHeight="1">
      <c r="B318" s="51"/>
    </row>
    <row r="319" ht="15.75" customHeight="1">
      <c r="B319" s="51"/>
    </row>
    <row r="320" ht="15.75" customHeight="1">
      <c r="B320" s="51"/>
    </row>
    <row r="321" ht="15.75" customHeight="1">
      <c r="B321" s="51"/>
    </row>
    <row r="322" ht="15.75" customHeight="1">
      <c r="B322" s="51"/>
    </row>
    <row r="323" ht="15.75" customHeight="1">
      <c r="B323" s="51"/>
    </row>
    <row r="324" ht="15.75" customHeight="1">
      <c r="B324" s="51"/>
    </row>
    <row r="325" ht="15.75" customHeight="1">
      <c r="B325" s="51"/>
    </row>
    <row r="326" ht="15.75" customHeight="1">
      <c r="B326" s="51"/>
    </row>
    <row r="327" ht="15.75" customHeight="1">
      <c r="B327" s="51"/>
    </row>
    <row r="328" ht="15.75" customHeight="1">
      <c r="B328" s="51"/>
    </row>
    <row r="329" ht="15.75" customHeight="1">
      <c r="B329" s="51"/>
    </row>
    <row r="330" ht="15.75" customHeight="1">
      <c r="B330" s="51"/>
    </row>
    <row r="331" ht="15.75" customHeight="1">
      <c r="B331" s="51"/>
    </row>
    <row r="332" ht="15.75" customHeight="1">
      <c r="B332" s="51"/>
    </row>
    <row r="333" ht="15.75" customHeight="1">
      <c r="B333" s="51"/>
    </row>
    <row r="334" ht="15.75" customHeight="1">
      <c r="B334" s="51"/>
    </row>
    <row r="335" ht="15.75" customHeight="1">
      <c r="B335" s="51"/>
    </row>
    <row r="336" ht="15.75" customHeight="1">
      <c r="B336" s="51"/>
    </row>
    <row r="337" ht="15.75" customHeight="1">
      <c r="B337" s="51"/>
    </row>
    <row r="338" ht="15.75" customHeight="1">
      <c r="B338" s="51"/>
    </row>
    <row r="339" ht="15.75" customHeight="1">
      <c r="B339" s="51"/>
    </row>
    <row r="340" ht="15.75" customHeight="1">
      <c r="B340" s="51"/>
    </row>
    <row r="341" ht="15.75" customHeight="1">
      <c r="B341" s="51"/>
    </row>
    <row r="342" ht="15.75" customHeight="1">
      <c r="B342" s="51"/>
    </row>
    <row r="343" ht="15.75" customHeight="1">
      <c r="B343" s="51"/>
    </row>
    <row r="344" ht="15.75" customHeight="1">
      <c r="B344" s="51"/>
    </row>
    <row r="345" ht="15.75" customHeight="1">
      <c r="B345" s="51"/>
    </row>
    <row r="346" ht="15.75" customHeight="1">
      <c r="B346" s="51"/>
    </row>
    <row r="347" ht="15.75" customHeight="1">
      <c r="B347" s="51"/>
    </row>
    <row r="348" ht="15.75" customHeight="1">
      <c r="B348" s="51"/>
    </row>
    <row r="349" ht="15.75" customHeight="1">
      <c r="B349" s="51"/>
    </row>
    <row r="350" ht="15.75" customHeight="1">
      <c r="B350" s="51"/>
    </row>
    <row r="351" ht="15.75" customHeight="1">
      <c r="B351" s="51"/>
    </row>
    <row r="352" ht="15.75" customHeight="1">
      <c r="B352" s="51"/>
    </row>
    <row r="353" ht="15.75" customHeight="1">
      <c r="B353" s="51"/>
    </row>
    <row r="354" ht="15.75" customHeight="1">
      <c r="B354" s="51"/>
    </row>
    <row r="355" ht="15.75" customHeight="1">
      <c r="B355" s="51"/>
    </row>
    <row r="356" ht="15.75" customHeight="1">
      <c r="B356" s="51"/>
    </row>
    <row r="357" ht="15.75" customHeight="1">
      <c r="B357" s="51"/>
    </row>
    <row r="358" ht="15.75" customHeight="1">
      <c r="B358" s="51"/>
    </row>
    <row r="359" ht="15.75" customHeight="1">
      <c r="B359" s="51"/>
    </row>
    <row r="360" ht="15.75" customHeight="1">
      <c r="B360" s="51"/>
    </row>
    <row r="361" ht="15.75" customHeight="1">
      <c r="B361" s="51"/>
    </row>
    <row r="362" ht="15.75" customHeight="1">
      <c r="B362" s="51"/>
    </row>
    <row r="363" ht="15.75" customHeight="1">
      <c r="B363" s="51"/>
    </row>
    <row r="364" ht="15.75" customHeight="1">
      <c r="B364" s="51"/>
    </row>
    <row r="365" ht="15.75" customHeight="1">
      <c r="B365" s="51"/>
    </row>
    <row r="366" ht="15.75" customHeight="1">
      <c r="B366" s="51"/>
    </row>
    <row r="367" ht="15.75" customHeight="1">
      <c r="B367" s="51"/>
    </row>
    <row r="368" ht="15.75" customHeight="1">
      <c r="B368" s="51"/>
    </row>
    <row r="369" ht="15.75" customHeight="1">
      <c r="B369" s="51"/>
    </row>
    <row r="370" ht="15.75" customHeight="1">
      <c r="B370" s="51"/>
    </row>
    <row r="371" ht="15.75" customHeight="1">
      <c r="B371" s="51"/>
    </row>
    <row r="372" ht="15.75" customHeight="1">
      <c r="B372" s="51"/>
    </row>
    <row r="373" ht="15.75" customHeight="1">
      <c r="B373" s="51"/>
    </row>
    <row r="374" ht="15.75" customHeight="1">
      <c r="B374" s="51"/>
    </row>
    <row r="375" ht="15.75" customHeight="1">
      <c r="B375" s="51"/>
    </row>
    <row r="376" ht="15.75" customHeight="1">
      <c r="B376" s="51"/>
    </row>
    <row r="377" ht="15.75" customHeight="1">
      <c r="B377" s="51"/>
    </row>
    <row r="378" ht="15.75" customHeight="1">
      <c r="B378" s="51"/>
    </row>
    <row r="379" ht="15.75" customHeight="1">
      <c r="B379" s="51"/>
    </row>
    <row r="380" ht="15.75" customHeight="1">
      <c r="B380" s="51"/>
    </row>
    <row r="381" ht="15.75" customHeight="1">
      <c r="B381" s="51"/>
    </row>
    <row r="382" ht="15.75" customHeight="1">
      <c r="B382" s="51"/>
    </row>
    <row r="383" ht="15.75" customHeight="1">
      <c r="B383" s="51"/>
    </row>
    <row r="384" ht="15.75" customHeight="1">
      <c r="B384" s="51"/>
    </row>
    <row r="385" ht="15.75" customHeight="1">
      <c r="B385" s="51"/>
    </row>
    <row r="386" ht="15.75" customHeight="1">
      <c r="B386" s="51"/>
    </row>
    <row r="387" ht="15.75" customHeight="1">
      <c r="B387" s="51"/>
    </row>
    <row r="388" ht="15.75" customHeight="1">
      <c r="B388" s="51"/>
    </row>
    <row r="389" ht="15.75" customHeight="1">
      <c r="B389" s="51"/>
    </row>
    <row r="390" ht="15.75" customHeight="1">
      <c r="B390" s="51"/>
    </row>
    <row r="391" ht="15.75" customHeight="1">
      <c r="B391" s="51"/>
    </row>
    <row r="392" ht="15.75" customHeight="1">
      <c r="B392" s="51"/>
    </row>
    <row r="393" ht="15.75" customHeight="1">
      <c r="B393" s="51"/>
    </row>
    <row r="394" ht="15.75" customHeight="1">
      <c r="B394" s="51"/>
    </row>
    <row r="395" ht="15.75" customHeight="1">
      <c r="B395" s="51"/>
    </row>
    <row r="396" ht="15.75" customHeight="1">
      <c r="B396" s="51"/>
    </row>
    <row r="397" ht="15.75" customHeight="1">
      <c r="B397" s="51"/>
    </row>
    <row r="398" ht="15.75" customHeight="1">
      <c r="B398" s="51"/>
    </row>
    <row r="399" ht="15.75" customHeight="1">
      <c r="B399" s="51"/>
    </row>
    <row r="400" ht="15.75" customHeight="1">
      <c r="B400" s="51"/>
    </row>
    <row r="401" ht="15.75" customHeight="1">
      <c r="B401" s="51"/>
    </row>
    <row r="402" ht="15.75" customHeight="1">
      <c r="B402" s="51"/>
    </row>
    <row r="403" ht="15.75" customHeight="1">
      <c r="B403" s="51"/>
    </row>
    <row r="404" ht="15.75" customHeight="1">
      <c r="B404" s="51"/>
    </row>
    <row r="405" ht="15.75" customHeight="1">
      <c r="B405" s="51"/>
    </row>
    <row r="406" ht="15.75" customHeight="1">
      <c r="B406" s="51"/>
    </row>
    <row r="407" ht="15.75" customHeight="1">
      <c r="B407" s="51"/>
    </row>
    <row r="408" ht="15.75" customHeight="1">
      <c r="B408" s="51"/>
    </row>
    <row r="409" ht="15.75" customHeight="1">
      <c r="B409" s="51"/>
    </row>
    <row r="410" ht="15.75" customHeight="1">
      <c r="B410" s="51"/>
    </row>
    <row r="411" ht="15.75" customHeight="1">
      <c r="B411" s="51"/>
    </row>
    <row r="412" ht="15.75" customHeight="1">
      <c r="B412" s="51"/>
    </row>
    <row r="413" ht="15.75" customHeight="1">
      <c r="B413" s="51"/>
    </row>
    <row r="414" ht="15.75" customHeight="1">
      <c r="B414" s="51"/>
    </row>
    <row r="415" ht="15.75" customHeight="1">
      <c r="B415" s="51"/>
    </row>
    <row r="416" ht="15.75" customHeight="1">
      <c r="B416" s="51"/>
    </row>
    <row r="417" ht="15.75" customHeight="1">
      <c r="B417" s="51"/>
    </row>
    <row r="418" ht="15.75" customHeight="1">
      <c r="B418" s="51"/>
    </row>
    <row r="419" ht="15.75" customHeight="1">
      <c r="B419" s="51"/>
    </row>
    <row r="420" ht="15.75" customHeight="1">
      <c r="B420" s="51"/>
    </row>
    <row r="421" ht="15.75" customHeight="1">
      <c r="B421" s="51"/>
    </row>
    <row r="422" ht="15.75" customHeight="1">
      <c r="B422" s="51"/>
    </row>
    <row r="423" ht="15.75" customHeight="1">
      <c r="B423" s="51"/>
    </row>
    <row r="424" ht="15.75" customHeight="1">
      <c r="B424" s="51"/>
    </row>
    <row r="425" ht="15.75" customHeight="1">
      <c r="B425" s="51"/>
    </row>
    <row r="426" ht="15.75" customHeight="1">
      <c r="B426" s="51"/>
    </row>
    <row r="427" ht="15.75" customHeight="1">
      <c r="B427" s="51"/>
    </row>
    <row r="428" ht="15.75" customHeight="1">
      <c r="B428" s="51"/>
    </row>
    <row r="429" ht="15.75" customHeight="1">
      <c r="B429" s="51"/>
    </row>
    <row r="430" ht="15.75" customHeight="1">
      <c r="B430" s="51"/>
    </row>
    <row r="431" ht="15.75" customHeight="1">
      <c r="B431" s="51"/>
    </row>
    <row r="432" ht="15.75" customHeight="1">
      <c r="B432" s="51"/>
    </row>
    <row r="433" ht="15.75" customHeight="1">
      <c r="B433" s="51"/>
    </row>
    <row r="434" ht="15.75" customHeight="1">
      <c r="B434" s="51"/>
    </row>
    <row r="435" ht="15.75" customHeight="1">
      <c r="B435" s="51"/>
    </row>
    <row r="436" ht="15.75" customHeight="1">
      <c r="B436" s="51"/>
    </row>
    <row r="437" ht="15.75" customHeight="1">
      <c r="B437" s="51"/>
    </row>
    <row r="438" ht="15.75" customHeight="1">
      <c r="B438" s="51"/>
    </row>
    <row r="439" ht="15.75" customHeight="1">
      <c r="B439" s="51"/>
    </row>
    <row r="440" ht="15.75" customHeight="1">
      <c r="B440" s="51"/>
    </row>
    <row r="441" ht="15.75" customHeight="1">
      <c r="B441" s="51"/>
    </row>
    <row r="442" ht="15.75" customHeight="1">
      <c r="B442" s="51"/>
    </row>
    <row r="443" ht="15.75" customHeight="1">
      <c r="B443" s="51"/>
    </row>
    <row r="444" ht="15.75" customHeight="1">
      <c r="B444" s="51"/>
    </row>
    <row r="445" ht="15.75" customHeight="1">
      <c r="B445" s="51"/>
    </row>
    <row r="446" ht="15.75" customHeight="1">
      <c r="B446" s="51"/>
    </row>
    <row r="447" ht="15.75" customHeight="1">
      <c r="B447" s="51"/>
    </row>
    <row r="448" ht="15.75" customHeight="1">
      <c r="B448" s="51"/>
    </row>
    <row r="449" ht="15.75" customHeight="1">
      <c r="B449" s="51"/>
    </row>
    <row r="450" ht="15.75" customHeight="1">
      <c r="B450" s="51"/>
    </row>
    <row r="451" ht="15.75" customHeight="1">
      <c r="B451" s="51"/>
    </row>
    <row r="452" ht="15.75" customHeight="1">
      <c r="B452" s="51"/>
    </row>
    <row r="453" ht="15.75" customHeight="1">
      <c r="B453" s="51"/>
    </row>
    <row r="454" ht="15.75" customHeight="1">
      <c r="B454" s="51"/>
    </row>
    <row r="455" ht="15.75" customHeight="1">
      <c r="B455" s="51"/>
    </row>
    <row r="456" ht="15.75" customHeight="1">
      <c r="B456" s="51"/>
    </row>
    <row r="457" ht="15.75" customHeight="1">
      <c r="B457" s="51"/>
    </row>
    <row r="458" ht="15.75" customHeight="1">
      <c r="B458" s="51"/>
    </row>
    <row r="459" ht="15.75" customHeight="1">
      <c r="B459" s="51"/>
    </row>
    <row r="460" ht="15.75" customHeight="1">
      <c r="B460" s="51"/>
    </row>
    <row r="461" ht="15.75" customHeight="1">
      <c r="B461" s="51"/>
    </row>
    <row r="462" ht="15.75" customHeight="1">
      <c r="B462" s="51"/>
    </row>
    <row r="463" ht="15.75" customHeight="1">
      <c r="B463" s="51"/>
    </row>
    <row r="464" ht="15.75" customHeight="1">
      <c r="B464" s="51"/>
    </row>
    <row r="465" ht="15.75" customHeight="1">
      <c r="B465" s="51"/>
    </row>
    <row r="466" ht="15.75" customHeight="1">
      <c r="B466" s="51"/>
    </row>
    <row r="467" ht="15.75" customHeight="1">
      <c r="B467" s="51"/>
    </row>
    <row r="468" ht="15.75" customHeight="1">
      <c r="B468" s="51"/>
    </row>
    <row r="469" ht="15.75" customHeight="1">
      <c r="B469" s="51"/>
    </row>
    <row r="470" ht="15.75" customHeight="1">
      <c r="B470" s="51"/>
    </row>
    <row r="471" ht="15.75" customHeight="1">
      <c r="B471" s="51"/>
    </row>
    <row r="472" ht="15.75" customHeight="1">
      <c r="B472" s="51"/>
    </row>
    <row r="473" ht="15.75" customHeight="1">
      <c r="B473" s="51"/>
    </row>
    <row r="474" ht="15.75" customHeight="1">
      <c r="B474" s="51"/>
    </row>
    <row r="475" ht="15.75" customHeight="1">
      <c r="B475" s="51"/>
    </row>
    <row r="476" ht="15.75" customHeight="1">
      <c r="B476" s="51"/>
    </row>
    <row r="477" ht="15.75" customHeight="1">
      <c r="B477" s="51"/>
    </row>
    <row r="478" ht="15.75" customHeight="1">
      <c r="B478" s="51"/>
    </row>
    <row r="479" ht="15.75" customHeight="1">
      <c r="B479" s="51"/>
    </row>
    <row r="480" ht="15.75" customHeight="1">
      <c r="B480" s="51"/>
    </row>
    <row r="481" ht="15.75" customHeight="1">
      <c r="B481" s="51"/>
    </row>
    <row r="482" ht="15.75" customHeight="1">
      <c r="B482" s="51"/>
    </row>
    <row r="483" ht="15.75" customHeight="1">
      <c r="B483" s="51"/>
    </row>
    <row r="484" ht="15.75" customHeight="1">
      <c r="B484" s="51"/>
    </row>
    <row r="485" ht="15.75" customHeight="1">
      <c r="B485" s="51"/>
    </row>
    <row r="486" ht="15.75" customHeight="1">
      <c r="B486" s="51"/>
    </row>
    <row r="487" ht="15.75" customHeight="1">
      <c r="B487" s="51"/>
    </row>
    <row r="488" ht="15.75" customHeight="1">
      <c r="B488" s="51"/>
    </row>
    <row r="489" ht="15.75" customHeight="1">
      <c r="B489" s="51"/>
    </row>
    <row r="490" ht="15.75" customHeight="1">
      <c r="B490" s="51"/>
    </row>
    <row r="491" ht="15.75" customHeight="1">
      <c r="B491" s="51"/>
    </row>
    <row r="492" ht="15.75" customHeight="1">
      <c r="B492" s="51"/>
    </row>
    <row r="493" ht="15.75" customHeight="1">
      <c r="B493" s="51"/>
    </row>
    <row r="494" ht="15.75" customHeight="1">
      <c r="B494" s="51"/>
    </row>
    <row r="495" ht="15.75" customHeight="1">
      <c r="B495" s="51"/>
    </row>
    <row r="496" ht="15.75" customHeight="1">
      <c r="B496" s="51"/>
    </row>
    <row r="497" ht="15.75" customHeight="1">
      <c r="B497" s="51"/>
    </row>
    <row r="498" ht="15.75" customHeight="1">
      <c r="B498" s="51"/>
    </row>
    <row r="499" ht="15.75" customHeight="1">
      <c r="B499" s="51"/>
    </row>
    <row r="500" ht="15.75" customHeight="1">
      <c r="B500" s="51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V1"/>
    <mergeCell ref="A2:V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75"/>
    <col customWidth="1" min="2" max="2" width="12.5"/>
    <col customWidth="1" min="3" max="3" width="49.25"/>
    <col customWidth="1" min="4" max="4" width="17.5"/>
    <col customWidth="1" min="5" max="5" width="16.25"/>
    <col customWidth="1" min="6" max="6" width="53.88"/>
    <col customWidth="1" min="7" max="8" width="12.5"/>
    <col customWidth="1" min="9" max="9" width="10.0"/>
    <col customWidth="1" min="10" max="10" width="11.25"/>
    <col customWidth="1" min="11" max="11" width="18.75"/>
    <col customWidth="1" min="12" max="12" width="15.0"/>
    <col customWidth="1" min="13" max="13" width="25.0"/>
    <col customWidth="1" min="14" max="14" width="13.75"/>
    <col customWidth="1" min="15" max="15" width="13.13"/>
    <col customWidth="1" min="16" max="16" width="10.0"/>
    <col customWidth="1" min="17" max="17" width="14.38"/>
    <col customWidth="1" min="18" max="18" width="15.0"/>
    <col customWidth="1" min="19" max="19" width="13.13"/>
    <col customWidth="1" min="20" max="20" width="14.38"/>
    <col customWidth="1" min="21" max="21" width="13.75"/>
    <col customWidth="1" min="22" max="22" width="26.25"/>
    <col customWidth="1" min="23" max="23" width="13.75"/>
    <col customWidth="1" min="24" max="24" width="13.13"/>
    <col customWidth="1" min="25" max="25" width="15.0"/>
    <col customWidth="1" min="26" max="26" width="10.63"/>
    <col customWidth="1" min="27" max="28" width="15.0"/>
    <col customWidth="1" min="29" max="29" width="21.25"/>
    <col customWidth="1" min="30" max="30" width="27.5"/>
  </cols>
  <sheetData>
    <row r="1" ht="27.0" customHeight="1">
      <c r="A1" s="1" t="s">
        <v>206</v>
      </c>
    </row>
    <row r="2" ht="25.5" customHeight="1">
      <c r="A2" s="2" t="s">
        <v>133</v>
      </c>
    </row>
    <row r="5">
      <c r="A5" s="3" t="s">
        <v>44</v>
      </c>
      <c r="B5" s="8" t="s">
        <v>51</v>
      </c>
      <c r="C5" s="8" t="s">
        <v>45</v>
      </c>
      <c r="D5" s="8" t="s">
        <v>53</v>
      </c>
      <c r="E5" s="8" t="s">
        <v>54</v>
      </c>
      <c r="F5" s="8" t="s">
        <v>55</v>
      </c>
      <c r="G5" s="8" t="s">
        <v>56</v>
      </c>
      <c r="H5" s="8" t="s">
        <v>57</v>
      </c>
      <c r="I5" s="8" t="s">
        <v>58</v>
      </c>
      <c r="J5" s="8" t="s">
        <v>59</v>
      </c>
      <c r="K5" s="8" t="s">
        <v>60</v>
      </c>
      <c r="L5" s="8" t="s">
        <v>61</v>
      </c>
      <c r="M5" s="8" t="s">
        <v>62</v>
      </c>
      <c r="N5" s="8" t="s">
        <v>63</v>
      </c>
      <c r="O5" s="8" t="s">
        <v>50</v>
      </c>
      <c r="P5" s="8" t="s">
        <v>23</v>
      </c>
      <c r="Q5" s="8" t="s">
        <v>29</v>
      </c>
      <c r="R5" s="8" t="s">
        <v>26</v>
      </c>
      <c r="S5" s="8" t="s">
        <v>65</v>
      </c>
      <c r="T5" s="8" t="s">
        <v>49</v>
      </c>
      <c r="U5" s="8" t="s">
        <v>67</v>
      </c>
      <c r="V5" s="8" t="s">
        <v>68</v>
      </c>
      <c r="W5" s="8" t="s">
        <v>69</v>
      </c>
      <c r="X5" s="8" t="s">
        <v>70</v>
      </c>
      <c r="Y5" s="8" t="s">
        <v>71</v>
      </c>
      <c r="Z5" s="8" t="s">
        <v>72</v>
      </c>
      <c r="AA5" s="8" t="s">
        <v>73</v>
      </c>
      <c r="AB5" s="8" t="s">
        <v>74</v>
      </c>
      <c r="AC5" s="8" t="s">
        <v>75</v>
      </c>
      <c r="AD5" s="9" t="s">
        <v>52</v>
      </c>
    </row>
    <row r="6">
      <c r="A6" s="50">
        <f>IFERROR(__xludf.DUMMYFUNCTION("IFERROR(FILTER('Master Leads'!$A$6:$AD$495, 'Master Leads'!$A$6:$A$495&lt;&gt;"""", 'Master Leads'!$K$6:$K$495=""NGO &amp; Foundation""), ""No matching leads yet"")"),4.0)</f>
        <v>4</v>
      </c>
      <c r="B6" s="51">
        <f>IFERROR(__xludf.DUMMYFUNCTION("""COMPUTED_VALUE"""),46264.0)</f>
        <v>46264</v>
      </c>
      <c r="C6" s="50" t="str">
        <f>IFERROR(__xludf.DUMMYFUNCTION("""COMPUTED_VALUE"""),"Vishalwin")</f>
        <v>Vishalwin</v>
      </c>
      <c r="D6" s="50" t="str">
        <f>IFERROR(__xludf.DUMMYFUNCTION("""COMPUTED_VALUE"""),"Mayuri")</f>
        <v>Mayuri</v>
      </c>
      <c r="E6" s="50" t="str">
        <f>IFERROR(__xludf.DUMMYFUNCTION("""COMPUTED_VALUE"""),"9510779939")</f>
        <v>9510779939</v>
      </c>
      <c r="F6" s="50" t="str">
        <f>IFERROR(__xludf.DUMMYFUNCTION("""COMPUTED_VALUE"""),"puunam@vishalwinfoundation.org/ puunam@vishalwinfoundation.org")</f>
        <v>puunam@vishalwinfoundation.org/ puunam@vishalwinfoundation.org</v>
      </c>
      <c r="G6" s="50" t="str">
        <f>IFERROR(__xludf.DUMMYFUNCTION("""COMPUTED_VALUE"""),"Ahmedabad")</f>
        <v>Ahmedabad</v>
      </c>
      <c r="H6" s="50" t="str">
        <f>IFERROR(__xludf.DUMMYFUNCTION("""COMPUTED_VALUE"""),"India")</f>
        <v>India</v>
      </c>
      <c r="I6" s="50" t="str">
        <f>IFERROR(__xludf.DUMMYFUNCTION("""COMPUTED_VALUE"""),"India")</f>
        <v>India</v>
      </c>
      <c r="J6" s="50" t="str">
        <f>IFERROR(__xludf.DUMMYFUNCTION("""COMPUTED_VALUE"""),"Service")</f>
        <v>Service</v>
      </c>
      <c r="K6" s="50" t="str">
        <f>IFERROR(__xludf.DUMMYFUNCTION("""COMPUTED_VALUE"""),"NGO &amp; Foundation")</f>
        <v>NGO &amp; Foundation</v>
      </c>
      <c r="L6" s="50" t="str">
        <f>IFERROR(__xludf.DUMMYFUNCTION("""COMPUTED_VALUE"""),"NGO")</f>
        <v>NGO</v>
      </c>
      <c r="M6" s="50"/>
      <c r="N6" s="50" t="str">
        <f>IFERROR(__xludf.DUMMYFUNCTION("""COMPUTED_VALUE"""),"Cold Outreach")</f>
        <v>Cold Outreach</v>
      </c>
      <c r="O6" s="50" t="str">
        <f>IFERROR(__xludf.DUMMYFUNCTION("""COMPUTED_VALUE"""),"Aastha")</f>
        <v>Aastha</v>
      </c>
      <c r="P6" s="50" t="str">
        <f>IFERROR(__xludf.DUMMYFUNCTION("""COMPUTED_VALUE"""),"Hot")</f>
        <v>Hot</v>
      </c>
      <c r="Q6" s="50" t="str">
        <f>IFERROR(__xludf.DUMMYFUNCTION("""COMPUTED_VALUE"""),"Converted")</f>
        <v>Converted</v>
      </c>
      <c r="R6" s="50" t="str">
        <f>IFERROR(__xludf.DUMMYFUNCTION("""COMPUTED_VALUE"""),"Follow-Up Complete")</f>
        <v>Follow-Up Complete</v>
      </c>
      <c r="S6" s="50">
        <f>IFERROR(__xludf.DUMMYFUNCTION("""COMPUTED_VALUE"""),46273.0)</f>
        <v>46273</v>
      </c>
      <c r="T6" s="50"/>
      <c r="U6" s="50" t="str">
        <f>IFERROR(__xludf.DUMMYFUNCTION("""COMPUTED_VALUE"""),"Completed")</f>
        <v>Completed</v>
      </c>
      <c r="V6" s="50"/>
      <c r="W6" s="50"/>
      <c r="X6" s="50"/>
      <c r="Y6" s="50"/>
      <c r="Z6" s="50"/>
      <c r="AA6" s="50">
        <f>IFERROR(__xludf.DUMMYFUNCTION("""COMPUTED_VALUE"""),0.0)</f>
        <v>0</v>
      </c>
      <c r="AB6" s="50"/>
      <c r="AC6" s="50"/>
      <c r="AD6" s="50"/>
    </row>
    <row r="7">
      <c r="A7" s="50">
        <f>IFERROR(__xludf.DUMMYFUNCTION("""COMPUTED_VALUE"""),8.0)</f>
        <v>8</v>
      </c>
      <c r="B7" s="51">
        <f>IFERROR(__xludf.DUMMYFUNCTION("""COMPUTED_VALUE"""),46264.0)</f>
        <v>46264</v>
      </c>
      <c r="C7" s="50" t="str">
        <f>IFERROR(__xludf.DUMMYFUNCTION("""COMPUTED_VALUE"""),"Karma Foundation")</f>
        <v>Karma Foundation</v>
      </c>
      <c r="D7" s="50" t="str">
        <f>IFERROR(__xludf.DUMMYFUNCTION("""COMPUTED_VALUE"""),"Sagar")</f>
        <v>Sagar</v>
      </c>
      <c r="E7" s="50" t="str">
        <f>IFERROR(__xludf.DUMMYFUNCTION("""COMPUTED_VALUE"""),"9898760976")</f>
        <v>9898760976</v>
      </c>
      <c r="F7" s="50"/>
      <c r="G7" s="50" t="str">
        <f>IFERROR(__xludf.DUMMYFUNCTION("""COMPUTED_VALUE"""),"Ahmedabad")</f>
        <v>Ahmedabad</v>
      </c>
      <c r="H7" s="50" t="str">
        <f>IFERROR(__xludf.DUMMYFUNCTION("""COMPUTED_VALUE"""),"India")</f>
        <v>India</v>
      </c>
      <c r="I7" s="50" t="str">
        <f>IFERROR(__xludf.DUMMYFUNCTION("""COMPUTED_VALUE"""),"India")</f>
        <v>India</v>
      </c>
      <c r="J7" s="50" t="str">
        <f>IFERROR(__xludf.DUMMYFUNCTION("""COMPUTED_VALUE"""),"Service")</f>
        <v>Service</v>
      </c>
      <c r="K7" s="50" t="str">
        <f>IFERROR(__xludf.DUMMYFUNCTION("""COMPUTED_VALUE"""),"NGO &amp; Foundation")</f>
        <v>NGO &amp; Foundation</v>
      </c>
      <c r="L7" s="50" t="str">
        <f>IFERROR(__xludf.DUMMYFUNCTION("""COMPUTED_VALUE"""),"Foundation")</f>
        <v>Foundation</v>
      </c>
      <c r="M7" s="50"/>
      <c r="N7" s="50" t="str">
        <f>IFERROR(__xludf.DUMMYFUNCTION("""COMPUTED_VALUE"""),"Other")</f>
        <v>Other</v>
      </c>
      <c r="O7" s="50" t="str">
        <f>IFERROR(__xludf.DUMMYFUNCTION("""COMPUTED_VALUE"""),"Aastha")</f>
        <v>Aastha</v>
      </c>
      <c r="P7" s="50" t="str">
        <f>IFERROR(__xludf.DUMMYFUNCTION("""COMPUTED_VALUE"""),"Hot")</f>
        <v>Hot</v>
      </c>
      <c r="Q7" s="50" t="str">
        <f>IFERROR(__xludf.DUMMYFUNCTION("""COMPUTED_VALUE"""),"Negotiation")</f>
        <v>Negotiation</v>
      </c>
      <c r="R7" s="50" t="str">
        <f>IFERROR(__xludf.DUMMYFUNCTION("""COMPUTED_VALUE"""),"3rd Follow-Up")</f>
        <v>3rd Follow-Up</v>
      </c>
      <c r="S7" s="50">
        <f>IFERROR(__xludf.DUMMYFUNCTION("""COMPUTED_VALUE"""),46272.0)</f>
        <v>46272</v>
      </c>
      <c r="T7" s="50"/>
      <c r="U7" s="50" t="str">
        <f>IFERROR(__xludf.DUMMYFUNCTION("""COMPUTED_VALUE"""),"Not Scheduled")</f>
        <v>Not Scheduled</v>
      </c>
      <c r="V7" s="50"/>
      <c r="W7" s="50"/>
      <c r="X7" s="50"/>
      <c r="Y7" s="50"/>
      <c r="Z7" s="50"/>
      <c r="AA7" s="50">
        <f>IFERROR(__xludf.DUMMYFUNCTION("""COMPUTED_VALUE"""),0.0)</f>
        <v>0</v>
      </c>
      <c r="AB7" s="50"/>
      <c r="AC7" s="50"/>
      <c r="AD7" s="50"/>
    </row>
    <row r="8">
      <c r="A8" s="50">
        <f>IFERROR(__xludf.DUMMYFUNCTION("""COMPUTED_VALUE"""),9.0)</f>
        <v>9</v>
      </c>
      <c r="B8" s="51">
        <f>IFERROR(__xludf.DUMMYFUNCTION("""COMPUTED_VALUE"""),46264.0)</f>
        <v>46264</v>
      </c>
      <c r="C8" s="50" t="str">
        <f>IFERROR(__xludf.DUMMYFUNCTION("""COMPUTED_VALUE"""),"Udgam")</f>
        <v>Udgam</v>
      </c>
      <c r="D8" s="50" t="str">
        <f>IFERROR(__xludf.DUMMYFUNCTION("""COMPUTED_VALUE"""),"Mayur Joshi")</f>
        <v>Mayur Joshi</v>
      </c>
      <c r="E8" s="50" t="str">
        <f>IFERROR(__xludf.DUMMYFUNCTION("""COMPUTED_VALUE"""),"9427380788")</f>
        <v>9427380788</v>
      </c>
      <c r="F8" s="50"/>
      <c r="G8" s="50" t="str">
        <f>IFERROR(__xludf.DUMMYFUNCTION("""COMPUTED_VALUE"""),"Ahmedabad")</f>
        <v>Ahmedabad</v>
      </c>
      <c r="H8" s="50" t="str">
        <f>IFERROR(__xludf.DUMMYFUNCTION("""COMPUTED_VALUE"""),"India")</f>
        <v>India</v>
      </c>
      <c r="I8" s="50" t="str">
        <f>IFERROR(__xludf.DUMMYFUNCTION("""COMPUTED_VALUE"""),"India")</f>
        <v>India</v>
      </c>
      <c r="J8" s="50" t="str">
        <f>IFERROR(__xludf.DUMMYFUNCTION("""COMPUTED_VALUE"""),"Service")</f>
        <v>Service</v>
      </c>
      <c r="K8" s="50" t="str">
        <f>IFERROR(__xludf.DUMMYFUNCTION("""COMPUTED_VALUE"""),"NGO &amp; Foundation")</f>
        <v>NGO &amp; Foundation</v>
      </c>
      <c r="L8" s="50" t="str">
        <f>IFERROR(__xludf.DUMMYFUNCTION("""COMPUTED_VALUE"""),"Foundation")</f>
        <v>Foundation</v>
      </c>
      <c r="M8" s="50"/>
      <c r="N8" s="50" t="str">
        <f>IFERROR(__xludf.DUMMYFUNCTION("""COMPUTED_VALUE"""),"Cold Outreach")</f>
        <v>Cold Outreach</v>
      </c>
      <c r="O8" s="50" t="str">
        <f>IFERROR(__xludf.DUMMYFUNCTION("""COMPUTED_VALUE"""),"Aastha")</f>
        <v>Aastha</v>
      </c>
      <c r="P8" s="50" t="str">
        <f>IFERROR(__xludf.DUMMYFUNCTION("""COMPUTED_VALUE"""),"Hot")</f>
        <v>Hot</v>
      </c>
      <c r="Q8" s="50" t="str">
        <f>IFERROR(__xludf.DUMMYFUNCTION("""COMPUTED_VALUE"""),"Converted")</f>
        <v>Converted</v>
      </c>
      <c r="R8" s="50" t="str">
        <f>IFERROR(__xludf.DUMMYFUNCTION("""COMPUTED_VALUE"""),"Follow-Up Complete")</f>
        <v>Follow-Up Complete</v>
      </c>
      <c r="S8" s="50">
        <f>IFERROR(__xludf.DUMMYFUNCTION("""COMPUTED_VALUE"""),46254.0)</f>
        <v>46254</v>
      </c>
      <c r="T8" s="50"/>
      <c r="U8" s="50" t="str">
        <f>IFERROR(__xludf.DUMMYFUNCTION("""COMPUTED_VALUE"""),"Completed")</f>
        <v>Completed</v>
      </c>
      <c r="V8" s="50"/>
      <c r="W8" s="50"/>
      <c r="X8" s="50"/>
      <c r="Y8" s="50"/>
      <c r="Z8" s="50"/>
      <c r="AA8" s="50">
        <f>IFERROR(__xludf.DUMMYFUNCTION("""COMPUTED_VALUE"""),0.0)</f>
        <v>0</v>
      </c>
      <c r="AB8" s="50"/>
      <c r="AC8" s="50"/>
      <c r="AD8" s="50"/>
    </row>
    <row r="9">
      <c r="A9" s="50">
        <f>IFERROR(__xludf.DUMMYFUNCTION("""COMPUTED_VALUE"""),94.0)</f>
        <v>94</v>
      </c>
      <c r="B9" s="51">
        <f>IFERROR(__xludf.DUMMYFUNCTION("""COMPUTED_VALUE"""),46270.0)</f>
        <v>46270</v>
      </c>
      <c r="C9" s="50" t="str">
        <f>IFERROR(__xludf.DUMMYFUNCTION("""COMPUTED_VALUE"""),"Africa SME Assembly")</f>
        <v>Africa SME Assembly</v>
      </c>
      <c r="D9" s="50" t="str">
        <f>IFERROR(__xludf.DUMMYFUNCTION("""COMPUTED_VALUE"""),"Treasure David Enyinnaya(founder)")</f>
        <v>Treasure David Enyinnaya(founder)</v>
      </c>
      <c r="E9" s="50" t="str">
        <f>IFERROR(__xludf.DUMMYFUNCTION("""COMPUTED_VALUE"""),"2348168174372  ")</f>
        <v>2348168174372  </v>
      </c>
      <c r="F9" s="73" t="str">
        <f>IFERROR(__xludf.DUMMYFUNCTION("""COMPUTED_VALUE"""),"africasmeassembly.org")</f>
        <v>africasmeassembly.org</v>
      </c>
      <c r="G9" s="50" t="str">
        <f>IFERROR(__xludf.DUMMYFUNCTION("""COMPUTED_VALUE"""),"Nigeria")</f>
        <v>Nigeria</v>
      </c>
      <c r="H9" s="50" t="str">
        <f>IFERROR(__xludf.DUMMYFUNCTION("""COMPUTED_VALUE"""),"South Africa")</f>
        <v>South Africa</v>
      </c>
      <c r="I9" s="50" t="str">
        <f>IFERROR(__xludf.DUMMYFUNCTION("""COMPUTED_VALUE"""),"Foreign")</f>
        <v>Foreign</v>
      </c>
      <c r="J9" s="50" t="str">
        <f>IFERROR(__xludf.DUMMYFUNCTION("""COMPUTED_VALUE"""),"Service")</f>
        <v>Service</v>
      </c>
      <c r="K9" s="50" t="str">
        <f>IFERROR(__xludf.DUMMYFUNCTION("""COMPUTED_VALUE"""),"NGO &amp; Foundation")</f>
        <v>NGO &amp; Foundation</v>
      </c>
      <c r="L9" s="50" t="str">
        <f>IFERROR(__xludf.DUMMYFUNCTION("""COMPUTED_VALUE"""),"Foundation")</f>
        <v>Foundation</v>
      </c>
      <c r="M9" s="50"/>
      <c r="N9" s="50" t="str">
        <f>IFERROR(__xludf.DUMMYFUNCTION("""COMPUTED_VALUE"""),"Cold Outreach")</f>
        <v>Cold Outreach</v>
      </c>
      <c r="O9" s="50" t="str">
        <f>IFERROR(__xludf.DUMMYFUNCTION("""COMPUTED_VALUE"""),"Vansh")</f>
        <v>Vansh</v>
      </c>
      <c r="P9" s="50" t="str">
        <f>IFERROR(__xludf.DUMMYFUNCTION("""COMPUTED_VALUE"""),"Hot")</f>
        <v>Hot</v>
      </c>
      <c r="Q9" s="50" t="str">
        <f>IFERROR(__xludf.DUMMYFUNCTION("""COMPUTED_VALUE"""),"Qualified")</f>
        <v>Qualified</v>
      </c>
      <c r="R9" s="50" t="str">
        <f>IFERROR(__xludf.DUMMYFUNCTION("""COMPUTED_VALUE"""),"2nd Follow-Up")</f>
        <v>2nd Follow-Up</v>
      </c>
      <c r="S9" s="50"/>
      <c r="T9" s="50"/>
      <c r="U9" s="50" t="str">
        <f>IFERROR(__xludf.DUMMYFUNCTION("""COMPUTED_VALUE"""),"Not Scheduled")</f>
        <v>Not Scheduled</v>
      </c>
      <c r="V9" s="50"/>
      <c r="W9" s="50"/>
      <c r="X9" s="50"/>
      <c r="Y9" s="50"/>
      <c r="Z9" s="50"/>
      <c r="AA9" s="50">
        <f>IFERROR(__xludf.DUMMYFUNCTION("""COMPUTED_VALUE"""),0.0)</f>
        <v>0</v>
      </c>
      <c r="AB9" s="50"/>
      <c r="AC9" s="50"/>
      <c r="AD9" s="50"/>
    </row>
    <row r="10">
      <c r="A10" s="50">
        <f>IFERROR(__xludf.DUMMYFUNCTION("""COMPUTED_VALUE"""),95.0)</f>
        <v>95</v>
      </c>
      <c r="B10" s="51">
        <f>IFERROR(__xludf.DUMMYFUNCTION("""COMPUTED_VALUE"""),46272.0)</f>
        <v>46272</v>
      </c>
      <c r="C10" s="50" t="str">
        <f>IFERROR(__xludf.DUMMYFUNCTION("""COMPUTED_VALUE"""),"Women Changemakers for Education")</f>
        <v>Women Changemakers for Education</v>
      </c>
      <c r="D10" s="50" t="str">
        <f>IFERROR(__xludf.DUMMYFUNCTION("""COMPUTED_VALUE"""),"Rejoice Adzivor")</f>
        <v>Rejoice Adzivor</v>
      </c>
      <c r="E10" s="50"/>
      <c r="F10" s="73" t="str">
        <f>IFERROR(__xludf.DUMMYFUNCTION("""COMPUTED_VALUE"""),"ririadzivor@gmail.com")</f>
        <v>ririadzivor@gmail.com</v>
      </c>
      <c r="G10" s="50" t="str">
        <f>IFERROR(__xludf.DUMMYFUNCTION("""COMPUTED_VALUE"""),"Accra")</f>
        <v>Accra</v>
      </c>
      <c r="H10" s="50" t="str">
        <f>IFERROR(__xludf.DUMMYFUNCTION("""COMPUTED_VALUE"""),"South Africa")</f>
        <v>South Africa</v>
      </c>
      <c r="I10" s="50" t="str">
        <f>IFERROR(__xludf.DUMMYFUNCTION("""COMPUTED_VALUE"""),"Foreign")</f>
        <v>Foreign</v>
      </c>
      <c r="J10" s="50" t="str">
        <f>IFERROR(__xludf.DUMMYFUNCTION("""COMPUTED_VALUE"""),"Service")</f>
        <v>Service</v>
      </c>
      <c r="K10" s="50" t="str">
        <f>IFERROR(__xludf.DUMMYFUNCTION("""COMPUTED_VALUE"""),"NGO &amp; Foundation")</f>
        <v>NGO &amp; Foundation</v>
      </c>
      <c r="L10" s="50" t="str">
        <f>IFERROR(__xludf.DUMMYFUNCTION("""COMPUTED_VALUE"""),"Foundation")</f>
        <v>Foundation</v>
      </c>
      <c r="M10" s="50"/>
      <c r="N10" s="50" t="str">
        <f>IFERROR(__xludf.DUMMYFUNCTION("""COMPUTED_VALUE"""),"Cold Outreach")</f>
        <v>Cold Outreach</v>
      </c>
      <c r="O10" s="50" t="str">
        <f>IFERROR(__xludf.DUMMYFUNCTION("""COMPUTED_VALUE"""),"Vansh")</f>
        <v>Vansh</v>
      </c>
      <c r="P10" s="50" t="str">
        <f>IFERROR(__xludf.DUMMYFUNCTION("""COMPUTED_VALUE"""),"Medium")</f>
        <v>Medium</v>
      </c>
      <c r="Q10" s="50" t="str">
        <f>IFERROR(__xludf.DUMMYFUNCTION("""COMPUTED_VALUE"""),"Contacted")</f>
        <v>Contacted</v>
      </c>
      <c r="R10" s="50" t="str">
        <f>IFERROR(__xludf.DUMMYFUNCTION("""COMPUTED_VALUE"""),"Initial Contact")</f>
        <v>Initial Contact</v>
      </c>
      <c r="S10" s="50"/>
      <c r="T10" s="50"/>
      <c r="U10" s="50" t="str">
        <f>IFERROR(__xludf.DUMMYFUNCTION("""COMPUTED_VALUE"""),"Not Scheduled")</f>
        <v>Not Scheduled</v>
      </c>
      <c r="V10" s="50"/>
      <c r="W10" s="50"/>
      <c r="X10" s="50"/>
      <c r="Y10" s="50"/>
      <c r="Z10" s="50"/>
      <c r="AA10" s="50">
        <f>IFERROR(__xludf.DUMMYFUNCTION("""COMPUTED_VALUE"""),0.0)</f>
        <v>0</v>
      </c>
      <c r="AB10" s="50"/>
      <c r="AC10" s="50"/>
      <c r="AD10" s="50"/>
    </row>
    <row r="11">
      <c r="A11" s="50">
        <f>IFERROR(__xludf.DUMMYFUNCTION("""COMPUTED_VALUE"""),96.0)</f>
        <v>96</v>
      </c>
      <c r="B11" s="51">
        <f>IFERROR(__xludf.DUMMYFUNCTION("""COMPUTED_VALUE"""),46272.0)</f>
        <v>46272</v>
      </c>
      <c r="C11" s="50" t="str">
        <f>IFERROR(__xludf.DUMMYFUNCTION("""COMPUTED_VALUE"""),"SLA INTEGRATED LOGISTICS &amp; ASSURANCE SERVICES LIMITED")</f>
        <v>SLA INTEGRATED LOGISTICS &amp; ASSURANCE SERVICES LIMITED</v>
      </c>
      <c r="D11" s="50" t="str">
        <f>IFERROR(__xludf.DUMMYFUNCTION("""COMPUTED_VALUE"""),"Mercy (Selina) Olasiji
")</f>
        <v>Mercy (Selina) Olasiji
</v>
      </c>
      <c r="E11" s="50" t="str">
        <f>IFERROR(__xludf.DUMMYFUNCTION("""COMPUTED_VALUE"""),"814952 8369")</f>
        <v>814952 8369</v>
      </c>
      <c r="F11" s="50" t="str">
        <f>IFERROR(__xludf.DUMMYFUNCTION("""COMPUTED_VALUE"""),"mercyselinaolubade@gmail.com")</f>
        <v>mercyselinaolubade@gmail.com</v>
      </c>
      <c r="G11" s="50" t="str">
        <f>IFERROR(__xludf.DUMMYFUNCTION("""COMPUTED_VALUE"""),"Nigeria")</f>
        <v>Nigeria</v>
      </c>
      <c r="H11" s="50" t="str">
        <f>IFERROR(__xludf.DUMMYFUNCTION("""COMPUTED_VALUE"""),"South Africa")</f>
        <v>South Africa</v>
      </c>
      <c r="I11" s="50" t="str">
        <f>IFERROR(__xludf.DUMMYFUNCTION("""COMPUTED_VALUE"""),"Foreign")</f>
        <v>Foreign</v>
      </c>
      <c r="J11" s="50" t="str">
        <f>IFERROR(__xludf.DUMMYFUNCTION("""COMPUTED_VALUE"""),"Service")</f>
        <v>Service</v>
      </c>
      <c r="K11" s="50" t="str">
        <f>IFERROR(__xludf.DUMMYFUNCTION("""COMPUTED_VALUE"""),"NGO &amp; Foundation")</f>
        <v>NGO &amp; Foundation</v>
      </c>
      <c r="L11" s="50" t="str">
        <f>IFERROR(__xludf.DUMMYFUNCTION("""COMPUTED_VALUE"""),"Foundation")</f>
        <v>Foundation</v>
      </c>
      <c r="M11" s="50"/>
      <c r="N11" s="50" t="str">
        <f>IFERROR(__xludf.DUMMYFUNCTION("""COMPUTED_VALUE"""),"Cold Outreach")</f>
        <v>Cold Outreach</v>
      </c>
      <c r="O11" s="50" t="str">
        <f>IFERROR(__xludf.DUMMYFUNCTION("""COMPUTED_VALUE"""),"Vansh")</f>
        <v>Vansh</v>
      </c>
      <c r="P11" s="50" t="str">
        <f>IFERROR(__xludf.DUMMYFUNCTION("""COMPUTED_VALUE"""),"Medium")</f>
        <v>Medium</v>
      </c>
      <c r="Q11" s="50" t="str">
        <f>IFERROR(__xludf.DUMMYFUNCTION("""COMPUTED_VALUE"""),"Closed")</f>
        <v>Closed</v>
      </c>
      <c r="R11" s="50" t="str">
        <f>IFERROR(__xludf.DUMMYFUNCTION("""COMPUTED_VALUE"""),"Follow-Up Complete")</f>
        <v>Follow-Up Complete</v>
      </c>
      <c r="S11" s="50"/>
      <c r="T11" s="50"/>
      <c r="U11" s="50" t="str">
        <f>IFERROR(__xludf.DUMMYFUNCTION("""COMPUTED_VALUE"""),"Completed")</f>
        <v>Completed</v>
      </c>
      <c r="V11" s="50"/>
      <c r="W11" s="50"/>
      <c r="X11" s="50"/>
      <c r="Y11" s="50"/>
      <c r="Z11" s="50"/>
      <c r="AA11" s="50">
        <f>IFERROR(__xludf.DUMMYFUNCTION("""COMPUTED_VALUE"""),0.0)</f>
        <v>0</v>
      </c>
      <c r="AB11" s="50"/>
      <c r="AC11" s="50"/>
      <c r="AD11" s="50"/>
    </row>
    <row r="12">
      <c r="A12" s="50">
        <f>IFERROR(__xludf.DUMMYFUNCTION("""COMPUTED_VALUE"""),98.0)</f>
        <v>98</v>
      </c>
      <c r="B12" s="51">
        <f>IFERROR(__xludf.DUMMYFUNCTION("""COMPUTED_VALUE"""),46272.0)</f>
        <v>46272</v>
      </c>
      <c r="C12" s="50" t="str">
        <f>IFERROR(__xludf.DUMMYFUNCTION("""COMPUTED_VALUE"""),"SCOPE KENYA ")</f>
        <v>SCOPE KENYA </v>
      </c>
      <c r="D12" s="50" t="str">
        <f>IFERROR(__xludf.DUMMYFUNCTION("""COMPUTED_VALUE"""),"Dr. Maina Wambugu HSC")</f>
        <v>Dr. Maina Wambugu HSC</v>
      </c>
      <c r="E12" s="50"/>
      <c r="F12" s="50" t="str">
        <f>IFERROR(__xludf.DUMMYFUNCTION("""COMPUTED_VALUE"""),"mainaseb@yahoo.com")</f>
        <v>mainaseb@yahoo.com</v>
      </c>
      <c r="G12" s="50" t="str">
        <f>IFERROR(__xludf.DUMMYFUNCTION("""COMPUTED_VALUE"""),"Kenya")</f>
        <v>Kenya</v>
      </c>
      <c r="H12" s="50" t="str">
        <f>IFERROR(__xludf.DUMMYFUNCTION("""COMPUTED_VALUE"""),"India")</f>
        <v>India</v>
      </c>
      <c r="I12" s="50" t="str">
        <f>IFERROR(__xludf.DUMMYFUNCTION("""COMPUTED_VALUE"""),"India")</f>
        <v>India</v>
      </c>
      <c r="J12" s="50" t="str">
        <f>IFERROR(__xludf.DUMMYFUNCTION("""COMPUTED_VALUE"""),"Service")</f>
        <v>Service</v>
      </c>
      <c r="K12" s="50" t="str">
        <f>IFERROR(__xludf.DUMMYFUNCTION("""COMPUTED_VALUE"""),"NGO &amp; Foundation")</f>
        <v>NGO &amp; Foundation</v>
      </c>
      <c r="L12" s="50" t="str">
        <f>IFERROR(__xludf.DUMMYFUNCTION("""COMPUTED_VALUE"""),"Foundation")</f>
        <v>Foundation</v>
      </c>
      <c r="M12" s="50"/>
      <c r="N12" s="50" t="str">
        <f>IFERROR(__xludf.DUMMYFUNCTION("""COMPUTED_VALUE"""),"Cold Outreach")</f>
        <v>Cold Outreach</v>
      </c>
      <c r="O12" s="50" t="str">
        <f>IFERROR(__xludf.DUMMYFUNCTION("""COMPUTED_VALUE"""),"Vansh")</f>
        <v>Vansh</v>
      </c>
      <c r="P12" s="50" t="str">
        <f>IFERROR(__xludf.DUMMYFUNCTION("""COMPUTED_VALUE"""),"Hot")</f>
        <v>Hot</v>
      </c>
      <c r="Q12" s="50" t="str">
        <f>IFERROR(__xludf.DUMMYFUNCTION("""COMPUTED_VALUE"""),"Demo/Meeting")</f>
        <v>Demo/Meeting</v>
      </c>
      <c r="R12" s="50" t="str">
        <f>IFERROR(__xludf.DUMMYFUNCTION("""COMPUTED_VALUE"""),"3rd Follow-Up")</f>
        <v>3rd Follow-Up</v>
      </c>
      <c r="S12" s="50"/>
      <c r="T12" s="50"/>
      <c r="U12" s="50" t="str">
        <f>IFERROR(__xludf.DUMMYFUNCTION("""COMPUTED_VALUE"""),"Not Scheduled")</f>
        <v>Not Scheduled</v>
      </c>
      <c r="V12" s="50"/>
      <c r="W12" s="50"/>
      <c r="X12" s="50"/>
      <c r="Y12" s="50"/>
      <c r="Z12" s="50"/>
      <c r="AA12" s="50">
        <f>IFERROR(__xludf.DUMMYFUNCTION("""COMPUTED_VALUE"""),0.0)</f>
        <v>0</v>
      </c>
      <c r="AB12" s="50"/>
      <c r="AC12" s="50"/>
      <c r="AD12" s="50"/>
    </row>
    <row r="13">
      <c r="A13" s="50">
        <f>IFERROR(__xludf.DUMMYFUNCTION("""COMPUTED_VALUE"""),99.0)</f>
        <v>99</v>
      </c>
      <c r="B13" s="51">
        <f>IFERROR(__xludf.DUMMYFUNCTION("""COMPUTED_VALUE"""),46272.0)</f>
        <v>46272</v>
      </c>
      <c r="C13" s="50" t="str">
        <f>IFERROR(__xludf.DUMMYFUNCTION("""COMPUTED_VALUE"""),"African Coalition for Social Impact")</f>
        <v>African Coalition for Social Impact</v>
      </c>
      <c r="D13" s="50" t="str">
        <f>IFERROR(__xludf.DUMMYFUNCTION("""COMPUTED_VALUE"""),"Kenneth Kabagambe")</f>
        <v>Kenneth Kabagambe</v>
      </c>
      <c r="E13" s="50">
        <f>IFERROR(__xludf.DUMMYFUNCTION("""COMPUTED_VALUE"""),2.56702230051E11)</f>
        <v>256702230051</v>
      </c>
      <c r="F13" s="50" t="str">
        <f>IFERROR(__xludf.DUMMYFUNCTION("""COMPUTED_VALUE"""),"kkabagambe2013@gmail.com")</f>
        <v>kkabagambe2013@gmail.com</v>
      </c>
      <c r="G13" s="50" t="str">
        <f>IFERROR(__xludf.DUMMYFUNCTION("""COMPUTED_VALUE"""),"Uganda")</f>
        <v>Uganda</v>
      </c>
      <c r="H13" s="50" t="str">
        <f>IFERROR(__xludf.DUMMYFUNCTION("""COMPUTED_VALUE"""),"South Africa")</f>
        <v>South Africa</v>
      </c>
      <c r="I13" s="50" t="str">
        <f>IFERROR(__xludf.DUMMYFUNCTION("""COMPUTED_VALUE"""),"Foreign")</f>
        <v>Foreign</v>
      </c>
      <c r="J13" s="50" t="str">
        <f>IFERROR(__xludf.DUMMYFUNCTION("""COMPUTED_VALUE"""),"Service")</f>
        <v>Service</v>
      </c>
      <c r="K13" s="50" t="str">
        <f>IFERROR(__xludf.DUMMYFUNCTION("""COMPUTED_VALUE"""),"NGO &amp; Foundation")</f>
        <v>NGO &amp; Foundation</v>
      </c>
      <c r="L13" s="50" t="str">
        <f>IFERROR(__xludf.DUMMYFUNCTION("""COMPUTED_VALUE"""),"NGO")</f>
        <v>NGO</v>
      </c>
      <c r="M13" s="50"/>
      <c r="N13" s="50" t="str">
        <f>IFERROR(__xludf.DUMMYFUNCTION("""COMPUTED_VALUE"""),"Cold Outreach")</f>
        <v>Cold Outreach</v>
      </c>
      <c r="O13" s="50" t="str">
        <f>IFERROR(__xludf.DUMMYFUNCTION("""COMPUTED_VALUE"""),"Aastha")</f>
        <v>Aastha</v>
      </c>
      <c r="P13" s="50"/>
      <c r="Q13" s="50"/>
      <c r="R13" s="50"/>
      <c r="S13" s="50"/>
      <c r="T13" s="50"/>
      <c r="U13" s="50" t="str">
        <f>IFERROR(__xludf.DUMMYFUNCTION("""COMPUTED_VALUE"""),"Not Scheduled")</f>
        <v>Not Scheduled</v>
      </c>
      <c r="V13" s="50"/>
      <c r="W13" s="50"/>
      <c r="X13" s="50"/>
      <c r="Y13" s="50"/>
      <c r="Z13" s="50"/>
      <c r="AA13" s="50">
        <f>IFERROR(__xludf.DUMMYFUNCTION("""COMPUTED_VALUE"""),0.0)</f>
        <v>0</v>
      </c>
      <c r="AB13" s="50"/>
      <c r="AC13" s="50"/>
      <c r="AD13" s="50"/>
    </row>
    <row r="14">
      <c r="A14" s="50">
        <f>IFERROR(__xludf.DUMMYFUNCTION("""COMPUTED_VALUE"""),110.0)</f>
        <v>110</v>
      </c>
      <c r="B14" s="51">
        <f>IFERROR(__xludf.DUMMYFUNCTION("""COMPUTED_VALUE"""),46272.0)</f>
        <v>46272</v>
      </c>
      <c r="C14" s="50" t="str">
        <f>IFERROR(__xludf.DUMMYFUNCTION("""COMPUTED_VALUE"""),"Founder Afyalitics")</f>
        <v>Founder Afyalitics</v>
      </c>
      <c r="D14" s="50" t="str">
        <f>IFERROR(__xludf.DUMMYFUNCTION("""COMPUTED_VALUE"""),"Oduor (Otieno) Kevin")</f>
        <v>Oduor (Otieno) Kevin</v>
      </c>
      <c r="E14" s="50"/>
      <c r="F14" s="50" t="str">
        <f>IFERROR(__xludf.DUMMYFUNCTION("""COMPUTED_VALUE"""),"oduorkevin@stowelink.com")</f>
        <v>oduorkevin@stowelink.com</v>
      </c>
      <c r="G14" s="50" t="str">
        <f>IFERROR(__xludf.DUMMYFUNCTION("""COMPUTED_VALUE"""),"Kenya")</f>
        <v>Kenya</v>
      </c>
      <c r="H14" s="50" t="str">
        <f>IFERROR(__xludf.DUMMYFUNCTION("""COMPUTED_VALUE"""),"South Africa")</f>
        <v>South Africa</v>
      </c>
      <c r="I14" s="50" t="str">
        <f>IFERROR(__xludf.DUMMYFUNCTION("""COMPUTED_VALUE"""),"Foreign")</f>
        <v>Foreign</v>
      </c>
      <c r="J14" s="50" t="str">
        <f>IFERROR(__xludf.DUMMYFUNCTION("""COMPUTED_VALUE"""),"Service")</f>
        <v>Service</v>
      </c>
      <c r="K14" s="50" t="str">
        <f>IFERROR(__xludf.DUMMYFUNCTION("""COMPUTED_VALUE"""),"NGO &amp; Foundation")</f>
        <v>NGO &amp; Foundation</v>
      </c>
      <c r="L14" s="50" t="str">
        <f>IFERROR(__xludf.DUMMYFUNCTION("""COMPUTED_VALUE"""),"Foundation")</f>
        <v>Foundation</v>
      </c>
      <c r="M14" s="50"/>
      <c r="N14" s="50" t="str">
        <f>IFERROR(__xludf.DUMMYFUNCTION("""COMPUTED_VALUE"""),"Cold Outreach")</f>
        <v>Cold Outreach</v>
      </c>
      <c r="O14" s="50" t="str">
        <f>IFERROR(__xludf.DUMMYFUNCTION("""COMPUTED_VALUE"""),"Aastha")</f>
        <v>Aastha</v>
      </c>
      <c r="P14" s="50"/>
      <c r="Q14" s="50"/>
      <c r="R14" s="50"/>
      <c r="S14" s="50"/>
      <c r="T14" s="50"/>
      <c r="U14" s="50" t="str">
        <f>IFERROR(__xludf.DUMMYFUNCTION("""COMPUTED_VALUE"""),"Not Scheduled")</f>
        <v>Not Scheduled</v>
      </c>
      <c r="V14" s="50"/>
      <c r="W14" s="50"/>
      <c r="X14" s="50"/>
      <c r="Y14" s="50"/>
      <c r="Z14" s="50"/>
      <c r="AA14" s="50">
        <f>IFERROR(__xludf.DUMMYFUNCTION("""COMPUTED_VALUE"""),0.0)</f>
        <v>0</v>
      </c>
      <c r="AB14" s="50"/>
      <c r="AC14" s="50"/>
      <c r="AD14" s="50"/>
    </row>
    <row r="15">
      <c r="A15" s="50">
        <f>IFERROR(__xludf.DUMMYFUNCTION("""COMPUTED_VALUE"""),112.0)</f>
        <v>112</v>
      </c>
      <c r="B15" s="51">
        <f>IFERROR(__xludf.DUMMYFUNCTION("""COMPUTED_VALUE"""),46272.0)</f>
        <v>46272</v>
      </c>
      <c r="C15" s="50" t="str">
        <f>IFERROR(__xludf.DUMMYFUNCTION("""COMPUTED_VALUE"""),"Ministry of Heailth")</f>
        <v>Ministry of Heailth</v>
      </c>
      <c r="D15" s="50" t="str">
        <f>IFERROR(__xludf.DUMMYFUNCTION("""COMPUTED_VALUE"""),"EMMANUEL AINEBYOONA")</f>
        <v>EMMANUEL AINEBYOONA</v>
      </c>
      <c r="E15" s="50"/>
      <c r="F15" s="50" t="str">
        <f>IFERROR(__xludf.DUMMYFUNCTION("""COMPUTED_VALUE"""),"emmabyoona@gmail.com")</f>
        <v>emmabyoona@gmail.com</v>
      </c>
      <c r="G15" s="50" t="str">
        <f>IFERROR(__xludf.DUMMYFUNCTION("""COMPUTED_VALUE"""),"Kampala")</f>
        <v>Kampala</v>
      </c>
      <c r="H15" s="50" t="str">
        <f>IFERROR(__xludf.DUMMYFUNCTION("""COMPUTED_VALUE"""),"South Africa")</f>
        <v>South Africa</v>
      </c>
      <c r="I15" s="50" t="str">
        <f>IFERROR(__xludf.DUMMYFUNCTION("""COMPUTED_VALUE"""),"Foreign")</f>
        <v>Foreign</v>
      </c>
      <c r="J15" s="50" t="str">
        <f>IFERROR(__xludf.DUMMYFUNCTION("""COMPUTED_VALUE"""),"Service")</f>
        <v>Service</v>
      </c>
      <c r="K15" s="50" t="str">
        <f>IFERROR(__xludf.DUMMYFUNCTION("""COMPUTED_VALUE"""),"NGO &amp; Foundation")</f>
        <v>NGO &amp; Foundation</v>
      </c>
      <c r="L15" s="50" t="str">
        <f>IFERROR(__xludf.DUMMYFUNCTION("""COMPUTED_VALUE"""),"Foundation")</f>
        <v>Foundation</v>
      </c>
      <c r="M15" s="50"/>
      <c r="N15" s="50" t="str">
        <f>IFERROR(__xludf.DUMMYFUNCTION("""COMPUTED_VALUE"""),"Cold Outreach")</f>
        <v>Cold Outreach</v>
      </c>
      <c r="O15" s="50" t="str">
        <f>IFERROR(__xludf.DUMMYFUNCTION("""COMPUTED_VALUE"""),"Aastha")</f>
        <v>Aastha</v>
      </c>
      <c r="P15" s="50"/>
      <c r="Q15" s="50"/>
      <c r="R15" s="50"/>
      <c r="S15" s="50"/>
      <c r="T15" s="50"/>
      <c r="U15" s="50" t="str">
        <f>IFERROR(__xludf.DUMMYFUNCTION("""COMPUTED_VALUE"""),"Not Scheduled")</f>
        <v>Not Scheduled</v>
      </c>
      <c r="V15" s="50"/>
      <c r="W15" s="50"/>
      <c r="X15" s="50"/>
      <c r="Y15" s="50"/>
      <c r="Z15" s="50"/>
      <c r="AA15" s="50">
        <f>IFERROR(__xludf.DUMMYFUNCTION("""COMPUTED_VALUE"""),0.0)</f>
        <v>0</v>
      </c>
      <c r="AB15" s="50"/>
      <c r="AC15" s="50"/>
      <c r="AD15" s="50"/>
    </row>
    <row r="16">
      <c r="A16" s="50">
        <f>IFERROR(__xludf.DUMMYFUNCTION("""COMPUTED_VALUE"""),113.0)</f>
        <v>113</v>
      </c>
      <c r="B16" s="51">
        <f>IFERROR(__xludf.DUMMYFUNCTION("""COMPUTED_VALUE"""),46272.0)</f>
        <v>46272</v>
      </c>
      <c r="C16" s="50" t="str">
        <f>IFERROR(__xludf.DUMMYFUNCTION("""COMPUTED_VALUE"""),"Rwenzori Anti-Corruption Coalition")</f>
        <v>Rwenzori Anti-Corruption Coalition</v>
      </c>
      <c r="D16" s="50" t="str">
        <f>IFERROR(__xludf.DUMMYFUNCTION("""COMPUTED_VALUE"""),"Byangwa Angela
")</f>
        <v>Byangwa Angela
</v>
      </c>
      <c r="E16" s="50"/>
      <c r="F16" s="50" t="str">
        <f>IFERROR(__xludf.DUMMYFUNCTION("""COMPUTED_VALUE"""),"byangwasmart@yahoo.co.uk")</f>
        <v>byangwasmart@yahoo.co.uk</v>
      </c>
      <c r="G16" s="50" t="str">
        <f>IFERROR(__xludf.DUMMYFUNCTION("""COMPUTED_VALUE"""),"Uganda")</f>
        <v>Uganda</v>
      </c>
      <c r="H16" s="50" t="str">
        <f>IFERROR(__xludf.DUMMYFUNCTION("""COMPUTED_VALUE"""),"South Africa")</f>
        <v>South Africa</v>
      </c>
      <c r="I16" s="50" t="str">
        <f>IFERROR(__xludf.DUMMYFUNCTION("""COMPUTED_VALUE"""),"Foreign")</f>
        <v>Foreign</v>
      </c>
      <c r="J16" s="50" t="str">
        <f>IFERROR(__xludf.DUMMYFUNCTION("""COMPUTED_VALUE"""),"Service")</f>
        <v>Service</v>
      </c>
      <c r="K16" s="50" t="str">
        <f>IFERROR(__xludf.DUMMYFUNCTION("""COMPUTED_VALUE"""),"NGO &amp; Foundation")</f>
        <v>NGO &amp; Foundation</v>
      </c>
      <c r="L16" s="50" t="str">
        <f>IFERROR(__xludf.DUMMYFUNCTION("""COMPUTED_VALUE"""),"NGO")</f>
        <v>NGO</v>
      </c>
      <c r="M16" s="50"/>
      <c r="N16" s="50" t="str">
        <f>IFERROR(__xludf.DUMMYFUNCTION("""COMPUTED_VALUE"""),"Cold Outreach")</f>
        <v>Cold Outreach</v>
      </c>
      <c r="O16" s="50" t="str">
        <f>IFERROR(__xludf.DUMMYFUNCTION("""COMPUTED_VALUE"""),"Aastha")</f>
        <v>Aastha</v>
      </c>
      <c r="P16" s="50"/>
      <c r="Q16" s="50"/>
      <c r="R16" s="50"/>
      <c r="S16" s="50"/>
      <c r="T16" s="50"/>
      <c r="U16" s="50" t="str">
        <f>IFERROR(__xludf.DUMMYFUNCTION("""COMPUTED_VALUE"""),"Not Scheduled")</f>
        <v>Not Scheduled</v>
      </c>
      <c r="V16" s="50"/>
      <c r="W16" s="50"/>
      <c r="X16" s="50"/>
      <c r="Y16" s="50"/>
      <c r="Z16" s="50"/>
      <c r="AA16" s="50">
        <f>IFERROR(__xludf.DUMMYFUNCTION("""COMPUTED_VALUE"""),0.0)</f>
        <v>0</v>
      </c>
      <c r="AB16" s="50"/>
      <c r="AC16" s="50"/>
      <c r="AD16" s="50"/>
    </row>
    <row r="17">
      <c r="A17" s="50">
        <f>IFERROR(__xludf.DUMMYFUNCTION("""COMPUTED_VALUE"""),115.0)</f>
        <v>115</v>
      </c>
      <c r="B17" s="51">
        <f>IFERROR(__xludf.DUMMYFUNCTION("""COMPUTED_VALUE"""),46274.0)</f>
        <v>46274</v>
      </c>
      <c r="C17" s="50" t="str">
        <f>IFERROR(__xludf.DUMMYFUNCTION("""COMPUTED_VALUE"""),"Rainbow Foundation Ind")</f>
        <v>Rainbow Foundation Ind</v>
      </c>
      <c r="D17" s="50"/>
      <c r="E17" s="50" t="str">
        <f>IFERROR(__xludf.DUMMYFUNCTION("""COMPUTED_VALUE"""),"9871655860")</f>
        <v>9871655860</v>
      </c>
      <c r="F17" s="50"/>
      <c r="G17" s="50" t="str">
        <f>IFERROR(__xludf.DUMMYFUNCTION("""COMPUTED_VALUE"""),"Ahmedabad")</f>
        <v>Ahmedabad</v>
      </c>
      <c r="H17" s="50" t="str">
        <f>IFERROR(__xludf.DUMMYFUNCTION("""COMPUTED_VALUE"""),"India")</f>
        <v>India</v>
      </c>
      <c r="I17" s="50" t="str">
        <f>IFERROR(__xludf.DUMMYFUNCTION("""COMPUTED_VALUE"""),"India")</f>
        <v>India</v>
      </c>
      <c r="J17" s="50" t="str">
        <f>IFERROR(__xludf.DUMMYFUNCTION("""COMPUTED_VALUE"""),"Service")</f>
        <v>Service</v>
      </c>
      <c r="K17" s="50" t="str">
        <f>IFERROR(__xludf.DUMMYFUNCTION("""COMPUTED_VALUE"""),"NGO &amp; Foundation")</f>
        <v>NGO &amp; Foundation</v>
      </c>
      <c r="L17" s="50" t="str">
        <f>IFERROR(__xludf.DUMMYFUNCTION("""COMPUTED_VALUE"""),"Foundation")</f>
        <v>Foundation</v>
      </c>
      <c r="M17" s="50"/>
      <c r="N17" s="50" t="str">
        <f>IFERROR(__xludf.DUMMYFUNCTION("""COMPUTED_VALUE"""),"Cold Outreach")</f>
        <v>Cold Outreach</v>
      </c>
      <c r="O17" s="50" t="str">
        <f>IFERROR(__xludf.DUMMYFUNCTION("""COMPUTED_VALUE"""),"Aastha")</f>
        <v>Aastha</v>
      </c>
      <c r="P17" s="50"/>
      <c r="Q17" s="50"/>
      <c r="R17" s="50"/>
      <c r="S17" s="50"/>
      <c r="T17" s="50"/>
      <c r="U17" s="50" t="str">
        <f>IFERROR(__xludf.DUMMYFUNCTION("""COMPUTED_VALUE"""),"Not Scheduled")</f>
        <v>Not Scheduled</v>
      </c>
      <c r="V17" s="50"/>
      <c r="W17" s="50"/>
      <c r="X17" s="50"/>
      <c r="Y17" s="50"/>
      <c r="Z17" s="50"/>
      <c r="AA17" s="50">
        <f>IFERROR(__xludf.DUMMYFUNCTION("""COMPUTED_VALUE"""),0.0)</f>
        <v>0</v>
      </c>
      <c r="AB17" s="50"/>
      <c r="AC17" s="50"/>
      <c r="AD17" s="50"/>
    </row>
    <row r="18">
      <c r="A18" s="50">
        <f>IFERROR(__xludf.DUMMYFUNCTION("""COMPUTED_VALUE"""),116.0)</f>
        <v>116</v>
      </c>
      <c r="B18" s="51">
        <f>IFERROR(__xludf.DUMMYFUNCTION("""COMPUTED_VALUE"""),46274.0)</f>
        <v>46274</v>
      </c>
      <c r="C18" s="50" t="str">
        <f>IFERROR(__xludf.DUMMYFUNCTION("""COMPUTED_VALUE"""),"V Help Foundation")</f>
        <v>V Help Foundation</v>
      </c>
      <c r="D18" s="50"/>
      <c r="E18" s="50" t="str">
        <f>IFERROR(__xludf.DUMMYFUNCTION("""COMPUTED_VALUE"""),"8758753600")</f>
        <v>8758753600</v>
      </c>
      <c r="F18" s="50"/>
      <c r="G18" s="50" t="str">
        <f>IFERROR(__xludf.DUMMYFUNCTION("""COMPUTED_VALUE"""),"Ahmedabad")</f>
        <v>Ahmedabad</v>
      </c>
      <c r="H18" s="50" t="str">
        <f>IFERROR(__xludf.DUMMYFUNCTION("""COMPUTED_VALUE"""),"India")</f>
        <v>India</v>
      </c>
      <c r="I18" s="50" t="str">
        <f>IFERROR(__xludf.DUMMYFUNCTION("""COMPUTED_VALUE"""),"India")</f>
        <v>India</v>
      </c>
      <c r="J18" s="50" t="str">
        <f>IFERROR(__xludf.DUMMYFUNCTION("""COMPUTED_VALUE"""),"Service")</f>
        <v>Service</v>
      </c>
      <c r="K18" s="50" t="str">
        <f>IFERROR(__xludf.DUMMYFUNCTION("""COMPUTED_VALUE"""),"NGO &amp; Foundation")</f>
        <v>NGO &amp; Foundation</v>
      </c>
      <c r="L18" s="50" t="str">
        <f>IFERROR(__xludf.DUMMYFUNCTION("""COMPUTED_VALUE"""),"Foundation")</f>
        <v>Foundation</v>
      </c>
      <c r="M18" s="50"/>
      <c r="N18" s="50" t="str">
        <f>IFERROR(__xludf.DUMMYFUNCTION("""COMPUTED_VALUE"""),"Cold Outreach")</f>
        <v>Cold Outreach</v>
      </c>
      <c r="O18" s="50" t="str">
        <f>IFERROR(__xludf.DUMMYFUNCTION("""COMPUTED_VALUE"""),"Aastha")</f>
        <v>Aastha</v>
      </c>
      <c r="P18" s="50"/>
      <c r="Q18" s="50"/>
      <c r="R18" s="50"/>
      <c r="S18" s="50"/>
      <c r="T18" s="50"/>
      <c r="U18" s="50" t="str">
        <f>IFERROR(__xludf.DUMMYFUNCTION("""COMPUTED_VALUE"""),"Not Scheduled")</f>
        <v>Not Scheduled</v>
      </c>
      <c r="V18" s="50"/>
      <c r="W18" s="50"/>
      <c r="X18" s="50"/>
      <c r="Y18" s="50"/>
      <c r="Z18" s="50"/>
      <c r="AA18" s="50">
        <f>IFERROR(__xludf.DUMMYFUNCTION("""COMPUTED_VALUE"""),0.0)</f>
        <v>0</v>
      </c>
      <c r="AB18" s="50"/>
      <c r="AC18" s="50"/>
      <c r="AD18" s="50"/>
    </row>
    <row r="19">
      <c r="A19" s="50">
        <f>IFERROR(__xludf.DUMMYFUNCTION("""COMPUTED_VALUE"""),119.0)</f>
        <v>119</v>
      </c>
      <c r="B19" s="51">
        <f>IFERROR(__xludf.DUMMYFUNCTION("""COMPUTED_VALUE"""),46274.0)</f>
        <v>46274</v>
      </c>
      <c r="C19" s="50" t="str">
        <f>IFERROR(__xludf.DUMMYFUNCTION("""COMPUTED_VALUE"""),"Vidhyadaan Foundation")</f>
        <v>Vidhyadaan Foundation</v>
      </c>
      <c r="D19" s="50"/>
      <c r="E19" s="50" t="str">
        <f>IFERROR(__xludf.DUMMYFUNCTION("""COMPUTED_VALUE"""),"9714671919")</f>
        <v>9714671919</v>
      </c>
      <c r="F19" s="50"/>
      <c r="G19" s="50" t="str">
        <f>IFERROR(__xludf.DUMMYFUNCTION("""COMPUTED_VALUE"""),"Ahmedabad")</f>
        <v>Ahmedabad</v>
      </c>
      <c r="H19" s="50" t="str">
        <f>IFERROR(__xludf.DUMMYFUNCTION("""COMPUTED_VALUE"""),"India")</f>
        <v>India</v>
      </c>
      <c r="I19" s="50" t="str">
        <f>IFERROR(__xludf.DUMMYFUNCTION("""COMPUTED_VALUE"""),"India")</f>
        <v>India</v>
      </c>
      <c r="J19" s="50" t="str">
        <f>IFERROR(__xludf.DUMMYFUNCTION("""COMPUTED_VALUE"""),"Service")</f>
        <v>Service</v>
      </c>
      <c r="K19" s="50" t="str">
        <f>IFERROR(__xludf.DUMMYFUNCTION("""COMPUTED_VALUE"""),"NGO &amp; Foundation")</f>
        <v>NGO &amp; Foundation</v>
      </c>
      <c r="L19" s="50" t="str">
        <f>IFERROR(__xludf.DUMMYFUNCTION("""COMPUTED_VALUE"""),"Foundation")</f>
        <v>Foundation</v>
      </c>
      <c r="M19" s="50"/>
      <c r="N19" s="50" t="str">
        <f>IFERROR(__xludf.DUMMYFUNCTION("""COMPUTED_VALUE"""),"Cold Outreach")</f>
        <v>Cold Outreach</v>
      </c>
      <c r="O19" s="50" t="str">
        <f>IFERROR(__xludf.DUMMYFUNCTION("""COMPUTED_VALUE"""),"Aastha")</f>
        <v>Aastha</v>
      </c>
      <c r="P19" s="50"/>
      <c r="Q19" s="50"/>
      <c r="R19" s="50"/>
      <c r="S19" s="50"/>
      <c r="T19" s="50"/>
      <c r="U19" s="50" t="str">
        <f>IFERROR(__xludf.DUMMYFUNCTION("""COMPUTED_VALUE"""),"Not Scheduled")</f>
        <v>Not Scheduled</v>
      </c>
      <c r="V19" s="50"/>
      <c r="W19" s="50"/>
      <c r="X19" s="50"/>
      <c r="Y19" s="50"/>
      <c r="Z19" s="50"/>
      <c r="AA19" s="50">
        <f>IFERROR(__xludf.DUMMYFUNCTION("""COMPUTED_VALUE"""),0.0)</f>
        <v>0</v>
      </c>
      <c r="AB19" s="50"/>
      <c r="AC19" s="50"/>
      <c r="AD19" s="50"/>
    </row>
    <row r="20">
      <c r="A20" s="50">
        <f>IFERROR(__xludf.DUMMYFUNCTION("""COMPUTED_VALUE"""),120.0)</f>
        <v>120</v>
      </c>
      <c r="B20" s="51">
        <f>IFERROR(__xludf.DUMMYFUNCTION("""COMPUTED_VALUE"""),46274.0)</f>
        <v>46274</v>
      </c>
      <c r="C20" s="50" t="str">
        <f>IFERROR(__xludf.DUMMYFUNCTION("""COMPUTED_VALUE"""),"Shivarpan Charitable Foundation")</f>
        <v>Shivarpan Charitable Foundation</v>
      </c>
      <c r="D20" s="50"/>
      <c r="E20" s="50" t="str">
        <f>IFERROR(__xludf.DUMMYFUNCTION("""COMPUTED_VALUE"""),"9898038241")</f>
        <v>9898038241</v>
      </c>
      <c r="F20" s="50"/>
      <c r="G20" s="50" t="str">
        <f>IFERROR(__xludf.DUMMYFUNCTION("""COMPUTED_VALUE"""),"Ahmedabad")</f>
        <v>Ahmedabad</v>
      </c>
      <c r="H20" s="50" t="str">
        <f>IFERROR(__xludf.DUMMYFUNCTION("""COMPUTED_VALUE"""),"India")</f>
        <v>India</v>
      </c>
      <c r="I20" s="50" t="str">
        <f>IFERROR(__xludf.DUMMYFUNCTION("""COMPUTED_VALUE"""),"India")</f>
        <v>India</v>
      </c>
      <c r="J20" s="50" t="str">
        <f>IFERROR(__xludf.DUMMYFUNCTION("""COMPUTED_VALUE"""),"Service")</f>
        <v>Service</v>
      </c>
      <c r="K20" s="50" t="str">
        <f>IFERROR(__xludf.DUMMYFUNCTION("""COMPUTED_VALUE"""),"NGO &amp; Foundation")</f>
        <v>NGO &amp; Foundation</v>
      </c>
      <c r="L20" s="50" t="str">
        <f>IFERROR(__xludf.DUMMYFUNCTION("""COMPUTED_VALUE"""),"Foundation")</f>
        <v>Foundation</v>
      </c>
      <c r="M20" s="50"/>
      <c r="N20" s="50" t="str">
        <f>IFERROR(__xludf.DUMMYFUNCTION("""COMPUTED_VALUE"""),"Cold Outreach")</f>
        <v>Cold Outreach</v>
      </c>
      <c r="O20" s="50" t="str">
        <f>IFERROR(__xludf.DUMMYFUNCTION("""COMPUTED_VALUE"""),"Aastha")</f>
        <v>Aastha</v>
      </c>
      <c r="P20" s="50"/>
      <c r="Q20" s="50"/>
      <c r="R20" s="50"/>
      <c r="S20" s="50"/>
      <c r="T20" s="50"/>
      <c r="U20" s="50" t="str">
        <f>IFERROR(__xludf.DUMMYFUNCTION("""COMPUTED_VALUE"""),"Not Scheduled")</f>
        <v>Not Scheduled</v>
      </c>
      <c r="V20" s="50"/>
      <c r="W20" s="50"/>
      <c r="X20" s="50"/>
      <c r="Y20" s="50"/>
      <c r="Z20" s="50"/>
      <c r="AA20" s="50">
        <f>IFERROR(__xludf.DUMMYFUNCTION("""COMPUTED_VALUE"""),0.0)</f>
        <v>0</v>
      </c>
      <c r="AB20" s="50"/>
      <c r="AC20" s="50"/>
      <c r="AD20" s="50"/>
    </row>
    <row r="21" ht="15.75" customHeight="1">
      <c r="A21" s="50">
        <f>IFERROR(__xludf.DUMMYFUNCTION("""COMPUTED_VALUE"""),121.0)</f>
        <v>121</v>
      </c>
      <c r="B21" s="51">
        <f>IFERROR(__xludf.DUMMYFUNCTION("""COMPUTED_VALUE"""),46274.0)</f>
        <v>46274</v>
      </c>
      <c r="C21" s="50" t="str">
        <f>IFERROR(__xludf.DUMMYFUNCTION("""COMPUTED_VALUE"""),"Marpu Foundation")</f>
        <v>Marpu Foundation</v>
      </c>
      <c r="D21" s="50"/>
      <c r="E21" s="50" t="str">
        <f>IFERROR(__xludf.DUMMYFUNCTION("""COMPUTED_VALUE"""),"7997801001")</f>
        <v>7997801001</v>
      </c>
      <c r="F21" s="50"/>
      <c r="G21" s="50" t="str">
        <f>IFERROR(__xludf.DUMMYFUNCTION("""COMPUTED_VALUE"""),"Ahmedabad")</f>
        <v>Ahmedabad</v>
      </c>
      <c r="H21" s="50" t="str">
        <f>IFERROR(__xludf.DUMMYFUNCTION("""COMPUTED_VALUE"""),"India")</f>
        <v>India</v>
      </c>
      <c r="I21" s="50" t="str">
        <f>IFERROR(__xludf.DUMMYFUNCTION("""COMPUTED_VALUE"""),"India")</f>
        <v>India</v>
      </c>
      <c r="J21" s="50" t="str">
        <f>IFERROR(__xludf.DUMMYFUNCTION("""COMPUTED_VALUE"""),"Service")</f>
        <v>Service</v>
      </c>
      <c r="K21" s="50" t="str">
        <f>IFERROR(__xludf.DUMMYFUNCTION("""COMPUTED_VALUE"""),"NGO &amp; Foundation")</f>
        <v>NGO &amp; Foundation</v>
      </c>
      <c r="L21" s="50" t="str">
        <f>IFERROR(__xludf.DUMMYFUNCTION("""COMPUTED_VALUE"""),"Foundation")</f>
        <v>Foundation</v>
      </c>
      <c r="M21" s="50"/>
      <c r="N21" s="50" t="str">
        <f>IFERROR(__xludf.DUMMYFUNCTION("""COMPUTED_VALUE"""),"Cold Outreach")</f>
        <v>Cold Outreach</v>
      </c>
      <c r="O21" s="50" t="str">
        <f>IFERROR(__xludf.DUMMYFUNCTION("""COMPUTED_VALUE"""),"Aastha")</f>
        <v>Aastha</v>
      </c>
      <c r="P21" s="50"/>
      <c r="Q21" s="50"/>
      <c r="R21" s="50"/>
      <c r="S21" s="50"/>
      <c r="T21" s="50"/>
      <c r="U21" s="50" t="str">
        <f>IFERROR(__xludf.DUMMYFUNCTION("""COMPUTED_VALUE"""),"Not Scheduled")</f>
        <v>Not Scheduled</v>
      </c>
      <c r="V21" s="50"/>
      <c r="W21" s="50"/>
      <c r="X21" s="50"/>
      <c r="Y21" s="50"/>
      <c r="Z21" s="50"/>
      <c r="AA21" s="50">
        <f>IFERROR(__xludf.DUMMYFUNCTION("""COMPUTED_VALUE"""),0.0)</f>
        <v>0</v>
      </c>
      <c r="AB21" s="50"/>
      <c r="AC21" s="50"/>
      <c r="AD21" s="50"/>
    </row>
    <row r="22" ht="15.75" customHeight="1">
      <c r="A22" s="50">
        <f>IFERROR(__xludf.DUMMYFUNCTION("""COMPUTED_VALUE"""),122.0)</f>
        <v>122</v>
      </c>
      <c r="B22" s="51">
        <f>IFERROR(__xludf.DUMMYFUNCTION("""COMPUTED_VALUE"""),46274.0)</f>
        <v>46274</v>
      </c>
      <c r="C22" s="50" t="str">
        <f>IFERROR(__xludf.DUMMYFUNCTION("""COMPUTED_VALUE"""),"Saksham Foundation")</f>
        <v>Saksham Foundation</v>
      </c>
      <c r="D22" s="50"/>
      <c r="E22" s="50" t="str">
        <f>IFERROR(__xludf.DUMMYFUNCTION("""COMPUTED_VALUE"""),"9173827722")</f>
        <v>9173827722</v>
      </c>
      <c r="F22" s="50" t="str">
        <f>IFERROR(__xludf.DUMMYFUNCTION("""COMPUTED_VALUE"""),"TOMORROW AFTER 11 AM CALL")</f>
        <v>TOMORROW AFTER 11 AM CALL</v>
      </c>
      <c r="G22" s="50" t="str">
        <f>IFERROR(__xludf.DUMMYFUNCTION("""COMPUTED_VALUE"""),"Ahmedabad")</f>
        <v>Ahmedabad</v>
      </c>
      <c r="H22" s="50" t="str">
        <f>IFERROR(__xludf.DUMMYFUNCTION("""COMPUTED_VALUE"""),"India")</f>
        <v>India</v>
      </c>
      <c r="I22" s="50" t="str">
        <f>IFERROR(__xludf.DUMMYFUNCTION("""COMPUTED_VALUE"""),"India")</f>
        <v>India</v>
      </c>
      <c r="J22" s="50" t="str">
        <f>IFERROR(__xludf.DUMMYFUNCTION("""COMPUTED_VALUE"""),"Service")</f>
        <v>Service</v>
      </c>
      <c r="K22" s="50" t="str">
        <f>IFERROR(__xludf.DUMMYFUNCTION("""COMPUTED_VALUE"""),"NGO &amp; Foundation")</f>
        <v>NGO &amp; Foundation</v>
      </c>
      <c r="L22" s="50" t="str">
        <f>IFERROR(__xludf.DUMMYFUNCTION("""COMPUTED_VALUE"""),"Foundation")</f>
        <v>Foundation</v>
      </c>
      <c r="M22" s="50"/>
      <c r="N22" s="50" t="str">
        <f>IFERROR(__xludf.DUMMYFUNCTION("""COMPUTED_VALUE"""),"Cold Outreach")</f>
        <v>Cold Outreach</v>
      </c>
      <c r="O22" s="50" t="str">
        <f>IFERROR(__xludf.DUMMYFUNCTION("""COMPUTED_VALUE"""),"Aastha")</f>
        <v>Aastha</v>
      </c>
      <c r="P22" s="50"/>
      <c r="Q22" s="50"/>
      <c r="R22" s="50"/>
      <c r="S22" s="50"/>
      <c r="T22" s="50"/>
      <c r="U22" s="50" t="str">
        <f>IFERROR(__xludf.DUMMYFUNCTION("""COMPUTED_VALUE"""),"Not Scheduled")</f>
        <v>Not Scheduled</v>
      </c>
      <c r="V22" s="50"/>
      <c r="W22" s="50"/>
      <c r="X22" s="50"/>
      <c r="Y22" s="50"/>
      <c r="Z22" s="50"/>
      <c r="AA22" s="50">
        <f>IFERROR(__xludf.DUMMYFUNCTION("""COMPUTED_VALUE"""),0.0)</f>
        <v>0</v>
      </c>
      <c r="AB22" s="50"/>
      <c r="AC22" s="50"/>
      <c r="AD22" s="50"/>
    </row>
    <row r="23" ht="15.75" customHeight="1">
      <c r="A23" s="50">
        <f>IFERROR(__xludf.DUMMYFUNCTION("""COMPUTED_VALUE"""),123.0)</f>
        <v>123</v>
      </c>
      <c r="B23" s="51">
        <f>IFERROR(__xludf.DUMMYFUNCTION("""COMPUTED_VALUE"""),46274.0)</f>
        <v>46274</v>
      </c>
      <c r="C23" s="50" t="str">
        <f>IFERROR(__xludf.DUMMYFUNCTION("""COMPUTED_VALUE"""),"Sai Foundation ")</f>
        <v>Sai Foundation </v>
      </c>
      <c r="D23" s="50"/>
      <c r="E23" s="50" t="str">
        <f>IFERROR(__xludf.DUMMYFUNCTION("""COMPUTED_VALUE"""),"8238878763")</f>
        <v>8238878763</v>
      </c>
      <c r="F23" s="50" t="str">
        <f>IFERROR(__xludf.DUMMYFUNCTION("""COMPUTED_VALUE"""),"CALL AFTER 10:30 AM")</f>
        <v>CALL AFTER 10:30 AM</v>
      </c>
      <c r="G23" s="50" t="str">
        <f>IFERROR(__xludf.DUMMYFUNCTION("""COMPUTED_VALUE"""),"Ahmedabad")</f>
        <v>Ahmedabad</v>
      </c>
      <c r="H23" s="50" t="str">
        <f>IFERROR(__xludf.DUMMYFUNCTION("""COMPUTED_VALUE"""),"India")</f>
        <v>India</v>
      </c>
      <c r="I23" s="50" t="str">
        <f>IFERROR(__xludf.DUMMYFUNCTION("""COMPUTED_VALUE"""),"India")</f>
        <v>India</v>
      </c>
      <c r="J23" s="50" t="str">
        <f>IFERROR(__xludf.DUMMYFUNCTION("""COMPUTED_VALUE"""),"Service")</f>
        <v>Service</v>
      </c>
      <c r="K23" s="50" t="str">
        <f>IFERROR(__xludf.DUMMYFUNCTION("""COMPUTED_VALUE"""),"NGO &amp; Foundation")</f>
        <v>NGO &amp; Foundation</v>
      </c>
      <c r="L23" s="50" t="str">
        <f>IFERROR(__xludf.DUMMYFUNCTION("""COMPUTED_VALUE"""),"Foundation")</f>
        <v>Foundation</v>
      </c>
      <c r="M23" s="50"/>
      <c r="N23" s="50" t="str">
        <f>IFERROR(__xludf.DUMMYFUNCTION("""COMPUTED_VALUE"""),"Cold Outreach")</f>
        <v>Cold Outreach</v>
      </c>
      <c r="O23" s="50" t="str">
        <f>IFERROR(__xludf.DUMMYFUNCTION("""COMPUTED_VALUE"""),"Aastha")</f>
        <v>Aastha</v>
      </c>
      <c r="P23" s="50"/>
      <c r="Q23" s="50"/>
      <c r="R23" s="50"/>
      <c r="S23" s="50"/>
      <c r="T23" s="50"/>
      <c r="U23" s="50" t="str">
        <f>IFERROR(__xludf.DUMMYFUNCTION("""COMPUTED_VALUE"""),"Not Scheduled")</f>
        <v>Not Scheduled</v>
      </c>
      <c r="V23" s="50"/>
      <c r="W23" s="50"/>
      <c r="X23" s="50"/>
      <c r="Y23" s="50"/>
      <c r="Z23" s="50"/>
      <c r="AA23" s="50">
        <f>IFERROR(__xludf.DUMMYFUNCTION("""COMPUTED_VALUE"""),0.0)</f>
        <v>0</v>
      </c>
      <c r="AB23" s="50"/>
      <c r="AC23" s="50"/>
      <c r="AD23" s="50"/>
    </row>
    <row r="24" ht="15.75" customHeight="1">
      <c r="A24" s="50">
        <f>IFERROR(__xludf.DUMMYFUNCTION("""COMPUTED_VALUE"""),124.0)</f>
        <v>124</v>
      </c>
      <c r="B24" s="51">
        <f>IFERROR(__xludf.DUMMYFUNCTION("""COMPUTED_VALUE"""),46274.0)</f>
        <v>46274</v>
      </c>
      <c r="C24" s="50" t="str">
        <f>IFERROR(__xludf.DUMMYFUNCTION("""COMPUTED_VALUE"""),"Umeed Child Foundation")</f>
        <v>Umeed Child Foundation</v>
      </c>
      <c r="D24" s="50" t="str">
        <f>IFERROR(__xludf.DUMMYFUNCTION("""COMPUTED_VALUE"""),"Mukesh Chauhan")</f>
        <v>Mukesh Chauhan</v>
      </c>
      <c r="E24" s="50" t="str">
        <f>IFERROR(__xludf.DUMMYFUNCTION("""COMPUTED_VALUE"""),"8980090465")</f>
        <v>8980090465</v>
      </c>
      <c r="F24" s="50" t="str">
        <f>IFERROR(__xludf.DUMMYFUNCTION("""COMPUTED_VALUE"""),"Share Document")</f>
        <v>Share Document</v>
      </c>
      <c r="G24" s="50" t="str">
        <f>IFERROR(__xludf.DUMMYFUNCTION("""COMPUTED_VALUE"""),"Ahmedabad")</f>
        <v>Ahmedabad</v>
      </c>
      <c r="H24" s="50" t="str">
        <f>IFERROR(__xludf.DUMMYFUNCTION("""COMPUTED_VALUE"""),"India")</f>
        <v>India</v>
      </c>
      <c r="I24" s="50" t="str">
        <f>IFERROR(__xludf.DUMMYFUNCTION("""COMPUTED_VALUE"""),"India")</f>
        <v>India</v>
      </c>
      <c r="J24" s="50" t="str">
        <f>IFERROR(__xludf.DUMMYFUNCTION("""COMPUTED_VALUE"""),"Service")</f>
        <v>Service</v>
      </c>
      <c r="K24" s="50" t="str">
        <f>IFERROR(__xludf.DUMMYFUNCTION("""COMPUTED_VALUE"""),"NGO &amp; Foundation")</f>
        <v>NGO &amp; Foundation</v>
      </c>
      <c r="L24" s="50" t="str">
        <f>IFERROR(__xludf.DUMMYFUNCTION("""COMPUTED_VALUE"""),"Foundation")</f>
        <v>Foundation</v>
      </c>
      <c r="M24" s="50"/>
      <c r="N24" s="50" t="str">
        <f>IFERROR(__xludf.DUMMYFUNCTION("""COMPUTED_VALUE"""),"Cold Outreach")</f>
        <v>Cold Outreach</v>
      </c>
      <c r="O24" s="50" t="str">
        <f>IFERROR(__xludf.DUMMYFUNCTION("""COMPUTED_VALUE"""),"Aastha")</f>
        <v>Aastha</v>
      </c>
      <c r="P24" s="50"/>
      <c r="Q24" s="50"/>
      <c r="R24" s="50"/>
      <c r="S24" s="50"/>
      <c r="T24" s="50"/>
      <c r="U24" s="50" t="str">
        <f>IFERROR(__xludf.DUMMYFUNCTION("""COMPUTED_VALUE"""),"Not Scheduled")</f>
        <v>Not Scheduled</v>
      </c>
      <c r="V24" s="50"/>
      <c r="W24" s="50"/>
      <c r="X24" s="50"/>
      <c r="Y24" s="50"/>
      <c r="Z24" s="50"/>
      <c r="AA24" s="50">
        <f>IFERROR(__xludf.DUMMYFUNCTION("""COMPUTED_VALUE"""),0.0)</f>
        <v>0</v>
      </c>
      <c r="AB24" s="50"/>
      <c r="AC24" s="50"/>
      <c r="AD24" s="50"/>
    </row>
    <row r="25" ht="15.75" customHeight="1">
      <c r="A25" s="50">
        <f>IFERROR(__xludf.DUMMYFUNCTION("""COMPUTED_VALUE"""),127.0)</f>
        <v>127</v>
      </c>
      <c r="B25" s="51">
        <f>IFERROR(__xludf.DUMMYFUNCTION("""COMPUTED_VALUE"""),46274.0)</f>
        <v>46274</v>
      </c>
      <c r="C25" s="50" t="str">
        <f>IFERROR(__xludf.DUMMYFUNCTION("""COMPUTED_VALUE"""),"Ashray Foundation")</f>
        <v>Ashray Foundation</v>
      </c>
      <c r="D25" s="50" t="str">
        <f>IFERROR(__xludf.DUMMYFUNCTION("""COMPUTED_VALUE"""),"Sanjana")</f>
        <v>Sanjana</v>
      </c>
      <c r="E25" s="50" t="str">
        <f>IFERROR(__xludf.DUMMYFUNCTION("""COMPUTED_VALUE"""),"9898030611")</f>
        <v>9898030611</v>
      </c>
      <c r="F25" s="50"/>
      <c r="G25" s="50" t="str">
        <f>IFERROR(__xludf.DUMMYFUNCTION("""COMPUTED_VALUE"""),"Ahmedabad")</f>
        <v>Ahmedabad</v>
      </c>
      <c r="H25" s="50" t="str">
        <f>IFERROR(__xludf.DUMMYFUNCTION("""COMPUTED_VALUE"""),"India")</f>
        <v>India</v>
      </c>
      <c r="I25" s="50" t="str">
        <f>IFERROR(__xludf.DUMMYFUNCTION("""COMPUTED_VALUE"""),"India")</f>
        <v>India</v>
      </c>
      <c r="J25" s="50" t="str">
        <f>IFERROR(__xludf.DUMMYFUNCTION("""COMPUTED_VALUE"""),"Service")</f>
        <v>Service</v>
      </c>
      <c r="K25" s="50" t="str">
        <f>IFERROR(__xludf.DUMMYFUNCTION("""COMPUTED_VALUE"""),"NGO &amp; Foundation")</f>
        <v>NGO &amp; Foundation</v>
      </c>
      <c r="L25" s="50" t="str">
        <f>IFERROR(__xludf.DUMMYFUNCTION("""COMPUTED_VALUE"""),"Foundation")</f>
        <v>Foundation</v>
      </c>
      <c r="M25" s="50"/>
      <c r="N25" s="50" t="str">
        <f>IFERROR(__xludf.DUMMYFUNCTION("""COMPUTED_VALUE"""),"Cold Outreach")</f>
        <v>Cold Outreach</v>
      </c>
      <c r="O25" s="50" t="str">
        <f>IFERROR(__xludf.DUMMYFUNCTION("""COMPUTED_VALUE"""),"Aastha")</f>
        <v>Aastha</v>
      </c>
      <c r="P25" s="50" t="str">
        <f>IFERROR(__xludf.DUMMYFUNCTION("""COMPUTED_VALUE"""),"Cold")</f>
        <v>Cold</v>
      </c>
      <c r="Q25" s="50" t="str">
        <f>IFERROR(__xludf.DUMMYFUNCTION("""COMPUTED_VALUE"""),"Contacted")</f>
        <v>Contacted</v>
      </c>
      <c r="R25" s="50" t="str">
        <f>IFERROR(__xludf.DUMMYFUNCTION("""COMPUTED_VALUE"""),"Follow-Up Complete")</f>
        <v>Follow-Up Complete</v>
      </c>
      <c r="S25" s="50"/>
      <c r="T25" s="50"/>
      <c r="U25" s="50" t="str">
        <f>IFERROR(__xludf.DUMMYFUNCTION("""COMPUTED_VALUE"""),"Not Scheduled")</f>
        <v>Not Scheduled</v>
      </c>
      <c r="V25" s="50"/>
      <c r="W25" s="50"/>
      <c r="X25" s="50"/>
      <c r="Y25" s="50"/>
      <c r="Z25" s="50"/>
      <c r="AA25" s="50">
        <f>IFERROR(__xludf.DUMMYFUNCTION("""COMPUTED_VALUE"""),0.0)</f>
        <v>0</v>
      </c>
      <c r="AB25" s="50"/>
      <c r="AC25" s="50"/>
      <c r="AD25" s="50"/>
    </row>
    <row r="26" ht="15.75" customHeight="1">
      <c r="A26" s="50">
        <f>IFERROR(__xludf.DUMMYFUNCTION("""COMPUTED_VALUE"""),128.0)</f>
        <v>128</v>
      </c>
      <c r="B26" s="51">
        <f>IFERROR(__xludf.DUMMYFUNCTION("""COMPUTED_VALUE"""),46274.0)</f>
        <v>46274</v>
      </c>
      <c r="C26" s="50" t="str">
        <f>IFERROR(__xludf.DUMMYFUNCTION("""COMPUTED_VALUE"""),"Dream Foundation")</f>
        <v>Dream Foundation</v>
      </c>
      <c r="D26" s="50"/>
      <c r="E26" s="50" t="str">
        <f>IFERROR(__xludf.DUMMYFUNCTION("""COMPUTED_VALUE"""),"8238236499")</f>
        <v>8238236499</v>
      </c>
      <c r="F26" s="50"/>
      <c r="G26" s="50" t="str">
        <f>IFERROR(__xludf.DUMMYFUNCTION("""COMPUTED_VALUE"""),"Ahmedabad")</f>
        <v>Ahmedabad</v>
      </c>
      <c r="H26" s="50" t="str">
        <f>IFERROR(__xludf.DUMMYFUNCTION("""COMPUTED_VALUE"""),"India")</f>
        <v>India</v>
      </c>
      <c r="I26" s="50" t="str">
        <f>IFERROR(__xludf.DUMMYFUNCTION("""COMPUTED_VALUE"""),"India")</f>
        <v>India</v>
      </c>
      <c r="J26" s="50" t="str">
        <f>IFERROR(__xludf.DUMMYFUNCTION("""COMPUTED_VALUE"""),"Service")</f>
        <v>Service</v>
      </c>
      <c r="K26" s="50" t="str">
        <f>IFERROR(__xludf.DUMMYFUNCTION("""COMPUTED_VALUE"""),"NGO &amp; Foundation")</f>
        <v>NGO &amp; Foundation</v>
      </c>
      <c r="L26" s="50" t="str">
        <f>IFERROR(__xludf.DUMMYFUNCTION("""COMPUTED_VALUE"""),"Foundation")</f>
        <v>Foundation</v>
      </c>
      <c r="M26" s="50"/>
      <c r="N26" s="50" t="str">
        <f>IFERROR(__xludf.DUMMYFUNCTION("""COMPUTED_VALUE"""),"Cold Outreach")</f>
        <v>Cold Outreach</v>
      </c>
      <c r="O26" s="50"/>
      <c r="P26" s="50"/>
      <c r="Q26" s="50"/>
      <c r="R26" s="50"/>
      <c r="S26" s="50"/>
      <c r="T26" s="50"/>
      <c r="U26" s="50" t="str">
        <f>IFERROR(__xludf.DUMMYFUNCTION("""COMPUTED_VALUE"""),"Not Scheduled")</f>
        <v>Not Scheduled</v>
      </c>
      <c r="V26" s="50"/>
      <c r="W26" s="50"/>
      <c r="X26" s="50"/>
      <c r="Y26" s="50"/>
      <c r="Z26" s="50"/>
      <c r="AA26" s="50">
        <f>IFERROR(__xludf.DUMMYFUNCTION("""COMPUTED_VALUE"""),0.0)</f>
        <v>0</v>
      </c>
      <c r="AB26" s="50"/>
      <c r="AC26" s="50"/>
      <c r="AD26" s="50"/>
    </row>
    <row r="27" ht="15.75" customHeight="1">
      <c r="A27" s="50">
        <f>IFERROR(__xludf.DUMMYFUNCTION("""COMPUTED_VALUE"""),129.0)</f>
        <v>129</v>
      </c>
      <c r="B27" s="51">
        <f>IFERROR(__xludf.DUMMYFUNCTION("""COMPUTED_VALUE"""),46275.0)</f>
        <v>46275</v>
      </c>
      <c r="C27" s="50" t="str">
        <f>IFERROR(__xludf.DUMMYFUNCTION("""COMPUTED_VALUE"""),"Samvedna Foundation")</f>
        <v>Samvedna Foundation</v>
      </c>
      <c r="D27" s="50" t="str">
        <f>IFERROR(__xludf.DUMMYFUNCTION("""COMPUTED_VALUE"""),"Priyanka Lakhwani")</f>
        <v>Priyanka Lakhwani</v>
      </c>
      <c r="E27" s="50" t="str">
        <f>IFERROR(__xludf.DUMMYFUNCTION("""COMPUTED_VALUE"""),"8128923990")</f>
        <v>8128923990</v>
      </c>
      <c r="F27" s="50"/>
      <c r="G27" s="50" t="str">
        <f>IFERROR(__xludf.DUMMYFUNCTION("""COMPUTED_VALUE"""),"Ahmedabad")</f>
        <v>Ahmedabad</v>
      </c>
      <c r="H27" s="50" t="str">
        <f>IFERROR(__xludf.DUMMYFUNCTION("""COMPUTED_VALUE"""),"India")</f>
        <v>India</v>
      </c>
      <c r="I27" s="50" t="str">
        <f>IFERROR(__xludf.DUMMYFUNCTION("""COMPUTED_VALUE"""),"India")</f>
        <v>India</v>
      </c>
      <c r="J27" s="50" t="str">
        <f>IFERROR(__xludf.DUMMYFUNCTION("""COMPUTED_VALUE"""),"Service")</f>
        <v>Service</v>
      </c>
      <c r="K27" s="50" t="str">
        <f>IFERROR(__xludf.DUMMYFUNCTION("""COMPUTED_VALUE"""),"NGO &amp; Foundation")</f>
        <v>NGO &amp; Foundation</v>
      </c>
      <c r="L27" s="50" t="str">
        <f>IFERROR(__xludf.DUMMYFUNCTION("""COMPUTED_VALUE"""),"Foundation")</f>
        <v>Foundation</v>
      </c>
      <c r="M27" s="50"/>
      <c r="N27" s="50"/>
      <c r="O27" s="50"/>
      <c r="P27" s="50"/>
      <c r="Q27" s="50"/>
      <c r="R27" s="50"/>
      <c r="S27" s="50"/>
      <c r="T27" s="50"/>
      <c r="U27" s="50" t="str">
        <f>IFERROR(__xludf.DUMMYFUNCTION("""COMPUTED_VALUE"""),"Not Scheduled")</f>
        <v>Not Scheduled</v>
      </c>
      <c r="V27" s="50"/>
      <c r="W27" s="50"/>
      <c r="X27" s="50"/>
      <c r="Y27" s="50"/>
      <c r="Z27" s="50"/>
      <c r="AA27" s="50">
        <f>IFERROR(__xludf.DUMMYFUNCTION("""COMPUTED_VALUE"""),0.0)</f>
        <v>0</v>
      </c>
      <c r="AB27" s="50"/>
      <c r="AC27" s="50"/>
      <c r="AD27" s="50"/>
    </row>
    <row r="28" ht="15.75" customHeight="1">
      <c r="B28" s="51"/>
    </row>
    <row r="29" ht="15.75" customHeight="1">
      <c r="B29" s="51"/>
    </row>
    <row r="30" ht="15.75" customHeight="1">
      <c r="B30" s="51"/>
    </row>
    <row r="31" ht="15.75" customHeight="1">
      <c r="B31" s="51"/>
    </row>
    <row r="32" ht="15.75" customHeight="1">
      <c r="B32" s="51"/>
    </row>
    <row r="33" ht="15.75" customHeight="1">
      <c r="B33" s="51"/>
    </row>
    <row r="34" ht="15.75" customHeight="1">
      <c r="B34" s="51"/>
    </row>
    <row r="35" ht="15.75" customHeight="1">
      <c r="B35" s="51"/>
    </row>
    <row r="36" ht="15.75" customHeight="1">
      <c r="B36" s="51"/>
    </row>
    <row r="37" ht="15.75" customHeight="1">
      <c r="B37" s="51"/>
    </row>
    <row r="38" ht="15.75" customHeight="1">
      <c r="B38" s="51"/>
    </row>
    <row r="39" ht="15.75" customHeight="1">
      <c r="B39" s="51"/>
    </row>
    <row r="40" ht="15.75" customHeight="1">
      <c r="B40" s="51"/>
    </row>
    <row r="41" ht="15.75" customHeight="1">
      <c r="B41" s="51"/>
    </row>
    <row r="42" ht="15.75" customHeight="1">
      <c r="B42" s="51"/>
    </row>
    <row r="43" ht="15.75" customHeight="1">
      <c r="B43" s="51"/>
    </row>
    <row r="44" ht="15.75" customHeight="1">
      <c r="B44" s="51"/>
    </row>
    <row r="45" ht="15.75" customHeight="1">
      <c r="B45" s="51"/>
    </row>
    <row r="46" ht="15.75" customHeight="1">
      <c r="B46" s="51"/>
    </row>
    <row r="47" ht="15.75" customHeight="1">
      <c r="B47" s="51"/>
    </row>
    <row r="48" ht="15.75" customHeight="1">
      <c r="B48" s="51"/>
    </row>
    <row r="49" ht="15.75" customHeight="1">
      <c r="B49" s="51"/>
    </row>
    <row r="50" ht="15.75" customHeight="1">
      <c r="B50" s="51"/>
    </row>
    <row r="51" ht="15.75" customHeight="1">
      <c r="B51" s="51"/>
    </row>
    <row r="52" ht="15.75" customHeight="1">
      <c r="B52" s="51"/>
    </row>
    <row r="53" ht="15.75" customHeight="1">
      <c r="B53" s="51"/>
    </row>
    <row r="54" ht="15.75" customHeight="1">
      <c r="B54" s="51"/>
    </row>
    <row r="55" ht="15.75" customHeight="1">
      <c r="B55" s="51"/>
    </row>
    <row r="56" ht="15.75" customHeight="1">
      <c r="B56" s="51"/>
    </row>
    <row r="57" ht="15.75" customHeight="1">
      <c r="B57" s="51"/>
    </row>
    <row r="58" ht="15.75" customHeight="1">
      <c r="B58" s="51"/>
    </row>
    <row r="59" ht="15.75" customHeight="1">
      <c r="B59" s="51"/>
    </row>
    <row r="60" ht="15.75" customHeight="1">
      <c r="B60" s="51"/>
    </row>
    <row r="61" ht="15.75" customHeight="1">
      <c r="B61" s="51"/>
    </row>
    <row r="62" ht="15.75" customHeight="1">
      <c r="B62" s="51"/>
    </row>
    <row r="63" ht="15.75" customHeight="1">
      <c r="B63" s="51"/>
    </row>
    <row r="64" ht="15.75" customHeight="1">
      <c r="B64" s="51"/>
    </row>
    <row r="65" ht="15.75" customHeight="1">
      <c r="B65" s="51"/>
    </row>
    <row r="66" ht="15.75" customHeight="1">
      <c r="B66" s="51"/>
    </row>
    <row r="67" ht="15.75" customHeight="1">
      <c r="B67" s="51"/>
    </row>
    <row r="68" ht="15.75" customHeight="1">
      <c r="B68" s="51"/>
    </row>
    <row r="69" ht="15.75" customHeight="1">
      <c r="B69" s="51"/>
    </row>
    <row r="70" ht="15.75" customHeight="1">
      <c r="B70" s="51"/>
    </row>
    <row r="71" ht="15.75" customHeight="1">
      <c r="B71" s="51"/>
    </row>
    <row r="72" ht="15.75" customHeight="1">
      <c r="B72" s="51"/>
    </row>
    <row r="73" ht="15.75" customHeight="1">
      <c r="B73" s="51"/>
    </row>
    <row r="74" ht="15.75" customHeight="1">
      <c r="B74" s="51"/>
    </row>
    <row r="75" ht="15.75" customHeight="1">
      <c r="B75" s="51"/>
    </row>
    <row r="76" ht="15.75" customHeight="1">
      <c r="B76" s="51"/>
    </row>
    <row r="77" ht="15.75" customHeight="1">
      <c r="B77" s="51"/>
    </row>
    <row r="78" ht="15.75" customHeight="1">
      <c r="B78" s="51"/>
    </row>
    <row r="79" ht="15.75" customHeight="1">
      <c r="B79" s="51"/>
    </row>
    <row r="80" ht="15.75" customHeight="1">
      <c r="B80" s="51"/>
    </row>
    <row r="81" ht="15.75" customHeight="1">
      <c r="B81" s="51"/>
    </row>
    <row r="82" ht="15.75" customHeight="1">
      <c r="B82" s="51"/>
    </row>
    <row r="83" ht="15.75" customHeight="1">
      <c r="B83" s="51"/>
    </row>
    <row r="84" ht="15.75" customHeight="1">
      <c r="B84" s="51"/>
    </row>
    <row r="85" ht="15.75" customHeight="1">
      <c r="B85" s="51"/>
    </row>
    <row r="86" ht="15.75" customHeight="1">
      <c r="B86" s="51"/>
    </row>
    <row r="87" ht="15.75" customHeight="1">
      <c r="B87" s="51"/>
    </row>
    <row r="88" ht="15.75" customHeight="1">
      <c r="B88" s="51"/>
    </row>
    <row r="89" ht="15.75" customHeight="1">
      <c r="B89" s="51"/>
    </row>
    <row r="90" ht="15.75" customHeight="1">
      <c r="B90" s="51"/>
    </row>
    <row r="91" ht="15.75" customHeight="1">
      <c r="B91" s="51"/>
    </row>
    <row r="92" ht="15.75" customHeight="1">
      <c r="B92" s="51"/>
    </row>
    <row r="93" ht="15.75" customHeight="1">
      <c r="B93" s="51"/>
    </row>
    <row r="94" ht="15.75" customHeight="1">
      <c r="B94" s="51"/>
    </row>
    <row r="95" ht="15.75" customHeight="1">
      <c r="B95" s="51"/>
    </row>
    <row r="96" ht="15.75" customHeight="1">
      <c r="B96" s="51"/>
    </row>
    <row r="97" ht="15.75" customHeight="1">
      <c r="B97" s="51"/>
    </row>
    <row r="98" ht="15.75" customHeight="1">
      <c r="B98" s="51"/>
    </row>
    <row r="99" ht="15.75" customHeight="1">
      <c r="B99" s="51"/>
    </row>
    <row r="100" ht="15.75" customHeight="1">
      <c r="B100" s="51"/>
    </row>
    <row r="101" ht="15.75" customHeight="1">
      <c r="B101" s="51"/>
    </row>
    <row r="102" ht="15.75" customHeight="1">
      <c r="B102" s="51"/>
    </row>
    <row r="103" ht="15.75" customHeight="1">
      <c r="B103" s="51"/>
    </row>
    <row r="104" ht="15.75" customHeight="1">
      <c r="B104" s="51"/>
    </row>
    <row r="105" ht="15.75" customHeight="1">
      <c r="B105" s="51"/>
    </row>
    <row r="106" ht="15.75" customHeight="1">
      <c r="B106" s="51"/>
    </row>
    <row r="107" ht="15.75" customHeight="1">
      <c r="B107" s="51"/>
    </row>
    <row r="108" ht="15.75" customHeight="1">
      <c r="B108" s="51"/>
    </row>
    <row r="109" ht="15.75" customHeight="1">
      <c r="B109" s="51"/>
    </row>
    <row r="110" ht="15.75" customHeight="1">
      <c r="B110" s="51"/>
    </row>
    <row r="111" ht="15.75" customHeight="1">
      <c r="B111" s="51"/>
    </row>
    <row r="112" ht="15.75" customHeight="1">
      <c r="B112" s="51"/>
    </row>
    <row r="113" ht="15.75" customHeight="1">
      <c r="B113" s="51"/>
    </row>
    <row r="114" ht="15.75" customHeight="1">
      <c r="B114" s="51"/>
    </row>
    <row r="115" ht="15.75" customHeight="1">
      <c r="B115" s="51"/>
    </row>
    <row r="116" ht="15.75" customHeight="1">
      <c r="B116" s="51"/>
    </row>
    <row r="117" ht="15.75" customHeight="1">
      <c r="B117" s="51"/>
    </row>
    <row r="118" ht="15.75" customHeight="1">
      <c r="B118" s="51"/>
    </row>
    <row r="119" ht="15.75" customHeight="1">
      <c r="B119" s="51"/>
    </row>
    <row r="120" ht="15.75" customHeight="1">
      <c r="B120" s="51"/>
    </row>
    <row r="121" ht="15.75" customHeight="1">
      <c r="B121" s="51"/>
    </row>
    <row r="122" ht="15.75" customHeight="1">
      <c r="B122" s="51"/>
    </row>
    <row r="123" ht="15.75" customHeight="1">
      <c r="B123" s="51"/>
    </row>
    <row r="124" ht="15.75" customHeight="1">
      <c r="B124" s="51"/>
    </row>
    <row r="125" ht="15.75" customHeight="1">
      <c r="B125" s="51"/>
    </row>
    <row r="126" ht="15.75" customHeight="1">
      <c r="B126" s="51"/>
    </row>
    <row r="127" ht="15.75" customHeight="1">
      <c r="B127" s="51"/>
    </row>
    <row r="128" ht="15.75" customHeight="1">
      <c r="B128" s="51"/>
    </row>
    <row r="129" ht="15.75" customHeight="1">
      <c r="B129" s="51"/>
    </row>
    <row r="130" ht="15.75" customHeight="1">
      <c r="B130" s="51"/>
    </row>
    <row r="131" ht="15.75" customHeight="1">
      <c r="B131" s="51"/>
    </row>
    <row r="132" ht="15.75" customHeight="1">
      <c r="B132" s="51"/>
    </row>
    <row r="133" ht="15.75" customHeight="1">
      <c r="B133" s="51"/>
    </row>
    <row r="134" ht="15.75" customHeight="1">
      <c r="B134" s="51"/>
    </row>
    <row r="135" ht="15.75" customHeight="1">
      <c r="B135" s="51"/>
    </row>
    <row r="136" ht="15.75" customHeight="1">
      <c r="B136" s="51"/>
    </row>
    <row r="137" ht="15.75" customHeight="1">
      <c r="B137" s="51"/>
    </row>
    <row r="138" ht="15.75" customHeight="1">
      <c r="B138" s="51"/>
    </row>
    <row r="139" ht="15.75" customHeight="1">
      <c r="B139" s="51"/>
    </row>
    <row r="140" ht="15.75" customHeight="1">
      <c r="B140" s="51"/>
    </row>
    <row r="141" ht="15.75" customHeight="1">
      <c r="B141" s="51"/>
    </row>
    <row r="142" ht="15.75" customHeight="1">
      <c r="B142" s="51"/>
    </row>
    <row r="143" ht="15.75" customHeight="1">
      <c r="B143" s="51"/>
    </row>
    <row r="144" ht="15.75" customHeight="1">
      <c r="B144" s="51"/>
    </row>
    <row r="145" ht="15.75" customHeight="1">
      <c r="B145" s="51"/>
    </row>
    <row r="146" ht="15.75" customHeight="1">
      <c r="B146" s="51"/>
    </row>
    <row r="147" ht="15.75" customHeight="1">
      <c r="B147" s="51"/>
    </row>
    <row r="148" ht="15.75" customHeight="1">
      <c r="B148" s="51"/>
    </row>
    <row r="149" ht="15.75" customHeight="1">
      <c r="B149" s="51"/>
    </row>
    <row r="150" ht="15.75" customHeight="1">
      <c r="B150" s="51"/>
    </row>
    <row r="151" ht="15.75" customHeight="1">
      <c r="B151" s="51"/>
    </row>
    <row r="152" ht="15.75" customHeight="1">
      <c r="B152" s="51"/>
    </row>
    <row r="153" ht="15.75" customHeight="1">
      <c r="B153" s="51"/>
    </row>
    <row r="154" ht="15.75" customHeight="1">
      <c r="B154" s="51"/>
    </row>
    <row r="155" ht="15.75" customHeight="1">
      <c r="B155" s="51"/>
    </row>
    <row r="156" ht="15.75" customHeight="1">
      <c r="B156" s="51"/>
    </row>
    <row r="157" ht="15.75" customHeight="1">
      <c r="B157" s="51"/>
    </row>
    <row r="158" ht="15.75" customHeight="1">
      <c r="B158" s="51"/>
    </row>
    <row r="159" ht="15.75" customHeight="1">
      <c r="B159" s="51"/>
    </row>
    <row r="160" ht="15.75" customHeight="1">
      <c r="B160" s="51"/>
    </row>
    <row r="161" ht="15.75" customHeight="1">
      <c r="B161" s="51"/>
    </row>
    <row r="162" ht="15.75" customHeight="1">
      <c r="B162" s="51"/>
    </row>
    <row r="163" ht="15.75" customHeight="1">
      <c r="B163" s="51"/>
    </row>
    <row r="164" ht="15.75" customHeight="1">
      <c r="B164" s="51"/>
    </row>
    <row r="165" ht="15.75" customHeight="1">
      <c r="B165" s="51"/>
    </row>
    <row r="166" ht="15.75" customHeight="1">
      <c r="B166" s="51"/>
    </row>
    <row r="167" ht="15.75" customHeight="1">
      <c r="B167" s="51"/>
    </row>
    <row r="168" ht="15.75" customHeight="1">
      <c r="B168" s="51"/>
    </row>
    <row r="169" ht="15.75" customHeight="1">
      <c r="B169" s="51"/>
    </row>
    <row r="170" ht="15.75" customHeight="1">
      <c r="B170" s="51"/>
    </row>
    <row r="171" ht="15.75" customHeight="1">
      <c r="B171" s="51"/>
    </row>
    <row r="172" ht="15.75" customHeight="1">
      <c r="B172" s="51"/>
    </row>
    <row r="173" ht="15.75" customHeight="1">
      <c r="B173" s="51"/>
    </row>
    <row r="174" ht="15.75" customHeight="1">
      <c r="B174" s="51"/>
    </row>
    <row r="175" ht="15.75" customHeight="1">
      <c r="B175" s="51"/>
    </row>
    <row r="176" ht="15.75" customHeight="1">
      <c r="B176" s="51"/>
    </row>
    <row r="177" ht="15.75" customHeight="1">
      <c r="B177" s="51"/>
    </row>
    <row r="178" ht="15.75" customHeight="1">
      <c r="B178" s="51"/>
    </row>
    <row r="179" ht="15.75" customHeight="1">
      <c r="B179" s="51"/>
    </row>
    <row r="180" ht="15.75" customHeight="1">
      <c r="B180" s="51"/>
    </row>
    <row r="181" ht="15.75" customHeight="1">
      <c r="B181" s="51"/>
    </row>
    <row r="182" ht="15.75" customHeight="1">
      <c r="B182" s="51"/>
    </row>
    <row r="183" ht="15.75" customHeight="1">
      <c r="B183" s="51"/>
    </row>
    <row r="184" ht="15.75" customHeight="1">
      <c r="B184" s="51"/>
    </row>
    <row r="185" ht="15.75" customHeight="1">
      <c r="B185" s="51"/>
    </row>
    <row r="186" ht="15.75" customHeight="1">
      <c r="B186" s="51"/>
    </row>
    <row r="187" ht="15.75" customHeight="1">
      <c r="B187" s="51"/>
    </row>
    <row r="188" ht="15.75" customHeight="1">
      <c r="B188" s="51"/>
    </row>
    <row r="189" ht="15.75" customHeight="1">
      <c r="B189" s="51"/>
    </row>
    <row r="190" ht="15.75" customHeight="1">
      <c r="B190" s="51"/>
    </row>
    <row r="191" ht="15.75" customHeight="1">
      <c r="B191" s="51"/>
    </row>
    <row r="192" ht="15.75" customHeight="1">
      <c r="B192" s="51"/>
    </row>
    <row r="193" ht="15.75" customHeight="1">
      <c r="B193" s="51"/>
    </row>
    <row r="194" ht="15.75" customHeight="1">
      <c r="B194" s="51"/>
    </row>
    <row r="195" ht="15.75" customHeight="1">
      <c r="B195" s="51"/>
    </row>
    <row r="196" ht="15.75" customHeight="1">
      <c r="B196" s="51"/>
    </row>
    <row r="197" ht="15.75" customHeight="1">
      <c r="B197" s="51"/>
    </row>
    <row r="198" ht="15.75" customHeight="1">
      <c r="B198" s="51"/>
    </row>
    <row r="199" ht="15.75" customHeight="1">
      <c r="B199" s="51"/>
    </row>
    <row r="200" ht="15.75" customHeight="1">
      <c r="B200" s="51"/>
    </row>
    <row r="201" ht="15.75" customHeight="1">
      <c r="B201" s="51"/>
    </row>
    <row r="202" ht="15.75" customHeight="1">
      <c r="B202" s="51"/>
    </row>
    <row r="203" ht="15.75" customHeight="1">
      <c r="B203" s="51"/>
    </row>
    <row r="204" ht="15.75" customHeight="1">
      <c r="B204" s="51"/>
    </row>
    <row r="205" ht="15.75" customHeight="1">
      <c r="B205" s="51"/>
    </row>
    <row r="206" ht="15.75" customHeight="1">
      <c r="B206" s="51"/>
    </row>
    <row r="207" ht="15.75" customHeight="1">
      <c r="B207" s="51"/>
    </row>
    <row r="208" ht="15.75" customHeight="1">
      <c r="B208" s="51"/>
    </row>
    <row r="209" ht="15.75" customHeight="1">
      <c r="B209" s="51"/>
    </row>
    <row r="210" ht="15.75" customHeight="1">
      <c r="B210" s="51"/>
    </row>
    <row r="211" ht="15.75" customHeight="1">
      <c r="B211" s="51"/>
    </row>
    <row r="212" ht="15.75" customHeight="1">
      <c r="B212" s="51"/>
    </row>
    <row r="213" ht="15.75" customHeight="1">
      <c r="B213" s="51"/>
    </row>
    <row r="214" ht="15.75" customHeight="1">
      <c r="B214" s="51"/>
    </row>
    <row r="215" ht="15.75" customHeight="1">
      <c r="B215" s="51"/>
    </row>
    <row r="216" ht="15.75" customHeight="1">
      <c r="B216" s="51"/>
    </row>
    <row r="217" ht="15.75" customHeight="1">
      <c r="B217" s="51"/>
    </row>
    <row r="218" ht="15.75" customHeight="1">
      <c r="B218" s="51"/>
    </row>
    <row r="219" ht="15.75" customHeight="1">
      <c r="B219" s="51"/>
    </row>
    <row r="220" ht="15.75" customHeight="1">
      <c r="B220" s="51"/>
    </row>
    <row r="221" ht="15.75" customHeight="1">
      <c r="B221" s="51"/>
    </row>
    <row r="222" ht="15.75" customHeight="1">
      <c r="B222" s="51"/>
    </row>
    <row r="223" ht="15.75" customHeight="1">
      <c r="B223" s="51"/>
    </row>
    <row r="224" ht="15.75" customHeight="1">
      <c r="B224" s="51"/>
    </row>
    <row r="225" ht="15.75" customHeight="1">
      <c r="B225" s="51"/>
    </row>
    <row r="226" ht="15.75" customHeight="1">
      <c r="B226" s="51"/>
    </row>
    <row r="227" ht="15.75" customHeight="1">
      <c r="B227" s="51"/>
    </row>
    <row r="228" ht="15.75" customHeight="1">
      <c r="B228" s="51"/>
    </row>
    <row r="229" ht="15.75" customHeight="1">
      <c r="B229" s="51"/>
    </row>
    <row r="230" ht="15.75" customHeight="1">
      <c r="B230" s="51"/>
    </row>
    <row r="231" ht="15.75" customHeight="1">
      <c r="B231" s="51"/>
    </row>
    <row r="232" ht="15.75" customHeight="1">
      <c r="B232" s="51"/>
    </row>
    <row r="233" ht="15.75" customHeight="1">
      <c r="B233" s="51"/>
    </row>
    <row r="234" ht="15.75" customHeight="1">
      <c r="B234" s="51"/>
    </row>
    <row r="235" ht="15.75" customHeight="1">
      <c r="B235" s="51"/>
    </row>
    <row r="236" ht="15.75" customHeight="1">
      <c r="B236" s="51"/>
    </row>
    <row r="237" ht="15.75" customHeight="1">
      <c r="B237" s="51"/>
    </row>
    <row r="238" ht="15.75" customHeight="1">
      <c r="B238" s="51"/>
    </row>
    <row r="239" ht="15.75" customHeight="1">
      <c r="B239" s="51"/>
    </row>
    <row r="240" ht="15.75" customHeight="1">
      <c r="B240" s="51"/>
    </row>
    <row r="241" ht="15.75" customHeight="1">
      <c r="B241" s="51"/>
    </row>
    <row r="242" ht="15.75" customHeight="1">
      <c r="B242" s="51"/>
    </row>
    <row r="243" ht="15.75" customHeight="1">
      <c r="B243" s="51"/>
    </row>
    <row r="244" ht="15.75" customHeight="1">
      <c r="B244" s="51"/>
    </row>
    <row r="245" ht="15.75" customHeight="1">
      <c r="B245" s="51"/>
    </row>
    <row r="246" ht="15.75" customHeight="1">
      <c r="B246" s="51"/>
    </row>
    <row r="247" ht="15.75" customHeight="1">
      <c r="B247" s="51"/>
    </row>
    <row r="248" ht="15.75" customHeight="1">
      <c r="B248" s="51"/>
    </row>
    <row r="249" ht="15.75" customHeight="1">
      <c r="B249" s="51"/>
    </row>
    <row r="250" ht="15.75" customHeight="1">
      <c r="B250" s="51"/>
    </row>
    <row r="251" ht="15.75" customHeight="1">
      <c r="B251" s="51"/>
    </row>
    <row r="252" ht="15.75" customHeight="1">
      <c r="B252" s="51"/>
    </row>
    <row r="253" ht="15.75" customHeight="1">
      <c r="B253" s="51"/>
    </row>
    <row r="254" ht="15.75" customHeight="1">
      <c r="B254" s="51"/>
    </row>
    <row r="255" ht="15.75" customHeight="1">
      <c r="B255" s="51"/>
    </row>
    <row r="256" ht="15.75" customHeight="1">
      <c r="B256" s="51"/>
    </row>
    <row r="257" ht="15.75" customHeight="1">
      <c r="B257" s="51"/>
    </row>
    <row r="258" ht="15.75" customHeight="1">
      <c r="B258" s="51"/>
    </row>
    <row r="259" ht="15.75" customHeight="1">
      <c r="B259" s="51"/>
    </row>
    <row r="260" ht="15.75" customHeight="1">
      <c r="B260" s="51"/>
    </row>
    <row r="261" ht="15.75" customHeight="1">
      <c r="B261" s="51"/>
    </row>
    <row r="262" ht="15.75" customHeight="1">
      <c r="B262" s="51"/>
    </row>
    <row r="263" ht="15.75" customHeight="1">
      <c r="B263" s="51"/>
    </row>
    <row r="264" ht="15.75" customHeight="1">
      <c r="B264" s="51"/>
    </row>
    <row r="265" ht="15.75" customHeight="1">
      <c r="B265" s="51"/>
    </row>
    <row r="266" ht="15.75" customHeight="1">
      <c r="B266" s="51"/>
    </row>
    <row r="267" ht="15.75" customHeight="1">
      <c r="B267" s="51"/>
    </row>
    <row r="268" ht="15.75" customHeight="1">
      <c r="B268" s="51"/>
    </row>
    <row r="269" ht="15.75" customHeight="1">
      <c r="B269" s="51"/>
    </row>
    <row r="270" ht="15.75" customHeight="1">
      <c r="B270" s="51"/>
    </row>
    <row r="271" ht="15.75" customHeight="1">
      <c r="B271" s="51"/>
    </row>
    <row r="272" ht="15.75" customHeight="1">
      <c r="B272" s="51"/>
    </row>
    <row r="273" ht="15.75" customHeight="1">
      <c r="B273" s="51"/>
    </row>
    <row r="274" ht="15.75" customHeight="1">
      <c r="B274" s="51"/>
    </row>
    <row r="275" ht="15.75" customHeight="1">
      <c r="B275" s="51"/>
    </row>
    <row r="276" ht="15.75" customHeight="1">
      <c r="B276" s="51"/>
    </row>
    <row r="277" ht="15.75" customHeight="1">
      <c r="B277" s="51"/>
    </row>
    <row r="278" ht="15.75" customHeight="1">
      <c r="B278" s="51"/>
    </row>
    <row r="279" ht="15.75" customHeight="1">
      <c r="B279" s="51"/>
    </row>
    <row r="280" ht="15.75" customHeight="1">
      <c r="B280" s="51"/>
    </row>
    <row r="281" ht="15.75" customHeight="1">
      <c r="B281" s="51"/>
    </row>
    <row r="282" ht="15.75" customHeight="1">
      <c r="B282" s="51"/>
    </row>
    <row r="283" ht="15.75" customHeight="1">
      <c r="B283" s="51"/>
    </row>
    <row r="284" ht="15.75" customHeight="1">
      <c r="B284" s="51"/>
    </row>
    <row r="285" ht="15.75" customHeight="1">
      <c r="B285" s="51"/>
    </row>
    <row r="286" ht="15.75" customHeight="1">
      <c r="B286" s="51"/>
    </row>
    <row r="287" ht="15.75" customHeight="1">
      <c r="B287" s="51"/>
    </row>
    <row r="288" ht="15.75" customHeight="1">
      <c r="B288" s="51"/>
    </row>
    <row r="289" ht="15.75" customHeight="1">
      <c r="B289" s="51"/>
    </row>
    <row r="290" ht="15.75" customHeight="1">
      <c r="B290" s="51"/>
    </row>
    <row r="291" ht="15.75" customHeight="1">
      <c r="B291" s="51"/>
    </row>
    <row r="292" ht="15.75" customHeight="1">
      <c r="B292" s="51"/>
    </row>
    <row r="293" ht="15.75" customHeight="1">
      <c r="B293" s="51"/>
    </row>
    <row r="294" ht="15.75" customHeight="1">
      <c r="B294" s="51"/>
    </row>
    <row r="295" ht="15.75" customHeight="1">
      <c r="B295" s="51"/>
    </row>
    <row r="296" ht="15.75" customHeight="1">
      <c r="B296" s="51"/>
    </row>
    <row r="297" ht="15.75" customHeight="1">
      <c r="B297" s="51"/>
    </row>
    <row r="298" ht="15.75" customHeight="1">
      <c r="B298" s="51"/>
    </row>
    <row r="299" ht="15.75" customHeight="1">
      <c r="B299" s="51"/>
    </row>
    <row r="300" ht="15.75" customHeight="1">
      <c r="B300" s="51"/>
    </row>
    <row r="301" ht="15.75" customHeight="1">
      <c r="B301" s="51"/>
    </row>
    <row r="302" ht="15.75" customHeight="1">
      <c r="B302" s="51"/>
    </row>
    <row r="303" ht="15.75" customHeight="1">
      <c r="B303" s="51"/>
    </row>
    <row r="304" ht="15.75" customHeight="1">
      <c r="B304" s="51"/>
    </row>
    <row r="305" ht="15.75" customHeight="1">
      <c r="B305" s="51"/>
    </row>
    <row r="306" ht="15.75" customHeight="1">
      <c r="B306" s="51"/>
    </row>
    <row r="307" ht="15.75" customHeight="1">
      <c r="B307" s="51"/>
    </row>
    <row r="308" ht="15.75" customHeight="1">
      <c r="B308" s="51"/>
    </row>
    <row r="309" ht="15.75" customHeight="1">
      <c r="B309" s="51"/>
    </row>
    <row r="310" ht="15.75" customHeight="1">
      <c r="B310" s="51"/>
    </row>
    <row r="311" ht="15.75" customHeight="1">
      <c r="B311" s="51"/>
    </row>
    <row r="312" ht="15.75" customHeight="1">
      <c r="B312" s="51"/>
    </row>
    <row r="313" ht="15.75" customHeight="1">
      <c r="B313" s="51"/>
    </row>
    <row r="314" ht="15.75" customHeight="1">
      <c r="B314" s="51"/>
    </row>
    <row r="315" ht="15.75" customHeight="1">
      <c r="B315" s="51"/>
    </row>
    <row r="316" ht="15.75" customHeight="1">
      <c r="B316" s="51"/>
    </row>
    <row r="317" ht="15.75" customHeight="1">
      <c r="B317" s="51"/>
    </row>
    <row r="318" ht="15.75" customHeight="1">
      <c r="B318" s="51"/>
    </row>
    <row r="319" ht="15.75" customHeight="1">
      <c r="B319" s="51"/>
    </row>
    <row r="320" ht="15.75" customHeight="1">
      <c r="B320" s="51"/>
    </row>
    <row r="321" ht="15.75" customHeight="1">
      <c r="B321" s="51"/>
    </row>
    <row r="322" ht="15.75" customHeight="1">
      <c r="B322" s="51"/>
    </row>
    <row r="323" ht="15.75" customHeight="1">
      <c r="B323" s="51"/>
    </row>
    <row r="324" ht="15.75" customHeight="1">
      <c r="B324" s="51"/>
    </row>
    <row r="325" ht="15.75" customHeight="1">
      <c r="B325" s="51"/>
    </row>
    <row r="326" ht="15.75" customHeight="1">
      <c r="B326" s="51"/>
    </row>
    <row r="327" ht="15.75" customHeight="1">
      <c r="B327" s="51"/>
    </row>
    <row r="328" ht="15.75" customHeight="1">
      <c r="B328" s="51"/>
    </row>
    <row r="329" ht="15.75" customHeight="1">
      <c r="B329" s="51"/>
    </row>
    <row r="330" ht="15.75" customHeight="1">
      <c r="B330" s="51"/>
    </row>
    <row r="331" ht="15.75" customHeight="1">
      <c r="B331" s="51"/>
    </row>
    <row r="332" ht="15.75" customHeight="1">
      <c r="B332" s="51"/>
    </row>
    <row r="333" ht="15.75" customHeight="1">
      <c r="B333" s="51"/>
    </row>
    <row r="334" ht="15.75" customHeight="1">
      <c r="B334" s="51"/>
    </row>
    <row r="335" ht="15.75" customHeight="1">
      <c r="B335" s="51"/>
    </row>
    <row r="336" ht="15.75" customHeight="1">
      <c r="B336" s="51"/>
    </row>
    <row r="337" ht="15.75" customHeight="1">
      <c r="B337" s="51"/>
    </row>
    <row r="338" ht="15.75" customHeight="1">
      <c r="B338" s="51"/>
    </row>
    <row r="339" ht="15.75" customHeight="1">
      <c r="B339" s="51"/>
    </row>
    <row r="340" ht="15.75" customHeight="1">
      <c r="B340" s="51"/>
    </row>
    <row r="341" ht="15.75" customHeight="1">
      <c r="B341" s="51"/>
    </row>
    <row r="342" ht="15.75" customHeight="1">
      <c r="B342" s="51"/>
    </row>
    <row r="343" ht="15.75" customHeight="1">
      <c r="B343" s="51"/>
    </row>
    <row r="344" ht="15.75" customHeight="1">
      <c r="B344" s="51"/>
    </row>
    <row r="345" ht="15.75" customHeight="1">
      <c r="B345" s="51"/>
    </row>
    <row r="346" ht="15.75" customHeight="1">
      <c r="B346" s="51"/>
    </row>
    <row r="347" ht="15.75" customHeight="1">
      <c r="B347" s="51"/>
    </row>
    <row r="348" ht="15.75" customHeight="1">
      <c r="B348" s="51"/>
    </row>
    <row r="349" ht="15.75" customHeight="1">
      <c r="B349" s="51"/>
    </row>
    <row r="350" ht="15.75" customHeight="1">
      <c r="B350" s="51"/>
    </row>
    <row r="351" ht="15.75" customHeight="1">
      <c r="B351" s="51"/>
    </row>
    <row r="352" ht="15.75" customHeight="1">
      <c r="B352" s="51"/>
    </row>
    <row r="353" ht="15.75" customHeight="1">
      <c r="B353" s="51"/>
    </row>
    <row r="354" ht="15.75" customHeight="1">
      <c r="B354" s="51"/>
    </row>
    <row r="355" ht="15.75" customHeight="1">
      <c r="B355" s="51"/>
    </row>
    <row r="356" ht="15.75" customHeight="1">
      <c r="B356" s="51"/>
    </row>
    <row r="357" ht="15.75" customHeight="1">
      <c r="B357" s="51"/>
    </row>
    <row r="358" ht="15.75" customHeight="1">
      <c r="B358" s="51"/>
    </row>
    <row r="359" ht="15.75" customHeight="1">
      <c r="B359" s="51"/>
    </row>
    <row r="360" ht="15.75" customHeight="1">
      <c r="B360" s="51"/>
    </row>
    <row r="361" ht="15.75" customHeight="1">
      <c r="B361" s="51"/>
    </row>
    <row r="362" ht="15.75" customHeight="1">
      <c r="B362" s="51"/>
    </row>
    <row r="363" ht="15.75" customHeight="1">
      <c r="B363" s="51"/>
    </row>
    <row r="364" ht="15.75" customHeight="1">
      <c r="B364" s="51"/>
    </row>
    <row r="365" ht="15.75" customHeight="1">
      <c r="B365" s="51"/>
    </row>
    <row r="366" ht="15.75" customHeight="1">
      <c r="B366" s="51"/>
    </row>
    <row r="367" ht="15.75" customHeight="1">
      <c r="B367" s="51"/>
    </row>
    <row r="368" ht="15.75" customHeight="1">
      <c r="B368" s="51"/>
    </row>
    <row r="369" ht="15.75" customHeight="1">
      <c r="B369" s="51"/>
    </row>
    <row r="370" ht="15.75" customHeight="1">
      <c r="B370" s="51"/>
    </row>
    <row r="371" ht="15.75" customHeight="1">
      <c r="B371" s="51"/>
    </row>
    <row r="372" ht="15.75" customHeight="1">
      <c r="B372" s="51"/>
    </row>
    <row r="373" ht="15.75" customHeight="1">
      <c r="B373" s="51"/>
    </row>
    <row r="374" ht="15.75" customHeight="1">
      <c r="B374" s="51"/>
    </row>
    <row r="375" ht="15.75" customHeight="1">
      <c r="B375" s="51"/>
    </row>
    <row r="376" ht="15.75" customHeight="1">
      <c r="B376" s="51"/>
    </row>
    <row r="377" ht="15.75" customHeight="1">
      <c r="B377" s="51"/>
    </row>
    <row r="378" ht="15.75" customHeight="1">
      <c r="B378" s="51"/>
    </row>
    <row r="379" ht="15.75" customHeight="1">
      <c r="B379" s="51"/>
    </row>
    <row r="380" ht="15.75" customHeight="1">
      <c r="B380" s="51"/>
    </row>
    <row r="381" ht="15.75" customHeight="1">
      <c r="B381" s="51"/>
    </row>
    <row r="382" ht="15.75" customHeight="1">
      <c r="B382" s="51"/>
    </row>
    <row r="383" ht="15.75" customHeight="1">
      <c r="B383" s="51"/>
    </row>
    <row r="384" ht="15.75" customHeight="1">
      <c r="B384" s="51"/>
    </row>
    <row r="385" ht="15.75" customHeight="1">
      <c r="B385" s="51"/>
    </row>
    <row r="386" ht="15.75" customHeight="1">
      <c r="B386" s="51"/>
    </row>
    <row r="387" ht="15.75" customHeight="1">
      <c r="B387" s="51"/>
    </row>
    <row r="388" ht="15.75" customHeight="1">
      <c r="B388" s="51"/>
    </row>
    <row r="389" ht="15.75" customHeight="1">
      <c r="B389" s="51"/>
    </row>
    <row r="390" ht="15.75" customHeight="1">
      <c r="B390" s="51"/>
    </row>
    <row r="391" ht="15.75" customHeight="1">
      <c r="B391" s="51"/>
    </row>
    <row r="392" ht="15.75" customHeight="1">
      <c r="B392" s="51"/>
    </row>
    <row r="393" ht="15.75" customHeight="1">
      <c r="B393" s="51"/>
    </row>
    <row r="394" ht="15.75" customHeight="1">
      <c r="B394" s="51"/>
    </row>
    <row r="395" ht="15.75" customHeight="1">
      <c r="B395" s="51"/>
    </row>
    <row r="396" ht="15.75" customHeight="1">
      <c r="B396" s="51"/>
    </row>
    <row r="397" ht="15.75" customHeight="1">
      <c r="B397" s="51"/>
    </row>
    <row r="398" ht="15.75" customHeight="1">
      <c r="B398" s="51"/>
    </row>
    <row r="399" ht="15.75" customHeight="1">
      <c r="B399" s="51"/>
    </row>
    <row r="400" ht="15.75" customHeight="1">
      <c r="B400" s="51"/>
    </row>
    <row r="401" ht="15.75" customHeight="1">
      <c r="B401" s="51"/>
    </row>
    <row r="402" ht="15.75" customHeight="1">
      <c r="B402" s="51"/>
    </row>
    <row r="403" ht="15.75" customHeight="1">
      <c r="B403" s="51"/>
    </row>
    <row r="404" ht="15.75" customHeight="1">
      <c r="B404" s="51"/>
    </row>
    <row r="405" ht="15.75" customHeight="1">
      <c r="B405" s="51"/>
    </row>
    <row r="406" ht="15.75" customHeight="1">
      <c r="B406" s="51"/>
    </row>
    <row r="407" ht="15.75" customHeight="1">
      <c r="B407" s="51"/>
    </row>
    <row r="408" ht="15.75" customHeight="1">
      <c r="B408" s="51"/>
    </row>
    <row r="409" ht="15.75" customHeight="1">
      <c r="B409" s="51"/>
    </row>
    <row r="410" ht="15.75" customHeight="1">
      <c r="B410" s="51"/>
    </row>
    <row r="411" ht="15.75" customHeight="1">
      <c r="B411" s="51"/>
    </row>
    <row r="412" ht="15.75" customHeight="1">
      <c r="B412" s="51"/>
    </row>
    <row r="413" ht="15.75" customHeight="1">
      <c r="B413" s="51"/>
    </row>
    <row r="414" ht="15.75" customHeight="1">
      <c r="B414" s="51"/>
    </row>
    <row r="415" ht="15.75" customHeight="1">
      <c r="B415" s="51"/>
    </row>
    <row r="416" ht="15.75" customHeight="1">
      <c r="B416" s="51"/>
    </row>
    <row r="417" ht="15.75" customHeight="1">
      <c r="B417" s="51"/>
    </row>
    <row r="418" ht="15.75" customHeight="1">
      <c r="B418" s="51"/>
    </row>
    <row r="419" ht="15.75" customHeight="1">
      <c r="B419" s="51"/>
    </row>
    <row r="420" ht="15.75" customHeight="1">
      <c r="B420" s="51"/>
    </row>
    <row r="421" ht="15.75" customHeight="1">
      <c r="B421" s="51"/>
    </row>
    <row r="422" ht="15.75" customHeight="1">
      <c r="B422" s="51"/>
    </row>
    <row r="423" ht="15.75" customHeight="1">
      <c r="B423" s="51"/>
    </row>
    <row r="424" ht="15.75" customHeight="1">
      <c r="B424" s="51"/>
    </row>
    <row r="425" ht="15.75" customHeight="1">
      <c r="B425" s="51"/>
    </row>
    <row r="426" ht="15.75" customHeight="1">
      <c r="B426" s="51"/>
    </row>
    <row r="427" ht="15.75" customHeight="1">
      <c r="B427" s="51"/>
    </row>
    <row r="428" ht="15.75" customHeight="1">
      <c r="B428" s="51"/>
    </row>
    <row r="429" ht="15.75" customHeight="1">
      <c r="B429" s="51"/>
    </row>
    <row r="430" ht="15.75" customHeight="1">
      <c r="B430" s="51"/>
    </row>
    <row r="431" ht="15.75" customHeight="1">
      <c r="B431" s="51"/>
    </row>
    <row r="432" ht="15.75" customHeight="1">
      <c r="B432" s="51"/>
    </row>
    <row r="433" ht="15.75" customHeight="1">
      <c r="B433" s="51"/>
    </row>
    <row r="434" ht="15.75" customHeight="1">
      <c r="B434" s="51"/>
    </row>
    <row r="435" ht="15.75" customHeight="1">
      <c r="B435" s="51"/>
    </row>
    <row r="436" ht="15.75" customHeight="1">
      <c r="B436" s="51"/>
    </row>
    <row r="437" ht="15.75" customHeight="1">
      <c r="B437" s="51"/>
    </row>
    <row r="438" ht="15.75" customHeight="1">
      <c r="B438" s="51"/>
    </row>
    <row r="439" ht="15.75" customHeight="1">
      <c r="B439" s="51"/>
    </row>
    <row r="440" ht="15.75" customHeight="1">
      <c r="B440" s="51"/>
    </row>
    <row r="441" ht="15.75" customHeight="1">
      <c r="B441" s="51"/>
    </row>
    <row r="442" ht="15.75" customHeight="1">
      <c r="B442" s="51"/>
    </row>
    <row r="443" ht="15.75" customHeight="1">
      <c r="B443" s="51"/>
    </row>
    <row r="444" ht="15.75" customHeight="1">
      <c r="B444" s="51"/>
    </row>
    <row r="445" ht="15.75" customHeight="1">
      <c r="B445" s="51"/>
    </row>
    <row r="446" ht="15.75" customHeight="1">
      <c r="B446" s="51"/>
    </row>
    <row r="447" ht="15.75" customHeight="1">
      <c r="B447" s="51"/>
    </row>
    <row r="448" ht="15.75" customHeight="1">
      <c r="B448" s="51"/>
    </row>
    <row r="449" ht="15.75" customHeight="1">
      <c r="B449" s="51"/>
    </row>
    <row r="450" ht="15.75" customHeight="1">
      <c r="B450" s="51"/>
    </row>
    <row r="451" ht="15.75" customHeight="1">
      <c r="B451" s="51"/>
    </row>
    <row r="452" ht="15.75" customHeight="1">
      <c r="B452" s="51"/>
    </row>
    <row r="453" ht="15.75" customHeight="1">
      <c r="B453" s="51"/>
    </row>
    <row r="454" ht="15.75" customHeight="1">
      <c r="B454" s="51"/>
    </row>
    <row r="455" ht="15.75" customHeight="1">
      <c r="B455" s="51"/>
    </row>
    <row r="456" ht="15.75" customHeight="1">
      <c r="B456" s="51"/>
    </row>
    <row r="457" ht="15.75" customHeight="1">
      <c r="B457" s="51"/>
    </row>
    <row r="458" ht="15.75" customHeight="1">
      <c r="B458" s="51"/>
    </row>
    <row r="459" ht="15.75" customHeight="1">
      <c r="B459" s="51"/>
    </row>
    <row r="460" ht="15.75" customHeight="1">
      <c r="B460" s="51"/>
    </row>
    <row r="461" ht="15.75" customHeight="1">
      <c r="B461" s="51"/>
    </row>
    <row r="462" ht="15.75" customHeight="1">
      <c r="B462" s="51"/>
    </row>
    <row r="463" ht="15.75" customHeight="1">
      <c r="B463" s="51"/>
    </row>
    <row r="464" ht="15.75" customHeight="1">
      <c r="B464" s="51"/>
    </row>
    <row r="465" ht="15.75" customHeight="1">
      <c r="B465" s="51"/>
    </row>
    <row r="466" ht="15.75" customHeight="1">
      <c r="B466" s="51"/>
    </row>
    <row r="467" ht="15.75" customHeight="1">
      <c r="B467" s="51"/>
    </row>
    <row r="468" ht="15.75" customHeight="1">
      <c r="B468" s="51"/>
    </row>
    <row r="469" ht="15.75" customHeight="1">
      <c r="B469" s="51"/>
    </row>
    <row r="470" ht="15.75" customHeight="1">
      <c r="B470" s="51"/>
    </row>
    <row r="471" ht="15.75" customHeight="1">
      <c r="B471" s="51"/>
    </row>
    <row r="472" ht="15.75" customHeight="1">
      <c r="B472" s="51"/>
    </row>
    <row r="473" ht="15.75" customHeight="1">
      <c r="B473" s="51"/>
    </row>
    <row r="474" ht="15.75" customHeight="1">
      <c r="B474" s="51"/>
    </row>
    <row r="475" ht="15.75" customHeight="1">
      <c r="B475" s="51"/>
    </row>
    <row r="476" ht="15.75" customHeight="1">
      <c r="B476" s="51"/>
    </row>
    <row r="477" ht="15.75" customHeight="1">
      <c r="B477" s="51"/>
    </row>
    <row r="478" ht="15.75" customHeight="1">
      <c r="B478" s="51"/>
    </row>
    <row r="479" ht="15.75" customHeight="1">
      <c r="B479" s="51"/>
    </row>
    <row r="480" ht="15.75" customHeight="1">
      <c r="B480" s="51"/>
    </row>
    <row r="481" ht="15.75" customHeight="1">
      <c r="B481" s="51"/>
    </row>
    <row r="482" ht="15.75" customHeight="1">
      <c r="B482" s="51"/>
    </row>
    <row r="483" ht="15.75" customHeight="1">
      <c r="B483" s="51"/>
    </row>
    <row r="484" ht="15.75" customHeight="1">
      <c r="B484" s="51"/>
    </row>
    <row r="485" ht="15.75" customHeight="1">
      <c r="B485" s="51"/>
    </row>
    <row r="486" ht="15.75" customHeight="1">
      <c r="B486" s="51"/>
    </row>
    <row r="487" ht="15.75" customHeight="1">
      <c r="B487" s="51"/>
    </row>
    <row r="488" ht="15.75" customHeight="1">
      <c r="B488" s="51"/>
    </row>
    <row r="489" ht="15.75" customHeight="1">
      <c r="B489" s="51"/>
    </row>
    <row r="490" ht="15.75" customHeight="1">
      <c r="B490" s="51"/>
    </row>
    <row r="491" ht="15.75" customHeight="1">
      <c r="B491" s="51"/>
    </row>
    <row r="492" ht="15.75" customHeight="1">
      <c r="B492" s="51"/>
    </row>
    <row r="493" ht="15.75" customHeight="1">
      <c r="B493" s="51"/>
    </row>
    <row r="494" ht="15.75" customHeight="1">
      <c r="B494" s="51"/>
    </row>
    <row r="495" ht="15.75" customHeight="1">
      <c r="B495" s="51"/>
    </row>
    <row r="496" ht="15.75" customHeight="1">
      <c r="B496" s="51"/>
    </row>
    <row r="497" ht="15.75" customHeight="1">
      <c r="B497" s="51"/>
    </row>
    <row r="498" ht="15.75" customHeight="1">
      <c r="B498" s="51"/>
    </row>
    <row r="499" ht="15.75" customHeight="1">
      <c r="B499" s="51"/>
    </row>
    <row r="500" ht="15.75" customHeight="1">
      <c r="B500" s="51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V1"/>
    <mergeCell ref="A2:V2"/>
  </mergeCells>
  <hyperlinks>
    <hyperlink r:id="rId1" ref="F9"/>
    <hyperlink r:id="rId2" ref="F10"/>
  </hyperlinks>
  <printOptions/>
  <pageMargins bottom="0.75" footer="0.0" header="0.0" left="0.7" right="0.7" top="0.75"/>
  <pageSetup orientation="landscape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75"/>
    <col customWidth="1" min="2" max="2" width="12.5"/>
    <col customWidth="1" min="3" max="3" width="50.0"/>
    <col customWidth="1" min="4" max="4" width="59.38"/>
    <col customWidth="1" min="5" max="5" width="38.0"/>
    <col customWidth="1" min="6" max="6" width="41.88"/>
    <col customWidth="1" min="7" max="8" width="12.5"/>
    <col customWidth="1" min="9" max="9" width="10.0"/>
    <col customWidth="1" min="10" max="10" width="11.25"/>
    <col customWidth="1" min="11" max="11" width="18.75"/>
    <col customWidth="1" min="12" max="12" width="15.0"/>
    <col customWidth="1" min="13" max="13" width="25.0"/>
    <col customWidth="1" min="14" max="14" width="13.75"/>
    <col customWidth="1" min="15" max="15" width="13.13"/>
    <col customWidth="1" min="16" max="16" width="10.0"/>
    <col customWidth="1" min="17" max="17" width="14.38"/>
    <col customWidth="1" min="18" max="18" width="15.0"/>
    <col customWidth="1" min="19" max="19" width="13.13"/>
    <col customWidth="1" min="20" max="20" width="14.38"/>
    <col customWidth="1" min="21" max="21" width="13.75"/>
    <col customWidth="1" min="22" max="22" width="26.25"/>
    <col customWidth="1" min="23" max="23" width="13.75"/>
    <col customWidth="1" min="24" max="24" width="13.13"/>
    <col customWidth="1" min="25" max="25" width="15.0"/>
    <col customWidth="1" min="26" max="26" width="10.63"/>
    <col customWidth="1" min="27" max="28" width="15.0"/>
    <col customWidth="1" min="29" max="29" width="21.25"/>
    <col customWidth="1" min="30" max="30" width="27.5"/>
  </cols>
  <sheetData>
    <row r="1" ht="27.0" customHeight="1">
      <c r="A1" s="1" t="s">
        <v>228</v>
      </c>
    </row>
    <row r="2" ht="25.5" customHeight="1">
      <c r="A2" s="2" t="s">
        <v>133</v>
      </c>
    </row>
    <row r="5">
      <c r="A5" s="3" t="s">
        <v>44</v>
      </c>
      <c r="B5" s="8" t="s">
        <v>51</v>
      </c>
      <c r="C5" s="8" t="s">
        <v>45</v>
      </c>
      <c r="D5" s="8" t="s">
        <v>53</v>
      </c>
      <c r="E5" s="8" t="s">
        <v>54</v>
      </c>
      <c r="F5" s="8" t="s">
        <v>55</v>
      </c>
      <c r="G5" s="8" t="s">
        <v>56</v>
      </c>
      <c r="H5" s="8" t="s">
        <v>57</v>
      </c>
      <c r="I5" s="8" t="s">
        <v>58</v>
      </c>
      <c r="J5" s="8" t="s">
        <v>59</v>
      </c>
      <c r="K5" s="8" t="s">
        <v>60</v>
      </c>
      <c r="L5" s="8" t="s">
        <v>61</v>
      </c>
      <c r="M5" s="8" t="s">
        <v>62</v>
      </c>
      <c r="N5" s="8" t="s">
        <v>63</v>
      </c>
      <c r="O5" s="8" t="s">
        <v>50</v>
      </c>
      <c r="P5" s="8" t="s">
        <v>23</v>
      </c>
      <c r="Q5" s="8" t="s">
        <v>29</v>
      </c>
      <c r="R5" s="8" t="s">
        <v>26</v>
      </c>
      <c r="S5" s="8" t="s">
        <v>65</v>
      </c>
      <c r="T5" s="8" t="s">
        <v>49</v>
      </c>
      <c r="U5" s="8" t="s">
        <v>67</v>
      </c>
      <c r="V5" s="8" t="s">
        <v>68</v>
      </c>
      <c r="W5" s="8" t="s">
        <v>69</v>
      </c>
      <c r="X5" s="8" t="s">
        <v>70</v>
      </c>
      <c r="Y5" s="8" t="s">
        <v>71</v>
      </c>
      <c r="Z5" s="8" t="s">
        <v>72</v>
      </c>
      <c r="AA5" s="8" t="s">
        <v>73</v>
      </c>
      <c r="AB5" s="8" t="s">
        <v>74</v>
      </c>
      <c r="AC5" s="8" t="s">
        <v>75</v>
      </c>
      <c r="AD5" s="9" t="s">
        <v>52</v>
      </c>
    </row>
    <row r="6">
      <c r="A6" s="50">
        <f>IFERROR(__xludf.DUMMYFUNCTION("IFERROR(FILTER('Master Leads'!$A$6:$AD$495, 'Master Leads'!$A$6:$A$495&lt;&gt;"""", 'Master Leads'!$K$6:$K$495=""Other Services""), ""No matching leads yet"")"),10.0)</f>
        <v>10</v>
      </c>
      <c r="B6" s="51">
        <f>IFERROR(__xludf.DUMMYFUNCTION("""COMPUTED_VALUE"""),46264.0)</f>
        <v>46264</v>
      </c>
      <c r="C6" s="50" t="str">
        <f>IFERROR(__xludf.DUMMYFUNCTION("""COMPUTED_VALUE"""),"Priyanshi/Home Inventory")</f>
        <v>Priyanshi/Home Inventory</v>
      </c>
      <c r="D6" s="50" t="str">
        <f>IFERROR(__xludf.DUMMYFUNCTION("""COMPUTED_VALUE"""),"Chirag Kayastha House Manager")</f>
        <v>Chirag Kayastha House Manager</v>
      </c>
      <c r="E6" s="50" t="str">
        <f>IFERROR(__xludf.DUMMYFUNCTION("""COMPUTED_VALUE"""),"9727708384")</f>
        <v>9727708384</v>
      </c>
      <c r="F6" s="50"/>
      <c r="G6" s="50" t="str">
        <f>IFERROR(__xludf.DUMMYFUNCTION("""COMPUTED_VALUE"""),"Ahmedabad")</f>
        <v>Ahmedabad</v>
      </c>
      <c r="H6" s="50" t="str">
        <f>IFERROR(__xludf.DUMMYFUNCTION("""COMPUTED_VALUE"""),"India")</f>
        <v>India</v>
      </c>
      <c r="I6" s="50" t="str">
        <f>IFERROR(__xludf.DUMMYFUNCTION("""COMPUTED_VALUE"""),"India")</f>
        <v>India</v>
      </c>
      <c r="J6" s="50" t="str">
        <f>IFERROR(__xludf.DUMMYFUNCTION("""COMPUTED_VALUE"""),"Service")</f>
        <v>Service</v>
      </c>
      <c r="K6" s="50" t="str">
        <f>IFERROR(__xludf.DUMMYFUNCTION("""COMPUTED_VALUE"""),"Other Services")</f>
        <v>Other Services</v>
      </c>
      <c r="L6" s="50" t="str">
        <f>IFERROR(__xludf.DUMMYFUNCTION("""COMPUTED_VALUE"""),"General Services")</f>
        <v>General Services</v>
      </c>
      <c r="M6" s="50"/>
      <c r="N6" s="50" t="str">
        <f>IFERROR(__xludf.DUMMYFUNCTION("""COMPUTED_VALUE"""),"Referral")</f>
        <v>Referral</v>
      </c>
      <c r="O6" s="50" t="str">
        <f>IFERROR(__xludf.DUMMYFUNCTION("""COMPUTED_VALUE"""),"Aastha")</f>
        <v>Aastha</v>
      </c>
      <c r="P6" s="50" t="str">
        <f>IFERROR(__xludf.DUMMYFUNCTION("""COMPUTED_VALUE"""),"Hot")</f>
        <v>Hot</v>
      </c>
      <c r="Q6" s="50" t="str">
        <f>IFERROR(__xludf.DUMMYFUNCTION("""COMPUTED_VALUE"""),"Demo/Meeting")</f>
        <v>Demo/Meeting</v>
      </c>
      <c r="R6" s="50" t="str">
        <f>IFERROR(__xludf.DUMMYFUNCTION("""COMPUTED_VALUE"""),"3rd Follow-Up")</f>
        <v>3rd Follow-Up</v>
      </c>
      <c r="S6" s="50">
        <f>IFERROR(__xludf.DUMMYFUNCTION("""COMPUTED_VALUE"""),46272.0)</f>
        <v>46272</v>
      </c>
      <c r="T6" s="50"/>
      <c r="U6" s="50" t="str">
        <f>IFERROR(__xludf.DUMMYFUNCTION("""COMPUTED_VALUE"""),"Not Scheduled")</f>
        <v>Not Scheduled</v>
      </c>
      <c r="V6" s="50"/>
      <c r="W6" s="50"/>
      <c r="X6" s="50"/>
      <c r="Y6" s="50"/>
      <c r="Z6" s="50"/>
      <c r="AA6" s="50">
        <f>IFERROR(__xludf.DUMMYFUNCTION("""COMPUTED_VALUE"""),0.0)</f>
        <v>0</v>
      </c>
      <c r="AB6" s="50"/>
      <c r="AC6" s="50"/>
      <c r="AD6" s="50"/>
    </row>
    <row r="7">
      <c r="A7" s="50">
        <f>IFERROR(__xludf.DUMMYFUNCTION("""COMPUTED_VALUE"""),14.0)</f>
        <v>14</v>
      </c>
      <c r="B7" s="51">
        <f>IFERROR(__xludf.DUMMYFUNCTION("""COMPUTED_VALUE"""),46264.0)</f>
        <v>46264</v>
      </c>
      <c r="C7" s="50" t="str">
        <f>IFERROR(__xludf.DUMMYFUNCTION("""COMPUTED_VALUE"""),"Bipin (Brother Spice Import Export)")</f>
        <v>Bipin (Brother Spice Import Export)</v>
      </c>
      <c r="D7" s="50" t="str">
        <f>IFERROR(__xludf.DUMMYFUNCTION("""COMPUTED_VALUE"""),"Bipin")</f>
        <v>Bipin</v>
      </c>
      <c r="E7" s="50" t="str">
        <f>IFERROR(__xludf.DUMMYFUNCTION("""COMPUTED_VALUE"""),"8320404750")</f>
        <v>8320404750</v>
      </c>
      <c r="F7" s="50"/>
      <c r="G7" s="50" t="str">
        <f>IFERROR(__xludf.DUMMYFUNCTION("""COMPUTED_VALUE"""),"Ahmedabad")</f>
        <v>Ahmedabad</v>
      </c>
      <c r="H7" s="50" t="str">
        <f>IFERROR(__xludf.DUMMYFUNCTION("""COMPUTED_VALUE"""),"India")</f>
        <v>India</v>
      </c>
      <c r="I7" s="50" t="str">
        <f>IFERROR(__xludf.DUMMYFUNCTION("""COMPUTED_VALUE"""),"India")</f>
        <v>India</v>
      </c>
      <c r="J7" s="50" t="str">
        <f>IFERROR(__xludf.DUMMYFUNCTION("""COMPUTED_VALUE"""),"Service")</f>
        <v>Service</v>
      </c>
      <c r="K7" s="50" t="str">
        <f>IFERROR(__xludf.DUMMYFUNCTION("""COMPUTED_VALUE"""),"Other Services")</f>
        <v>Other Services</v>
      </c>
      <c r="L7" s="50" t="str">
        <f>IFERROR(__xludf.DUMMYFUNCTION("""COMPUTED_VALUE"""),"General Services")</f>
        <v>General Services</v>
      </c>
      <c r="M7" s="50"/>
      <c r="N7" s="50" t="str">
        <f>IFERROR(__xludf.DUMMYFUNCTION("""COMPUTED_VALUE"""),"Event/Expo")</f>
        <v>Event/Expo</v>
      </c>
      <c r="O7" s="50" t="str">
        <f>IFERROR(__xludf.DUMMYFUNCTION("""COMPUTED_VALUE"""),"Aastha")</f>
        <v>Aastha</v>
      </c>
      <c r="P7" s="50" t="str">
        <f>IFERROR(__xludf.DUMMYFUNCTION("""COMPUTED_VALUE"""),"Medium")</f>
        <v>Medium</v>
      </c>
      <c r="Q7" s="50" t="str">
        <f>IFERROR(__xludf.DUMMYFUNCTION("""COMPUTED_VALUE"""),"Contacted")</f>
        <v>Contacted</v>
      </c>
      <c r="R7" s="50" t="str">
        <f>IFERROR(__xludf.DUMMYFUNCTION("""COMPUTED_VALUE"""),"Follow-Up Complete")</f>
        <v>Follow-Up Complete</v>
      </c>
      <c r="S7" s="50">
        <f>IFERROR(__xludf.DUMMYFUNCTION("""COMPUTED_VALUE"""),46261.0)</f>
        <v>46261</v>
      </c>
      <c r="T7" s="50"/>
      <c r="U7" s="50" t="str">
        <f>IFERROR(__xludf.DUMMYFUNCTION("""COMPUTED_VALUE"""),"Not Scheduled")</f>
        <v>Not Scheduled</v>
      </c>
      <c r="V7" s="50"/>
      <c r="W7" s="50"/>
      <c r="X7" s="50"/>
      <c r="Y7" s="50"/>
      <c r="Z7" s="50"/>
      <c r="AA7" s="50">
        <f>IFERROR(__xludf.DUMMYFUNCTION("""COMPUTED_VALUE"""),0.0)</f>
        <v>0</v>
      </c>
      <c r="AB7" s="50"/>
      <c r="AC7" s="50"/>
      <c r="AD7" s="50"/>
    </row>
    <row r="8">
      <c r="A8" s="50">
        <f>IFERROR(__xludf.DUMMYFUNCTION("""COMPUTED_VALUE"""),25.0)</f>
        <v>25</v>
      </c>
      <c r="B8" s="51">
        <f>IFERROR(__xludf.DUMMYFUNCTION("""COMPUTED_VALUE"""),46264.0)</f>
        <v>46264</v>
      </c>
      <c r="C8" s="50" t="str">
        <f>IFERROR(__xludf.DUMMYFUNCTION("""COMPUTED_VALUE"""),"Sheel Overseas ")</f>
        <v>Sheel Overseas </v>
      </c>
      <c r="D8" s="50" t="str">
        <f>IFERROR(__xludf.DUMMYFUNCTION("""COMPUTED_VALUE"""),"Sheel Shah")</f>
        <v>Sheel Shah</v>
      </c>
      <c r="E8" s="50" t="str">
        <f>IFERROR(__xludf.DUMMYFUNCTION("""COMPUTED_VALUE"""),"9586855566")</f>
        <v>9586855566</v>
      </c>
      <c r="F8" s="50" t="str">
        <f>IFERROR(__xludf.DUMMYFUNCTION("""COMPUTED_VALUE"""),"info@sheelloverseas.com")</f>
        <v>info@sheelloverseas.com</v>
      </c>
      <c r="G8" s="50" t="str">
        <f>IFERROR(__xludf.DUMMYFUNCTION("""COMPUTED_VALUE"""),"Ahmedabad")</f>
        <v>Ahmedabad</v>
      </c>
      <c r="H8" s="50" t="str">
        <f>IFERROR(__xludf.DUMMYFUNCTION("""COMPUTED_VALUE"""),"India")</f>
        <v>India</v>
      </c>
      <c r="I8" s="50" t="str">
        <f>IFERROR(__xludf.DUMMYFUNCTION("""COMPUTED_VALUE"""),"India")</f>
        <v>India</v>
      </c>
      <c r="J8" s="50" t="str">
        <f>IFERROR(__xludf.DUMMYFUNCTION("""COMPUTED_VALUE"""),"Service")</f>
        <v>Service</v>
      </c>
      <c r="K8" s="50" t="str">
        <f>IFERROR(__xludf.DUMMYFUNCTION("""COMPUTED_VALUE"""),"Other Services")</f>
        <v>Other Services</v>
      </c>
      <c r="L8" s="50" t="str">
        <f>IFERROR(__xludf.DUMMYFUNCTION("""COMPUTED_VALUE"""),"Manufacturing")</f>
        <v>Manufacturing</v>
      </c>
      <c r="M8" s="50"/>
      <c r="N8" s="50" t="str">
        <f>IFERROR(__xludf.DUMMYFUNCTION("""COMPUTED_VALUE"""),"Event/Expo")</f>
        <v>Event/Expo</v>
      </c>
      <c r="O8" s="50" t="str">
        <f>IFERROR(__xludf.DUMMYFUNCTION("""COMPUTED_VALUE"""),"Aastha")</f>
        <v>Aastha</v>
      </c>
      <c r="P8" s="50" t="str">
        <f>IFERROR(__xludf.DUMMYFUNCTION("""COMPUTED_VALUE"""),"Cold")</f>
        <v>Cold</v>
      </c>
      <c r="Q8" s="50" t="str">
        <f>IFERROR(__xludf.DUMMYFUNCTION("""COMPUTED_VALUE"""),"New")</f>
        <v>New</v>
      </c>
      <c r="R8" s="50" t="str">
        <f>IFERROR(__xludf.DUMMYFUNCTION("""COMPUTED_VALUE"""),"Not Started")</f>
        <v>Not Started</v>
      </c>
      <c r="S8" s="50"/>
      <c r="T8" s="50"/>
      <c r="U8" s="50" t="str">
        <f>IFERROR(__xludf.DUMMYFUNCTION("""COMPUTED_VALUE"""),"Not Scheduled")</f>
        <v>Not Scheduled</v>
      </c>
      <c r="V8" s="50"/>
      <c r="W8" s="50"/>
      <c r="X8" s="50"/>
      <c r="Y8" s="50"/>
      <c r="Z8" s="50"/>
      <c r="AA8" s="50">
        <f>IFERROR(__xludf.DUMMYFUNCTION("""COMPUTED_VALUE"""),0.0)</f>
        <v>0</v>
      </c>
      <c r="AB8" s="50"/>
      <c r="AC8" s="50"/>
      <c r="AD8" s="50"/>
    </row>
    <row r="9">
      <c r="A9" s="50">
        <f>IFERROR(__xludf.DUMMYFUNCTION("""COMPUTED_VALUE"""),29.0)</f>
        <v>29</v>
      </c>
      <c r="B9" s="51">
        <f>IFERROR(__xludf.DUMMYFUNCTION("""COMPUTED_VALUE"""),46264.0)</f>
        <v>46264</v>
      </c>
      <c r="C9" s="50" t="str">
        <f>IFERROR(__xludf.DUMMYFUNCTION("""COMPUTED_VALUE"""),"Vishva World")</f>
        <v>Vishva World</v>
      </c>
      <c r="D9" s="50" t="str">
        <f>IFERROR(__xludf.DUMMYFUNCTION("""COMPUTED_VALUE"""),"Jigaa Kapadia (Global Network Connector)")</f>
        <v>Jigaa Kapadia (Global Network Connector)</v>
      </c>
      <c r="E9" s="50" t="str">
        <f>IFERROR(__xludf.DUMMYFUNCTION("""COMPUTED_VALUE"""),"7570788686")</f>
        <v>7570788686</v>
      </c>
      <c r="F9" s="50" t="str">
        <f>IFERROR(__xludf.DUMMYFUNCTION("""COMPUTED_VALUE"""),"info@vishva.world")</f>
        <v>info@vishva.world</v>
      </c>
      <c r="G9" s="50"/>
      <c r="H9" s="50" t="str">
        <f>IFERROR(__xludf.DUMMYFUNCTION("""COMPUTED_VALUE"""),"India")</f>
        <v>India</v>
      </c>
      <c r="I9" s="50" t="str">
        <f>IFERROR(__xludf.DUMMYFUNCTION("""COMPUTED_VALUE"""),"India")</f>
        <v>India</v>
      </c>
      <c r="J9" s="50" t="str">
        <f>IFERROR(__xludf.DUMMYFUNCTION("""COMPUTED_VALUE"""),"Service")</f>
        <v>Service</v>
      </c>
      <c r="K9" s="50" t="str">
        <f>IFERROR(__xludf.DUMMYFUNCTION("""COMPUTED_VALUE"""),"Other Services")</f>
        <v>Other Services</v>
      </c>
      <c r="L9" s="50" t="str">
        <f>IFERROR(__xludf.DUMMYFUNCTION("""COMPUTED_VALUE"""),"General Services")</f>
        <v>General Services</v>
      </c>
      <c r="M9" s="50"/>
      <c r="N9" s="50" t="str">
        <f>IFERROR(__xludf.DUMMYFUNCTION("""COMPUTED_VALUE"""),"Event/Expo")</f>
        <v>Event/Expo</v>
      </c>
      <c r="O9" s="50" t="str">
        <f>IFERROR(__xludf.DUMMYFUNCTION("""COMPUTED_VALUE"""),"Aastha")</f>
        <v>Aastha</v>
      </c>
      <c r="P9" s="50" t="str">
        <f>IFERROR(__xludf.DUMMYFUNCTION("""COMPUTED_VALUE"""),"Cold")</f>
        <v>Cold</v>
      </c>
      <c r="Q9" s="50" t="str">
        <f>IFERROR(__xludf.DUMMYFUNCTION("""COMPUTED_VALUE"""),"New")</f>
        <v>New</v>
      </c>
      <c r="R9" s="50" t="str">
        <f>IFERROR(__xludf.DUMMYFUNCTION("""COMPUTED_VALUE"""),"Not Started")</f>
        <v>Not Started</v>
      </c>
      <c r="S9" s="50"/>
      <c r="T9" s="50"/>
      <c r="U9" s="50" t="str">
        <f>IFERROR(__xludf.DUMMYFUNCTION("""COMPUTED_VALUE"""),"Not Scheduled")</f>
        <v>Not Scheduled</v>
      </c>
      <c r="V9" s="50"/>
      <c r="W9" s="50"/>
      <c r="X9" s="50"/>
      <c r="Y9" s="50"/>
      <c r="Z9" s="50"/>
      <c r="AA9" s="50">
        <f>IFERROR(__xludf.DUMMYFUNCTION("""COMPUTED_VALUE"""),0.0)</f>
        <v>0</v>
      </c>
      <c r="AB9" s="50"/>
      <c r="AC9" s="50"/>
      <c r="AD9" s="50"/>
    </row>
    <row r="10">
      <c r="A10" s="50">
        <f>IFERROR(__xludf.DUMMYFUNCTION("""COMPUTED_VALUE"""),33.0)</f>
        <v>33</v>
      </c>
      <c r="B10" s="51">
        <f>IFERROR(__xludf.DUMMYFUNCTION("""COMPUTED_VALUE"""),46264.0)</f>
        <v>46264</v>
      </c>
      <c r="C10" s="50" t="str">
        <f>IFERROR(__xludf.DUMMYFUNCTION("""COMPUTED_VALUE"""),"REIN ENTERPRISE")</f>
        <v>REIN ENTERPRISE</v>
      </c>
      <c r="D10" s="50"/>
      <c r="E10" s="50">
        <f>IFERROR(__xludf.DUMMYFUNCTION("""COMPUTED_VALUE"""),8.511860282E9)</f>
        <v>8511860282</v>
      </c>
      <c r="F10" s="50" t="str">
        <f>IFERROR(__xludf.DUMMYFUNCTION("""COMPUTED_VALUE"""),"reinenterprise3015@gmail.com")</f>
        <v>reinenterprise3015@gmail.com</v>
      </c>
      <c r="G10" s="50" t="str">
        <f>IFERROR(__xludf.DUMMYFUNCTION("""COMPUTED_VALUE"""),"Ahmedabad")</f>
        <v>Ahmedabad</v>
      </c>
      <c r="H10" s="50" t="str">
        <f>IFERROR(__xludf.DUMMYFUNCTION("""COMPUTED_VALUE"""),"India")</f>
        <v>India</v>
      </c>
      <c r="I10" s="50" t="str">
        <f>IFERROR(__xludf.DUMMYFUNCTION("""COMPUTED_VALUE"""),"India")</f>
        <v>India</v>
      </c>
      <c r="J10" s="50" t="str">
        <f>IFERROR(__xludf.DUMMYFUNCTION("""COMPUTED_VALUE"""),"Service")</f>
        <v>Service</v>
      </c>
      <c r="K10" s="50" t="str">
        <f>IFERROR(__xludf.DUMMYFUNCTION("""COMPUTED_VALUE"""),"Other Services")</f>
        <v>Other Services</v>
      </c>
      <c r="L10" s="50" t="str">
        <f>IFERROR(__xludf.DUMMYFUNCTION("""COMPUTED_VALUE"""),"General Services")</f>
        <v>General Services</v>
      </c>
      <c r="M10" s="50"/>
      <c r="N10" s="50" t="str">
        <f>IFERROR(__xludf.DUMMYFUNCTION("""COMPUTED_VALUE"""),"Event/Expo")</f>
        <v>Event/Expo</v>
      </c>
      <c r="O10" s="50" t="str">
        <f>IFERROR(__xludf.DUMMYFUNCTION("""COMPUTED_VALUE"""),"Aastha")</f>
        <v>Aastha</v>
      </c>
      <c r="P10" s="50" t="str">
        <f>IFERROR(__xludf.DUMMYFUNCTION("""COMPUTED_VALUE"""),"Cold")</f>
        <v>Cold</v>
      </c>
      <c r="Q10" s="50" t="str">
        <f>IFERROR(__xludf.DUMMYFUNCTION("""COMPUTED_VALUE"""),"New")</f>
        <v>New</v>
      </c>
      <c r="R10" s="50" t="str">
        <f>IFERROR(__xludf.DUMMYFUNCTION("""COMPUTED_VALUE"""),"Not Started")</f>
        <v>Not Started</v>
      </c>
      <c r="S10" s="50"/>
      <c r="T10" s="50"/>
      <c r="U10" s="50" t="str">
        <f>IFERROR(__xludf.DUMMYFUNCTION("""COMPUTED_VALUE"""),"Not Scheduled")</f>
        <v>Not Scheduled</v>
      </c>
      <c r="V10" s="50"/>
      <c r="W10" s="50"/>
      <c r="X10" s="50"/>
      <c r="Y10" s="50"/>
      <c r="Z10" s="50"/>
      <c r="AA10" s="50">
        <f>IFERROR(__xludf.DUMMYFUNCTION("""COMPUTED_VALUE"""),0.0)</f>
        <v>0</v>
      </c>
      <c r="AB10" s="50"/>
      <c r="AC10" s="50"/>
      <c r="AD10" s="50"/>
    </row>
    <row r="11">
      <c r="A11" s="50">
        <f>IFERROR(__xludf.DUMMYFUNCTION("""COMPUTED_VALUE"""),35.0)</f>
        <v>35</v>
      </c>
      <c r="B11" s="51">
        <f>IFERROR(__xludf.DUMMYFUNCTION("""COMPUTED_VALUE"""),46264.0)</f>
        <v>46264</v>
      </c>
      <c r="C11" s="50" t="str">
        <f>IFERROR(__xludf.DUMMYFUNCTION("""COMPUTED_VALUE"""),"DEV OPUS PVT. LTD.")</f>
        <v>DEV OPUS PVT. LTD.</v>
      </c>
      <c r="D11" s="50" t="str">
        <f>IFERROR(__xludf.DUMMYFUNCTION("""COMPUTED_VALUE"""),"Akash Dabhi (Senior Business Development Executive)")</f>
        <v>Akash Dabhi (Senior Business Development Executive)</v>
      </c>
      <c r="E11" s="50" t="str">
        <f>IFERROR(__xludf.DUMMYFUNCTION("""COMPUTED_VALUE"""),"8734010864")</f>
        <v>8734010864</v>
      </c>
      <c r="F11" s="50" t="str">
        <f>IFERROR(__xludf.DUMMYFUNCTION("""COMPUTED_VALUE"""),"bade@devopus.com")</f>
        <v>bade@devopus.com</v>
      </c>
      <c r="G11" s="50" t="str">
        <f>IFERROR(__xludf.DUMMYFUNCTION("""COMPUTED_VALUE"""),"Ahmedabad")</f>
        <v>Ahmedabad</v>
      </c>
      <c r="H11" s="50" t="str">
        <f>IFERROR(__xludf.DUMMYFUNCTION("""COMPUTED_VALUE"""),"India")</f>
        <v>India</v>
      </c>
      <c r="I11" s="50" t="str">
        <f>IFERROR(__xludf.DUMMYFUNCTION("""COMPUTED_VALUE"""),"India")</f>
        <v>India</v>
      </c>
      <c r="J11" s="50" t="str">
        <f>IFERROR(__xludf.DUMMYFUNCTION("""COMPUTED_VALUE"""),"Service")</f>
        <v>Service</v>
      </c>
      <c r="K11" s="50" t="str">
        <f>IFERROR(__xludf.DUMMYFUNCTION("""COMPUTED_VALUE"""),"Other Services")</f>
        <v>Other Services</v>
      </c>
      <c r="L11" s="50" t="str">
        <f>IFERROR(__xludf.DUMMYFUNCTION("""COMPUTED_VALUE"""),"General Services")</f>
        <v>General Services</v>
      </c>
      <c r="M11" s="50"/>
      <c r="N11" s="50" t="str">
        <f>IFERROR(__xludf.DUMMYFUNCTION("""COMPUTED_VALUE"""),"Event/Expo")</f>
        <v>Event/Expo</v>
      </c>
      <c r="O11" s="50" t="str">
        <f>IFERROR(__xludf.DUMMYFUNCTION("""COMPUTED_VALUE"""),"Aastha")</f>
        <v>Aastha</v>
      </c>
      <c r="P11" s="50" t="str">
        <f>IFERROR(__xludf.DUMMYFUNCTION("""COMPUTED_VALUE"""),"Cold")</f>
        <v>Cold</v>
      </c>
      <c r="Q11" s="50" t="str">
        <f>IFERROR(__xludf.DUMMYFUNCTION("""COMPUTED_VALUE"""),"New")</f>
        <v>New</v>
      </c>
      <c r="R11" s="50" t="str">
        <f>IFERROR(__xludf.DUMMYFUNCTION("""COMPUTED_VALUE"""),"Not Started")</f>
        <v>Not Started</v>
      </c>
      <c r="S11" s="50"/>
      <c r="T11" s="50"/>
      <c r="U11" s="50" t="str">
        <f>IFERROR(__xludf.DUMMYFUNCTION("""COMPUTED_VALUE"""),"Not Scheduled")</f>
        <v>Not Scheduled</v>
      </c>
      <c r="V11" s="50"/>
      <c r="W11" s="50"/>
      <c r="X11" s="50"/>
      <c r="Y11" s="50"/>
      <c r="Z11" s="50"/>
      <c r="AA11" s="50">
        <f>IFERROR(__xludf.DUMMYFUNCTION("""COMPUTED_VALUE"""),0.0)</f>
        <v>0</v>
      </c>
      <c r="AB11" s="50"/>
      <c r="AC11" s="50"/>
      <c r="AD11" s="50"/>
    </row>
    <row r="12">
      <c r="A12" s="50">
        <f>IFERROR(__xludf.DUMMYFUNCTION("""COMPUTED_VALUE"""),36.0)</f>
        <v>36</v>
      </c>
      <c r="B12" s="51">
        <f>IFERROR(__xludf.DUMMYFUNCTION("""COMPUTED_VALUE"""),46264.0)</f>
        <v>46264</v>
      </c>
      <c r="C12" s="50" t="str">
        <f>IFERROR(__xludf.DUMMYFUNCTION("""COMPUTED_VALUE"""),"FLUID FLOW ENGINEERS")</f>
        <v>FLUID FLOW ENGINEERS</v>
      </c>
      <c r="D12" s="50" t="str">
        <f>IFERROR(__xludf.DUMMYFUNCTION("""COMPUTED_VALUE"""),"Dingare Yogesh")</f>
        <v>Dingare Yogesh</v>
      </c>
      <c r="E12" s="50">
        <f>IFERROR(__xludf.DUMMYFUNCTION("""COMPUTED_VALUE"""),9.326204116E9)</f>
        <v>9326204116</v>
      </c>
      <c r="F12" s="50" t="str">
        <f>IFERROR(__xludf.DUMMYFUNCTION("""COMPUTED_VALUE"""),"fluidflowengg20213@gmail.com")</f>
        <v>fluidflowengg20213@gmail.com</v>
      </c>
      <c r="G12" s="50" t="str">
        <f>IFERROR(__xludf.DUMMYFUNCTION("""COMPUTED_VALUE"""),"Pune")</f>
        <v>Pune</v>
      </c>
      <c r="H12" s="50" t="str">
        <f>IFERROR(__xludf.DUMMYFUNCTION("""COMPUTED_VALUE"""),"India")</f>
        <v>India</v>
      </c>
      <c r="I12" s="50" t="str">
        <f>IFERROR(__xludf.DUMMYFUNCTION("""COMPUTED_VALUE"""),"India")</f>
        <v>India</v>
      </c>
      <c r="J12" s="50" t="str">
        <f>IFERROR(__xludf.DUMMYFUNCTION("""COMPUTED_VALUE"""),"Service")</f>
        <v>Service</v>
      </c>
      <c r="K12" s="50" t="str">
        <f>IFERROR(__xludf.DUMMYFUNCTION("""COMPUTED_VALUE"""),"Other Services")</f>
        <v>Other Services</v>
      </c>
      <c r="L12" s="50" t="str">
        <f>IFERROR(__xludf.DUMMYFUNCTION("""COMPUTED_VALUE"""),"General Services")</f>
        <v>General Services</v>
      </c>
      <c r="M12" s="50"/>
      <c r="N12" s="50" t="str">
        <f>IFERROR(__xludf.DUMMYFUNCTION("""COMPUTED_VALUE"""),"Event/Expo")</f>
        <v>Event/Expo</v>
      </c>
      <c r="O12" s="50" t="str">
        <f>IFERROR(__xludf.DUMMYFUNCTION("""COMPUTED_VALUE"""),"Aastha")</f>
        <v>Aastha</v>
      </c>
      <c r="P12" s="50" t="str">
        <f>IFERROR(__xludf.DUMMYFUNCTION("""COMPUTED_VALUE"""),"Cold")</f>
        <v>Cold</v>
      </c>
      <c r="Q12" s="50" t="str">
        <f>IFERROR(__xludf.DUMMYFUNCTION("""COMPUTED_VALUE"""),"New")</f>
        <v>New</v>
      </c>
      <c r="R12" s="50" t="str">
        <f>IFERROR(__xludf.DUMMYFUNCTION("""COMPUTED_VALUE"""),"Not Started")</f>
        <v>Not Started</v>
      </c>
      <c r="S12" s="50"/>
      <c r="T12" s="50"/>
      <c r="U12" s="50" t="str">
        <f>IFERROR(__xludf.DUMMYFUNCTION("""COMPUTED_VALUE"""),"Not Scheduled")</f>
        <v>Not Scheduled</v>
      </c>
      <c r="V12" s="50"/>
      <c r="W12" s="50"/>
      <c r="X12" s="50"/>
      <c r="Y12" s="50"/>
      <c r="Z12" s="50"/>
      <c r="AA12" s="50">
        <f>IFERROR(__xludf.DUMMYFUNCTION("""COMPUTED_VALUE"""),0.0)</f>
        <v>0</v>
      </c>
      <c r="AB12" s="50"/>
      <c r="AC12" s="50"/>
      <c r="AD12" s="50"/>
    </row>
    <row r="13">
      <c r="A13" s="50">
        <f>IFERROR(__xludf.DUMMYFUNCTION("""COMPUTED_VALUE"""),40.0)</f>
        <v>40</v>
      </c>
      <c r="B13" s="51">
        <f>IFERROR(__xludf.DUMMYFUNCTION("""COMPUTED_VALUE"""),46264.0)</f>
        <v>46264</v>
      </c>
      <c r="C13" s="50" t="str">
        <f>IFERROR(__xludf.DUMMYFUNCTION("""COMPUTED_VALUE"""),"CHL / Communities Heritage Limited")</f>
        <v>CHL / Communities Heritage Limited</v>
      </c>
      <c r="D13" s="50" t="str">
        <f>IFERROR(__xludf.DUMMYFUNCTION("""COMPUTED_VALUE"""),"Gaurav Kumar (Sales Head)")</f>
        <v>Gaurav Kumar (Sales Head)</v>
      </c>
      <c r="E13" s="50" t="str">
        <f>IFERROR(__xludf.DUMMYFUNCTION("""COMPUTED_VALUE"""),"8209941243")</f>
        <v>8209941243</v>
      </c>
      <c r="F13" s="50" t="str">
        <f>IFERROR(__xludf.DUMMYFUNCTION("""COMPUTED_VALUE"""),"ahmedabad@chlgroup.org")</f>
        <v>ahmedabad@chlgroup.org</v>
      </c>
      <c r="G13" s="50" t="str">
        <f>IFERROR(__xludf.DUMMYFUNCTION("""COMPUTED_VALUE"""),"Ahmedabad")</f>
        <v>Ahmedabad</v>
      </c>
      <c r="H13" s="50" t="str">
        <f>IFERROR(__xludf.DUMMYFUNCTION("""COMPUTED_VALUE"""),"India")</f>
        <v>India</v>
      </c>
      <c r="I13" s="50" t="str">
        <f>IFERROR(__xludf.DUMMYFUNCTION("""COMPUTED_VALUE"""),"India")</f>
        <v>India</v>
      </c>
      <c r="J13" s="50" t="str">
        <f>IFERROR(__xludf.DUMMYFUNCTION("""COMPUTED_VALUE"""),"Service")</f>
        <v>Service</v>
      </c>
      <c r="K13" s="50" t="str">
        <f>IFERROR(__xludf.DUMMYFUNCTION("""COMPUTED_VALUE"""),"Other Services")</f>
        <v>Other Services</v>
      </c>
      <c r="L13" s="50" t="str">
        <f>IFERROR(__xludf.DUMMYFUNCTION("""COMPUTED_VALUE"""),"General Services")</f>
        <v>General Services</v>
      </c>
      <c r="M13" s="50"/>
      <c r="N13" s="50" t="str">
        <f>IFERROR(__xludf.DUMMYFUNCTION("""COMPUTED_VALUE"""),"Event/Expo")</f>
        <v>Event/Expo</v>
      </c>
      <c r="O13" s="50" t="str">
        <f>IFERROR(__xludf.DUMMYFUNCTION("""COMPUTED_VALUE"""),"Aastha")</f>
        <v>Aastha</v>
      </c>
      <c r="P13" s="50" t="str">
        <f>IFERROR(__xludf.DUMMYFUNCTION("""COMPUTED_VALUE"""),"Cold")</f>
        <v>Cold</v>
      </c>
      <c r="Q13" s="50" t="str">
        <f>IFERROR(__xludf.DUMMYFUNCTION("""COMPUTED_VALUE"""),"New")</f>
        <v>New</v>
      </c>
      <c r="R13" s="50" t="str">
        <f>IFERROR(__xludf.DUMMYFUNCTION("""COMPUTED_VALUE"""),"Not Started")</f>
        <v>Not Started</v>
      </c>
      <c r="S13" s="50"/>
      <c r="T13" s="50"/>
      <c r="U13" s="50" t="str">
        <f>IFERROR(__xludf.DUMMYFUNCTION("""COMPUTED_VALUE"""),"Not Scheduled")</f>
        <v>Not Scheduled</v>
      </c>
      <c r="V13" s="50"/>
      <c r="W13" s="50"/>
      <c r="X13" s="50"/>
      <c r="Y13" s="50"/>
      <c r="Z13" s="50"/>
      <c r="AA13" s="50">
        <f>IFERROR(__xludf.DUMMYFUNCTION("""COMPUTED_VALUE"""),0.0)</f>
        <v>0</v>
      </c>
      <c r="AB13" s="50"/>
      <c r="AC13" s="50"/>
      <c r="AD13" s="50"/>
    </row>
    <row r="14">
      <c r="A14" s="50">
        <f>IFERROR(__xludf.DUMMYFUNCTION("""COMPUTED_VALUE"""),45.0)</f>
        <v>45</v>
      </c>
      <c r="B14" s="51">
        <f>IFERROR(__xludf.DUMMYFUNCTION("""COMPUTED_VALUE"""),46264.0)</f>
        <v>46264</v>
      </c>
      <c r="C14" s="50" t="str">
        <f>IFERROR(__xludf.DUMMYFUNCTION("""COMPUTED_VALUE"""),"Research Delta Advisors")</f>
        <v>Research Delta Advisors</v>
      </c>
      <c r="D14" s="50" t="str">
        <f>IFERROR(__xludf.DUMMYFUNCTION("""COMPUTED_VALUE"""),"Chintan Mehta (Co. Founder, Tech Lead)")</f>
        <v>Chintan Mehta (Co. Founder, Tech Lead)</v>
      </c>
      <c r="E14" s="50" t="str">
        <f>IFERROR(__xludf.DUMMYFUNCTION("""COMPUTED_VALUE"""),"9428551146")</f>
        <v>9428551146</v>
      </c>
      <c r="F14" s="50" t="str">
        <f>IFERROR(__xludf.DUMMYFUNCTION("""COMPUTED_VALUE"""),"chintan@researchdelta.com")</f>
        <v>chintan@researchdelta.com</v>
      </c>
      <c r="G14" s="50" t="str">
        <f>IFERROR(__xludf.DUMMYFUNCTION("""COMPUTED_VALUE"""),"Vadodara")</f>
        <v>Vadodara</v>
      </c>
      <c r="H14" s="50" t="str">
        <f>IFERROR(__xludf.DUMMYFUNCTION("""COMPUTED_VALUE"""),"India")</f>
        <v>India</v>
      </c>
      <c r="I14" s="50" t="str">
        <f>IFERROR(__xludf.DUMMYFUNCTION("""COMPUTED_VALUE"""),"India")</f>
        <v>India</v>
      </c>
      <c r="J14" s="50" t="str">
        <f>IFERROR(__xludf.DUMMYFUNCTION("""COMPUTED_VALUE"""),"Service")</f>
        <v>Service</v>
      </c>
      <c r="K14" s="50" t="str">
        <f>IFERROR(__xludf.DUMMYFUNCTION("""COMPUTED_VALUE"""),"Other Services")</f>
        <v>Other Services</v>
      </c>
      <c r="L14" s="50" t="str">
        <f>IFERROR(__xludf.DUMMYFUNCTION("""COMPUTED_VALUE"""),"General Services")</f>
        <v>General Services</v>
      </c>
      <c r="M14" s="50"/>
      <c r="N14" s="50" t="str">
        <f>IFERROR(__xludf.DUMMYFUNCTION("""COMPUTED_VALUE"""),"Event/Expo")</f>
        <v>Event/Expo</v>
      </c>
      <c r="O14" s="50" t="str">
        <f>IFERROR(__xludf.DUMMYFUNCTION("""COMPUTED_VALUE"""),"Aastha")</f>
        <v>Aastha</v>
      </c>
      <c r="P14" s="50" t="str">
        <f>IFERROR(__xludf.DUMMYFUNCTION("""COMPUTED_VALUE"""),"Cold")</f>
        <v>Cold</v>
      </c>
      <c r="Q14" s="50" t="str">
        <f>IFERROR(__xludf.DUMMYFUNCTION("""COMPUTED_VALUE"""),"New")</f>
        <v>New</v>
      </c>
      <c r="R14" s="50" t="str">
        <f>IFERROR(__xludf.DUMMYFUNCTION("""COMPUTED_VALUE"""),"Not Started")</f>
        <v>Not Started</v>
      </c>
      <c r="S14" s="50"/>
      <c r="T14" s="50"/>
      <c r="U14" s="50" t="str">
        <f>IFERROR(__xludf.DUMMYFUNCTION("""COMPUTED_VALUE"""),"Not Scheduled")</f>
        <v>Not Scheduled</v>
      </c>
      <c r="V14" s="50"/>
      <c r="W14" s="50"/>
      <c r="X14" s="50"/>
      <c r="Y14" s="50"/>
      <c r="Z14" s="50"/>
      <c r="AA14" s="50">
        <f>IFERROR(__xludf.DUMMYFUNCTION("""COMPUTED_VALUE"""),0.0)</f>
        <v>0</v>
      </c>
      <c r="AB14" s="50"/>
      <c r="AC14" s="50"/>
      <c r="AD14" s="50"/>
    </row>
    <row r="15">
      <c r="A15" s="50">
        <f>IFERROR(__xludf.DUMMYFUNCTION("""COMPUTED_VALUE"""),46.0)</f>
        <v>46</v>
      </c>
      <c r="B15" s="51">
        <f>IFERROR(__xludf.DUMMYFUNCTION("""COMPUTED_VALUE"""),46264.0)</f>
        <v>46264</v>
      </c>
      <c r="C15" s="50" t="str">
        <f>IFERROR(__xludf.DUMMYFUNCTION("""COMPUTED_VALUE"""),"Satyamev Infotech")</f>
        <v>Satyamev Infotech</v>
      </c>
      <c r="D15" s="50" t="str">
        <f>IFERROR(__xludf.DUMMYFUNCTION("""COMPUTED_VALUE"""),"Devang Pancholi")</f>
        <v>Devang Pancholi</v>
      </c>
      <c r="E15" s="50" t="str">
        <f>IFERROR(__xludf.DUMMYFUNCTION("""COMPUTED_VALUE"""),"9825026304")</f>
        <v>9825026304</v>
      </c>
      <c r="F15" s="50" t="str">
        <f>IFERROR(__xludf.DUMMYFUNCTION("""COMPUTED_VALUE"""),"devang@satyamev.com")</f>
        <v>devang@satyamev.com</v>
      </c>
      <c r="G15" s="50"/>
      <c r="H15" s="50" t="str">
        <f>IFERROR(__xludf.DUMMYFUNCTION("""COMPUTED_VALUE"""),"India")</f>
        <v>India</v>
      </c>
      <c r="I15" s="50" t="str">
        <f>IFERROR(__xludf.DUMMYFUNCTION("""COMPUTED_VALUE"""),"India")</f>
        <v>India</v>
      </c>
      <c r="J15" s="50" t="str">
        <f>IFERROR(__xludf.DUMMYFUNCTION("""COMPUTED_VALUE"""),"Service")</f>
        <v>Service</v>
      </c>
      <c r="K15" s="50" t="str">
        <f>IFERROR(__xludf.DUMMYFUNCTION("""COMPUTED_VALUE"""),"Other Services")</f>
        <v>Other Services</v>
      </c>
      <c r="L15" s="50" t="str">
        <f>IFERROR(__xludf.DUMMYFUNCTION("""COMPUTED_VALUE"""),"General Services")</f>
        <v>General Services</v>
      </c>
      <c r="M15" s="50"/>
      <c r="N15" s="50" t="str">
        <f>IFERROR(__xludf.DUMMYFUNCTION("""COMPUTED_VALUE"""),"Event/Expo")</f>
        <v>Event/Expo</v>
      </c>
      <c r="O15" s="50" t="str">
        <f>IFERROR(__xludf.DUMMYFUNCTION("""COMPUTED_VALUE"""),"Aastha")</f>
        <v>Aastha</v>
      </c>
      <c r="P15" s="50" t="str">
        <f>IFERROR(__xludf.DUMMYFUNCTION("""COMPUTED_VALUE"""),"Cold")</f>
        <v>Cold</v>
      </c>
      <c r="Q15" s="50" t="str">
        <f>IFERROR(__xludf.DUMMYFUNCTION("""COMPUTED_VALUE"""),"New")</f>
        <v>New</v>
      </c>
      <c r="R15" s="50" t="str">
        <f>IFERROR(__xludf.DUMMYFUNCTION("""COMPUTED_VALUE"""),"Not Started")</f>
        <v>Not Started</v>
      </c>
      <c r="S15" s="50"/>
      <c r="T15" s="50"/>
      <c r="U15" s="50" t="str">
        <f>IFERROR(__xludf.DUMMYFUNCTION("""COMPUTED_VALUE"""),"Not Scheduled")</f>
        <v>Not Scheduled</v>
      </c>
      <c r="V15" s="50"/>
      <c r="W15" s="50"/>
      <c r="X15" s="50"/>
      <c r="Y15" s="50"/>
      <c r="Z15" s="50"/>
      <c r="AA15" s="50">
        <f>IFERROR(__xludf.DUMMYFUNCTION("""COMPUTED_VALUE"""),0.0)</f>
        <v>0</v>
      </c>
      <c r="AB15" s="50"/>
      <c r="AC15" s="50"/>
      <c r="AD15" s="50"/>
    </row>
    <row r="16">
      <c r="A16" s="50">
        <f>IFERROR(__xludf.DUMMYFUNCTION("""COMPUTED_VALUE"""),47.0)</f>
        <v>47</v>
      </c>
      <c r="B16" s="51">
        <f>IFERROR(__xludf.DUMMYFUNCTION("""COMPUTED_VALUE"""),46264.0)</f>
        <v>46264</v>
      </c>
      <c r="C16" s="50" t="str">
        <f>IFERROR(__xludf.DUMMYFUNCTION("""COMPUTED_VALUE"""),"Nandi Tours &amp; Travels")</f>
        <v>Nandi Tours &amp; Travels</v>
      </c>
      <c r="D16" s="50" t="str">
        <f>IFERROR(__xludf.DUMMYFUNCTION("""COMPUTED_VALUE"""),"Hiren Raval")</f>
        <v>Hiren Raval</v>
      </c>
      <c r="E16" s="50" t="str">
        <f>IFERROR(__xludf.DUMMYFUNCTION("""COMPUTED_VALUE"""),"8200853156; 9687576959")</f>
        <v>8200853156; 9687576959</v>
      </c>
      <c r="F16" s="50" t="str">
        <f>IFERROR(__xludf.DUMMYFUNCTION("""COMPUTED_VALUE"""),"nandi@toursandtravels.com")</f>
        <v>nandi@toursandtravels.com</v>
      </c>
      <c r="G16" s="50" t="str">
        <f>IFERROR(__xludf.DUMMYFUNCTION("""COMPUTED_VALUE"""),"Ahmedabad")</f>
        <v>Ahmedabad</v>
      </c>
      <c r="H16" s="50" t="str">
        <f>IFERROR(__xludf.DUMMYFUNCTION("""COMPUTED_VALUE"""),"India")</f>
        <v>India</v>
      </c>
      <c r="I16" s="50" t="str">
        <f>IFERROR(__xludf.DUMMYFUNCTION("""COMPUTED_VALUE"""),"India")</f>
        <v>India</v>
      </c>
      <c r="J16" s="50" t="str">
        <f>IFERROR(__xludf.DUMMYFUNCTION("""COMPUTED_VALUE"""),"Service")</f>
        <v>Service</v>
      </c>
      <c r="K16" s="50" t="str">
        <f>IFERROR(__xludf.DUMMYFUNCTION("""COMPUTED_VALUE"""),"Other Services")</f>
        <v>Other Services</v>
      </c>
      <c r="L16" s="50" t="str">
        <f>IFERROR(__xludf.DUMMYFUNCTION("""COMPUTED_VALUE"""),"General Services")</f>
        <v>General Services</v>
      </c>
      <c r="M16" s="50"/>
      <c r="N16" s="50" t="str">
        <f>IFERROR(__xludf.DUMMYFUNCTION("""COMPUTED_VALUE"""),"Event/Expo")</f>
        <v>Event/Expo</v>
      </c>
      <c r="O16" s="50" t="str">
        <f>IFERROR(__xludf.DUMMYFUNCTION("""COMPUTED_VALUE"""),"Aastha")</f>
        <v>Aastha</v>
      </c>
      <c r="P16" s="50" t="str">
        <f>IFERROR(__xludf.DUMMYFUNCTION("""COMPUTED_VALUE"""),"Cold")</f>
        <v>Cold</v>
      </c>
      <c r="Q16" s="50" t="str">
        <f>IFERROR(__xludf.DUMMYFUNCTION("""COMPUTED_VALUE"""),"New")</f>
        <v>New</v>
      </c>
      <c r="R16" s="50" t="str">
        <f>IFERROR(__xludf.DUMMYFUNCTION("""COMPUTED_VALUE"""),"Not Started")</f>
        <v>Not Started</v>
      </c>
      <c r="S16" s="50"/>
      <c r="T16" s="50"/>
      <c r="U16" s="50" t="str">
        <f>IFERROR(__xludf.DUMMYFUNCTION("""COMPUTED_VALUE"""),"Not Scheduled")</f>
        <v>Not Scheduled</v>
      </c>
      <c r="V16" s="50"/>
      <c r="W16" s="50"/>
      <c r="X16" s="50"/>
      <c r="Y16" s="50"/>
      <c r="Z16" s="50"/>
      <c r="AA16" s="50">
        <f>IFERROR(__xludf.DUMMYFUNCTION("""COMPUTED_VALUE"""),0.0)</f>
        <v>0</v>
      </c>
      <c r="AB16" s="50"/>
      <c r="AC16" s="50"/>
      <c r="AD16" s="50"/>
    </row>
    <row r="17">
      <c r="A17" s="50">
        <f>IFERROR(__xludf.DUMMYFUNCTION("""COMPUTED_VALUE"""),49.0)</f>
        <v>49</v>
      </c>
      <c r="B17" s="51">
        <f>IFERROR(__xludf.DUMMYFUNCTION("""COMPUTED_VALUE"""),46264.0)</f>
        <v>46264</v>
      </c>
      <c r="C17" s="50" t="str">
        <f>IFERROR(__xludf.DUMMYFUNCTION("""COMPUTED_VALUE"""),"Konica Minolta Business Solutions India Pvt. Ltd.")</f>
        <v>Konica Minolta Business Solutions India Pvt. Ltd.</v>
      </c>
      <c r="D17" s="50" t="str">
        <f>IFERROR(__xludf.DUMMYFUNCTION("""COMPUTED_VALUE"""),"Yatin Gulati (Business Development Manager)")</f>
        <v>Yatin Gulati (Business Development Manager)</v>
      </c>
      <c r="E17" s="50" t="str">
        <f>IFERROR(__xludf.DUMMYFUNCTION("""COMPUTED_VALUE"""),"9319285303")</f>
        <v>9319285303</v>
      </c>
      <c r="F17" s="50" t="str">
        <f>IFERROR(__xludf.DUMMYFUNCTION("""COMPUTED_VALUE"""),"yatin.gulati@konicaminolta.com")</f>
        <v>yatin.gulati@konicaminolta.com</v>
      </c>
      <c r="G17" s="50" t="str">
        <f>IFERROR(__xludf.DUMMYFUNCTION("""COMPUTED_VALUE"""),"Gurgaon")</f>
        <v>Gurgaon</v>
      </c>
      <c r="H17" s="50" t="str">
        <f>IFERROR(__xludf.DUMMYFUNCTION("""COMPUTED_VALUE"""),"India")</f>
        <v>India</v>
      </c>
      <c r="I17" s="50" t="str">
        <f>IFERROR(__xludf.DUMMYFUNCTION("""COMPUTED_VALUE"""),"India")</f>
        <v>India</v>
      </c>
      <c r="J17" s="50" t="str">
        <f>IFERROR(__xludf.DUMMYFUNCTION("""COMPUTED_VALUE"""),"Service")</f>
        <v>Service</v>
      </c>
      <c r="K17" s="50" t="str">
        <f>IFERROR(__xludf.DUMMYFUNCTION("""COMPUTED_VALUE"""),"Other Services")</f>
        <v>Other Services</v>
      </c>
      <c r="L17" s="50" t="str">
        <f>IFERROR(__xludf.DUMMYFUNCTION("""COMPUTED_VALUE"""),"General Services")</f>
        <v>General Services</v>
      </c>
      <c r="M17" s="50"/>
      <c r="N17" s="50" t="str">
        <f>IFERROR(__xludf.DUMMYFUNCTION("""COMPUTED_VALUE"""),"Event/Expo")</f>
        <v>Event/Expo</v>
      </c>
      <c r="O17" s="50" t="str">
        <f>IFERROR(__xludf.DUMMYFUNCTION("""COMPUTED_VALUE"""),"Aastha")</f>
        <v>Aastha</v>
      </c>
      <c r="P17" s="50" t="str">
        <f>IFERROR(__xludf.DUMMYFUNCTION("""COMPUTED_VALUE"""),"Cold")</f>
        <v>Cold</v>
      </c>
      <c r="Q17" s="50" t="str">
        <f>IFERROR(__xludf.DUMMYFUNCTION("""COMPUTED_VALUE"""),"New")</f>
        <v>New</v>
      </c>
      <c r="R17" s="50" t="str">
        <f>IFERROR(__xludf.DUMMYFUNCTION("""COMPUTED_VALUE"""),"Not Started")</f>
        <v>Not Started</v>
      </c>
      <c r="S17" s="50"/>
      <c r="T17" s="50"/>
      <c r="U17" s="50" t="str">
        <f>IFERROR(__xludf.DUMMYFUNCTION("""COMPUTED_VALUE"""),"Not Scheduled")</f>
        <v>Not Scheduled</v>
      </c>
      <c r="V17" s="50"/>
      <c r="W17" s="50"/>
      <c r="X17" s="50"/>
      <c r="Y17" s="50"/>
      <c r="Z17" s="50"/>
      <c r="AA17" s="50">
        <f>IFERROR(__xludf.DUMMYFUNCTION("""COMPUTED_VALUE"""),0.0)</f>
        <v>0</v>
      </c>
      <c r="AB17" s="50"/>
      <c r="AC17" s="50"/>
      <c r="AD17" s="50"/>
    </row>
    <row r="18">
      <c r="A18" s="50">
        <f>IFERROR(__xludf.DUMMYFUNCTION("""COMPUTED_VALUE"""),50.0)</f>
        <v>50</v>
      </c>
      <c r="B18" s="51">
        <f>IFERROR(__xludf.DUMMYFUNCTION("""COMPUTED_VALUE"""),46264.0)</f>
        <v>46264</v>
      </c>
      <c r="C18" s="50" t="str">
        <f>IFERROR(__xludf.DUMMYFUNCTION("""COMPUTED_VALUE"""),"Malhari Projects Pvt. Ltd.")</f>
        <v>Malhari Projects Pvt. Ltd.</v>
      </c>
      <c r="D18" s="50" t="str">
        <f>IFERROR(__xludf.DUMMYFUNCTION("""COMPUTED_VALUE"""),"Vaibhav Patel / Dhruv Chauhan / Mihir Dixit")</f>
        <v>Vaibhav Patel / Dhruv Chauhan / Mihir Dixit</v>
      </c>
      <c r="E18" s="50" t="str">
        <f>IFERROR(__xludf.DUMMYFUNCTION("""COMPUTED_VALUE"""),"99788 31112; 81402 22477")</f>
        <v>99788 31112; 81402 22477</v>
      </c>
      <c r="F18" s="50" t="str">
        <f>IFERROR(__xludf.DUMMYFUNCTION("""COMPUTED_VALUE"""),"sales@malhariprojects.com; info@malhariprojects.com")</f>
        <v>sales@malhariprojects.com; info@malhariprojects.com</v>
      </c>
      <c r="G18" s="50" t="str">
        <f>IFERROR(__xludf.DUMMYFUNCTION("""COMPUTED_VALUE"""),"Ahmedabad")</f>
        <v>Ahmedabad</v>
      </c>
      <c r="H18" s="50" t="str">
        <f>IFERROR(__xludf.DUMMYFUNCTION("""COMPUTED_VALUE"""),"India")</f>
        <v>India</v>
      </c>
      <c r="I18" s="50" t="str">
        <f>IFERROR(__xludf.DUMMYFUNCTION("""COMPUTED_VALUE"""),"India")</f>
        <v>India</v>
      </c>
      <c r="J18" s="50" t="str">
        <f>IFERROR(__xludf.DUMMYFUNCTION("""COMPUTED_VALUE"""),"Service")</f>
        <v>Service</v>
      </c>
      <c r="K18" s="50" t="str">
        <f>IFERROR(__xludf.DUMMYFUNCTION("""COMPUTED_VALUE"""),"Other Services")</f>
        <v>Other Services</v>
      </c>
      <c r="L18" s="50" t="str">
        <f>IFERROR(__xludf.DUMMYFUNCTION("""COMPUTED_VALUE"""),"General Services")</f>
        <v>General Services</v>
      </c>
      <c r="M18" s="50"/>
      <c r="N18" s="50" t="str">
        <f>IFERROR(__xludf.DUMMYFUNCTION("""COMPUTED_VALUE"""),"Event/Expo")</f>
        <v>Event/Expo</v>
      </c>
      <c r="O18" s="50" t="str">
        <f>IFERROR(__xludf.DUMMYFUNCTION("""COMPUTED_VALUE"""),"Aastha")</f>
        <v>Aastha</v>
      </c>
      <c r="P18" s="50" t="str">
        <f>IFERROR(__xludf.DUMMYFUNCTION("""COMPUTED_VALUE"""),"Cold")</f>
        <v>Cold</v>
      </c>
      <c r="Q18" s="50" t="str">
        <f>IFERROR(__xludf.DUMMYFUNCTION("""COMPUTED_VALUE"""),"New")</f>
        <v>New</v>
      </c>
      <c r="R18" s="50" t="str">
        <f>IFERROR(__xludf.DUMMYFUNCTION("""COMPUTED_VALUE"""),"Not Started")</f>
        <v>Not Started</v>
      </c>
      <c r="S18" s="50"/>
      <c r="T18" s="50"/>
      <c r="U18" s="50" t="str">
        <f>IFERROR(__xludf.DUMMYFUNCTION("""COMPUTED_VALUE"""),"Not Scheduled")</f>
        <v>Not Scheduled</v>
      </c>
      <c r="V18" s="50"/>
      <c r="W18" s="50"/>
      <c r="X18" s="50"/>
      <c r="Y18" s="50"/>
      <c r="Z18" s="50"/>
      <c r="AA18" s="50">
        <f>IFERROR(__xludf.DUMMYFUNCTION("""COMPUTED_VALUE"""),0.0)</f>
        <v>0</v>
      </c>
      <c r="AB18" s="50"/>
      <c r="AC18" s="50"/>
      <c r="AD18" s="50"/>
    </row>
    <row r="19">
      <c r="A19" s="50">
        <f>IFERROR(__xludf.DUMMYFUNCTION("""COMPUTED_VALUE"""),55.0)</f>
        <v>55</v>
      </c>
      <c r="B19" s="51">
        <f>IFERROR(__xludf.DUMMYFUNCTION("""COMPUTED_VALUE"""),46267.0)</f>
        <v>46267</v>
      </c>
      <c r="C19" s="50" t="str">
        <f>IFERROR(__xludf.DUMMYFUNCTION("""COMPUTED_VALUE"""),"PROSMIT (by SMIT Digital Marketing Pvt Ltd)")</f>
        <v>PROSMIT (by SMIT Digital Marketing Pvt Ltd)</v>
      </c>
      <c r="D19" s="50" t="str">
        <f>IFERROR(__xludf.DUMMYFUNCTION("""COMPUTED_VALUE"""),"Amish S. (Director)")</f>
        <v>Amish S. (Director)</v>
      </c>
      <c r="E19" s="50" t="str">
        <f>IFERROR(__xludf.DUMMYFUNCTION("""COMPUTED_VALUE"""),"9033008020; 8866008020")</f>
        <v>9033008020; 8866008020</v>
      </c>
      <c r="F19" s="50" t="str">
        <f>IFERROR(__xludf.DUMMYFUNCTION("""COMPUTED_VALUE"""),"sales@prosmit.in; amish@smit.co.in")</f>
        <v>sales@prosmit.in; amish@smit.co.in</v>
      </c>
      <c r="G19" s="50" t="str">
        <f>IFERROR(__xludf.DUMMYFUNCTION("""COMPUTED_VALUE"""),"Ahmedabad")</f>
        <v>Ahmedabad</v>
      </c>
      <c r="H19" s="50" t="str">
        <f>IFERROR(__xludf.DUMMYFUNCTION("""COMPUTED_VALUE"""),"India")</f>
        <v>India</v>
      </c>
      <c r="I19" s="50" t="str">
        <f>IFERROR(__xludf.DUMMYFUNCTION("""COMPUTED_VALUE"""),"India")</f>
        <v>India</v>
      </c>
      <c r="J19" s="50" t="str">
        <f>IFERROR(__xludf.DUMMYFUNCTION("""COMPUTED_VALUE"""),"Service")</f>
        <v>Service</v>
      </c>
      <c r="K19" s="50" t="str">
        <f>IFERROR(__xludf.DUMMYFUNCTION("""COMPUTED_VALUE"""),"Other Services")</f>
        <v>Other Services</v>
      </c>
      <c r="L19" s="50" t="str">
        <f>IFERROR(__xludf.DUMMYFUNCTION("""COMPUTED_VALUE"""),"General Services")</f>
        <v>General Services</v>
      </c>
      <c r="M19" s="50"/>
      <c r="N19" s="50" t="str">
        <f>IFERROR(__xludf.DUMMYFUNCTION("""COMPUTED_VALUE"""),"Event/Expo")</f>
        <v>Event/Expo</v>
      </c>
      <c r="O19" s="50" t="str">
        <f>IFERROR(__xludf.DUMMYFUNCTION("""COMPUTED_VALUE"""),"Aastha")</f>
        <v>Aastha</v>
      </c>
      <c r="P19" s="50" t="str">
        <f>IFERROR(__xludf.DUMMYFUNCTION("""COMPUTED_VALUE"""),"Cold")</f>
        <v>Cold</v>
      </c>
      <c r="Q19" s="50" t="str">
        <f>IFERROR(__xludf.DUMMYFUNCTION("""COMPUTED_VALUE"""),"New")</f>
        <v>New</v>
      </c>
      <c r="R19" s="50" t="str">
        <f>IFERROR(__xludf.DUMMYFUNCTION("""COMPUTED_VALUE"""),"Not Started")</f>
        <v>Not Started</v>
      </c>
      <c r="S19" s="50"/>
      <c r="T19" s="50"/>
      <c r="U19" s="50" t="str">
        <f>IFERROR(__xludf.DUMMYFUNCTION("""COMPUTED_VALUE"""),"Not Scheduled")</f>
        <v>Not Scheduled</v>
      </c>
      <c r="V19" s="50"/>
      <c r="W19" s="50"/>
      <c r="X19" s="50"/>
      <c r="Y19" s="50"/>
      <c r="Z19" s="50"/>
      <c r="AA19" s="50">
        <f>IFERROR(__xludf.DUMMYFUNCTION("""COMPUTED_VALUE"""),0.0)</f>
        <v>0</v>
      </c>
      <c r="AB19" s="50"/>
      <c r="AC19" s="50"/>
      <c r="AD19" s="50"/>
    </row>
    <row r="20">
      <c r="A20" s="50">
        <f>IFERROR(__xludf.DUMMYFUNCTION("""COMPUTED_VALUE"""),56.0)</f>
        <v>56</v>
      </c>
      <c r="B20" s="51">
        <f>IFERROR(__xludf.DUMMYFUNCTION("""COMPUTED_VALUE"""),46267.0)</f>
        <v>46267</v>
      </c>
      <c r="C20" s="50" t="str">
        <f>IFERROR(__xludf.DUMMYFUNCTION("""COMPUTED_VALUE"""),"Ajwin / Light Hub")</f>
        <v>Ajwin / Light Hub</v>
      </c>
      <c r="D20" s="50" t="str">
        <f>IFERROR(__xludf.DUMMYFUNCTION("""COMPUTED_VALUE"""),"Kishan Patel")</f>
        <v>Kishan Patel</v>
      </c>
      <c r="E20" s="50" t="str">
        <f>IFERROR(__xludf.DUMMYFUNCTION("""COMPUTED_VALUE"""),"9898419754")</f>
        <v>9898419754</v>
      </c>
      <c r="F20" s="50"/>
      <c r="G20" s="50" t="str">
        <f>IFERROR(__xludf.DUMMYFUNCTION("""COMPUTED_VALUE"""),"Ahmedabad")</f>
        <v>Ahmedabad</v>
      </c>
      <c r="H20" s="50" t="str">
        <f>IFERROR(__xludf.DUMMYFUNCTION("""COMPUTED_VALUE"""),"India")</f>
        <v>India</v>
      </c>
      <c r="I20" s="50" t="str">
        <f>IFERROR(__xludf.DUMMYFUNCTION("""COMPUTED_VALUE"""),"India")</f>
        <v>India</v>
      </c>
      <c r="J20" s="50" t="str">
        <f>IFERROR(__xludf.DUMMYFUNCTION("""COMPUTED_VALUE"""),"Service")</f>
        <v>Service</v>
      </c>
      <c r="K20" s="50" t="str">
        <f>IFERROR(__xludf.DUMMYFUNCTION("""COMPUTED_VALUE"""),"Other Services")</f>
        <v>Other Services</v>
      </c>
      <c r="L20" s="50" t="str">
        <f>IFERROR(__xludf.DUMMYFUNCTION("""COMPUTED_VALUE"""),"Manufacturing")</f>
        <v>Manufacturing</v>
      </c>
      <c r="M20" s="50"/>
      <c r="N20" s="50" t="str">
        <f>IFERROR(__xludf.DUMMYFUNCTION("""COMPUTED_VALUE"""),"Event/Expo")</f>
        <v>Event/Expo</v>
      </c>
      <c r="O20" s="50" t="str">
        <f>IFERROR(__xludf.DUMMYFUNCTION("""COMPUTED_VALUE"""),"Aastha")</f>
        <v>Aastha</v>
      </c>
      <c r="P20" s="50" t="str">
        <f>IFERROR(__xludf.DUMMYFUNCTION("""COMPUTED_VALUE"""),"Cold")</f>
        <v>Cold</v>
      </c>
      <c r="Q20" s="50" t="str">
        <f>IFERROR(__xludf.DUMMYFUNCTION("""COMPUTED_VALUE"""),"New")</f>
        <v>New</v>
      </c>
      <c r="R20" s="50" t="str">
        <f>IFERROR(__xludf.DUMMYFUNCTION("""COMPUTED_VALUE"""),"Not Started")</f>
        <v>Not Started</v>
      </c>
      <c r="S20" s="50"/>
      <c r="T20" s="50"/>
      <c r="U20" s="50" t="str">
        <f>IFERROR(__xludf.DUMMYFUNCTION("""COMPUTED_VALUE"""),"Not Scheduled")</f>
        <v>Not Scheduled</v>
      </c>
      <c r="V20" s="50"/>
      <c r="W20" s="50"/>
      <c r="X20" s="50"/>
      <c r="Y20" s="50"/>
      <c r="Z20" s="50"/>
      <c r="AA20" s="50">
        <f>IFERROR(__xludf.DUMMYFUNCTION("""COMPUTED_VALUE"""),0.0)</f>
        <v>0</v>
      </c>
      <c r="AB20" s="50"/>
      <c r="AC20" s="50"/>
      <c r="AD20" s="50"/>
    </row>
    <row r="21" ht="15.75" customHeight="1">
      <c r="A21" s="50">
        <f>IFERROR(__xludf.DUMMYFUNCTION("""COMPUTED_VALUE"""),59.0)</f>
        <v>59</v>
      </c>
      <c r="B21" s="51">
        <f>IFERROR(__xludf.DUMMYFUNCTION("""COMPUTED_VALUE"""),46267.0)</f>
        <v>46267</v>
      </c>
      <c r="C21" s="50" t="str">
        <f>IFERROR(__xludf.DUMMYFUNCTION("""COMPUTED_VALUE"""),"Bhajan InfraTech Pvt. Ltd.")</f>
        <v>Bhajan InfraTech Pvt. Ltd.</v>
      </c>
      <c r="D21" s="50" t="str">
        <f>IFERROR(__xludf.DUMMYFUNCTION("""COMPUTED_VALUE"""),"Dhaval Khemi (Managing Director)")</f>
        <v>Dhaval Khemi (Managing Director)</v>
      </c>
      <c r="E21" s="50" t="str">
        <f>IFERROR(__xludf.DUMMYFUNCTION("""COMPUTED_VALUE"""),"9725001300")</f>
        <v>9725001300</v>
      </c>
      <c r="F21" s="50" t="str">
        <f>IFERROR(__xludf.DUMMYFUNCTION("""COMPUTED_VALUE"""),"mail@bhajanec.com")</f>
        <v>mail@bhajanec.com</v>
      </c>
      <c r="G21" s="50" t="str">
        <f>IFERROR(__xludf.DUMMYFUNCTION("""COMPUTED_VALUE"""),"Surat / Ahmedabad")</f>
        <v>Surat / Ahmedabad</v>
      </c>
      <c r="H21" s="50" t="str">
        <f>IFERROR(__xludf.DUMMYFUNCTION("""COMPUTED_VALUE"""),"India")</f>
        <v>India</v>
      </c>
      <c r="I21" s="50" t="str">
        <f>IFERROR(__xludf.DUMMYFUNCTION("""COMPUTED_VALUE"""),"India")</f>
        <v>India</v>
      </c>
      <c r="J21" s="50" t="str">
        <f>IFERROR(__xludf.DUMMYFUNCTION("""COMPUTED_VALUE"""),"Service")</f>
        <v>Service</v>
      </c>
      <c r="K21" s="50" t="str">
        <f>IFERROR(__xludf.DUMMYFUNCTION("""COMPUTED_VALUE"""),"Other Services")</f>
        <v>Other Services</v>
      </c>
      <c r="L21" s="50" t="str">
        <f>IFERROR(__xludf.DUMMYFUNCTION("""COMPUTED_VALUE"""),"General Services")</f>
        <v>General Services</v>
      </c>
      <c r="M21" s="50"/>
      <c r="N21" s="50" t="str">
        <f>IFERROR(__xludf.DUMMYFUNCTION("""COMPUTED_VALUE"""),"Event/Expo")</f>
        <v>Event/Expo</v>
      </c>
      <c r="O21" s="50" t="str">
        <f>IFERROR(__xludf.DUMMYFUNCTION("""COMPUTED_VALUE"""),"Aastha")</f>
        <v>Aastha</v>
      </c>
      <c r="P21" s="50" t="str">
        <f>IFERROR(__xludf.DUMMYFUNCTION("""COMPUTED_VALUE"""),"Cold")</f>
        <v>Cold</v>
      </c>
      <c r="Q21" s="50" t="str">
        <f>IFERROR(__xludf.DUMMYFUNCTION("""COMPUTED_VALUE"""),"New")</f>
        <v>New</v>
      </c>
      <c r="R21" s="50" t="str">
        <f>IFERROR(__xludf.DUMMYFUNCTION("""COMPUTED_VALUE"""),"Not Started")</f>
        <v>Not Started</v>
      </c>
      <c r="S21" s="50"/>
      <c r="T21" s="50"/>
      <c r="U21" s="50" t="str">
        <f>IFERROR(__xludf.DUMMYFUNCTION("""COMPUTED_VALUE"""),"Not Scheduled")</f>
        <v>Not Scheduled</v>
      </c>
      <c r="V21" s="50"/>
      <c r="W21" s="50"/>
      <c r="X21" s="50"/>
      <c r="Y21" s="50"/>
      <c r="Z21" s="50"/>
      <c r="AA21" s="50">
        <f>IFERROR(__xludf.DUMMYFUNCTION("""COMPUTED_VALUE"""),0.0)</f>
        <v>0</v>
      </c>
      <c r="AB21" s="50"/>
      <c r="AC21" s="50"/>
      <c r="AD21" s="50"/>
    </row>
    <row r="22" ht="15.75" customHeight="1">
      <c r="A22" s="50">
        <f>IFERROR(__xludf.DUMMYFUNCTION("""COMPUTED_VALUE"""),60.0)</f>
        <v>60</v>
      </c>
      <c r="B22" s="51">
        <f>IFERROR(__xludf.DUMMYFUNCTION("""COMPUTED_VALUE"""),46267.0)</f>
        <v>46267</v>
      </c>
      <c r="C22" s="50" t="str">
        <f>IFERROR(__xludf.DUMMYFUNCTION("""COMPUTED_VALUE"""),"PAIous Advisors")</f>
        <v>PAIous Advisors</v>
      </c>
      <c r="D22" s="50" t="str">
        <f>IFERROR(__xludf.DUMMYFUNCTION("""COMPUTED_VALUE"""),"Dr. Jigar Pancholi (Patent &amp; Trademark Agent; TTO Professional)")</f>
        <v>Dr. Jigar Pancholi (Patent &amp; Trademark Agent; TTO Professional)</v>
      </c>
      <c r="E22" s="50" t="str">
        <f>IFERROR(__xludf.DUMMYFUNCTION("""COMPUTED_VALUE"""),"7030281801")</f>
        <v>7030281801</v>
      </c>
      <c r="F22" s="50" t="str">
        <f>IFERROR(__xludf.DUMMYFUNCTION("""COMPUTED_VALUE"""),"info@paious.com; drjigarpancholi81@gmail.com")</f>
        <v>info@paious.com; drjigarpancholi81@gmail.com</v>
      </c>
      <c r="G22" s="50" t="str">
        <f>IFERROR(__xludf.DUMMYFUNCTION("""COMPUTED_VALUE"""),"Ahmedabad")</f>
        <v>Ahmedabad</v>
      </c>
      <c r="H22" s="50" t="str">
        <f>IFERROR(__xludf.DUMMYFUNCTION("""COMPUTED_VALUE"""),"India")</f>
        <v>India</v>
      </c>
      <c r="I22" s="50" t="str">
        <f>IFERROR(__xludf.DUMMYFUNCTION("""COMPUTED_VALUE"""),"India")</f>
        <v>India</v>
      </c>
      <c r="J22" s="50" t="str">
        <f>IFERROR(__xludf.DUMMYFUNCTION("""COMPUTED_VALUE"""),"Service")</f>
        <v>Service</v>
      </c>
      <c r="K22" s="50" t="str">
        <f>IFERROR(__xludf.DUMMYFUNCTION("""COMPUTED_VALUE"""),"Other Services")</f>
        <v>Other Services</v>
      </c>
      <c r="L22" s="50" t="str">
        <f>IFERROR(__xludf.DUMMYFUNCTION("""COMPUTED_VALUE"""),"General Services")</f>
        <v>General Services</v>
      </c>
      <c r="M22" s="50"/>
      <c r="N22" s="50" t="str">
        <f>IFERROR(__xludf.DUMMYFUNCTION("""COMPUTED_VALUE"""),"Event/Expo")</f>
        <v>Event/Expo</v>
      </c>
      <c r="O22" s="50" t="str">
        <f>IFERROR(__xludf.DUMMYFUNCTION("""COMPUTED_VALUE"""),"Aastha")</f>
        <v>Aastha</v>
      </c>
      <c r="P22" s="50" t="str">
        <f>IFERROR(__xludf.DUMMYFUNCTION("""COMPUTED_VALUE"""),"Cold")</f>
        <v>Cold</v>
      </c>
      <c r="Q22" s="50" t="str">
        <f>IFERROR(__xludf.DUMMYFUNCTION("""COMPUTED_VALUE"""),"New")</f>
        <v>New</v>
      </c>
      <c r="R22" s="50" t="str">
        <f>IFERROR(__xludf.DUMMYFUNCTION("""COMPUTED_VALUE"""),"Not Started")</f>
        <v>Not Started</v>
      </c>
      <c r="S22" s="50"/>
      <c r="T22" s="50"/>
      <c r="U22" s="50" t="str">
        <f>IFERROR(__xludf.DUMMYFUNCTION("""COMPUTED_VALUE"""),"Not Scheduled")</f>
        <v>Not Scheduled</v>
      </c>
      <c r="V22" s="50"/>
      <c r="W22" s="50"/>
      <c r="X22" s="50"/>
      <c r="Y22" s="50"/>
      <c r="Z22" s="50"/>
      <c r="AA22" s="50">
        <f>IFERROR(__xludf.DUMMYFUNCTION("""COMPUTED_VALUE"""),0.0)</f>
        <v>0</v>
      </c>
      <c r="AB22" s="50"/>
      <c r="AC22" s="50"/>
      <c r="AD22" s="50"/>
    </row>
    <row r="23" ht="15.75" customHeight="1">
      <c r="A23" s="50">
        <f>IFERROR(__xludf.DUMMYFUNCTION("""COMPUTED_VALUE"""),69.0)</f>
        <v>69</v>
      </c>
      <c r="B23" s="51">
        <f>IFERROR(__xludf.DUMMYFUNCTION("""COMPUTED_VALUE"""),46267.0)</f>
        <v>46267</v>
      </c>
      <c r="C23" s="50" t="str">
        <f>IFERROR(__xludf.DUMMYFUNCTION("""COMPUTED_VALUE"""),"MindQuad")</f>
        <v>MindQuad</v>
      </c>
      <c r="D23" s="50" t="str">
        <f>IFERROR(__xludf.DUMMYFUNCTION("""COMPUTED_VALUE"""),"Manthan Parmar (Client Success Specialist)")</f>
        <v>Manthan Parmar (Client Success Specialist)</v>
      </c>
      <c r="E23" s="50" t="str">
        <f>IFERROR(__xludf.DUMMYFUNCTION("""COMPUTED_VALUE"""),"9213015680")</f>
        <v>9213015680</v>
      </c>
      <c r="F23" s="50" t="str">
        <f>IFERROR(__xludf.DUMMYFUNCTION("""COMPUTED_VALUE"""),"manthan.p@mindquad.com")</f>
        <v>manthan.p@mindquad.com</v>
      </c>
      <c r="G23" s="50" t="str">
        <f>IFERROR(__xludf.DUMMYFUNCTION("""COMPUTED_VALUE"""),"Ahmedabad")</f>
        <v>Ahmedabad</v>
      </c>
      <c r="H23" s="50" t="str">
        <f>IFERROR(__xludf.DUMMYFUNCTION("""COMPUTED_VALUE"""),"India")</f>
        <v>India</v>
      </c>
      <c r="I23" s="50" t="str">
        <f>IFERROR(__xludf.DUMMYFUNCTION("""COMPUTED_VALUE"""),"India")</f>
        <v>India</v>
      </c>
      <c r="J23" s="50" t="str">
        <f>IFERROR(__xludf.DUMMYFUNCTION("""COMPUTED_VALUE"""),"Service")</f>
        <v>Service</v>
      </c>
      <c r="K23" s="50" t="str">
        <f>IFERROR(__xludf.DUMMYFUNCTION("""COMPUTED_VALUE"""),"Other Services")</f>
        <v>Other Services</v>
      </c>
      <c r="L23" s="50" t="str">
        <f>IFERROR(__xludf.DUMMYFUNCTION("""COMPUTED_VALUE"""),"General Services")</f>
        <v>General Services</v>
      </c>
      <c r="M23" s="50"/>
      <c r="N23" s="50" t="str">
        <f>IFERROR(__xludf.DUMMYFUNCTION("""COMPUTED_VALUE"""),"Event/Expo")</f>
        <v>Event/Expo</v>
      </c>
      <c r="O23" s="50" t="str">
        <f>IFERROR(__xludf.DUMMYFUNCTION("""COMPUTED_VALUE"""),"Aastha")</f>
        <v>Aastha</v>
      </c>
      <c r="P23" s="50" t="str">
        <f>IFERROR(__xludf.DUMMYFUNCTION("""COMPUTED_VALUE"""),"Hot")</f>
        <v>Hot</v>
      </c>
      <c r="Q23" s="50" t="str">
        <f>IFERROR(__xludf.DUMMYFUNCTION("""COMPUTED_VALUE"""),"Closed")</f>
        <v>Closed</v>
      </c>
      <c r="R23" s="50" t="str">
        <f>IFERROR(__xludf.DUMMYFUNCTION("""COMPUTED_VALUE"""),"Not Started")</f>
        <v>Not Started</v>
      </c>
      <c r="S23" s="50"/>
      <c r="T23" s="50"/>
      <c r="U23" s="50" t="str">
        <f>IFERROR(__xludf.DUMMYFUNCTION("""COMPUTED_VALUE"""),"Completed")</f>
        <v>Completed</v>
      </c>
      <c r="V23" s="50"/>
      <c r="W23" s="50"/>
      <c r="X23" s="50"/>
      <c r="Y23" s="50"/>
      <c r="Z23" s="50"/>
      <c r="AA23" s="50">
        <f>IFERROR(__xludf.DUMMYFUNCTION("""COMPUTED_VALUE"""),0.0)</f>
        <v>0</v>
      </c>
      <c r="AB23" s="50"/>
      <c r="AC23" s="50"/>
      <c r="AD23" s="50"/>
    </row>
    <row r="24" ht="15.75" customHeight="1">
      <c r="A24" s="50">
        <f>IFERROR(__xludf.DUMMYFUNCTION("""COMPUTED_VALUE"""),81.0)</f>
        <v>81</v>
      </c>
      <c r="B24" s="51">
        <f>IFERROR(__xludf.DUMMYFUNCTION("""COMPUTED_VALUE"""),46267.0)</f>
        <v>46267</v>
      </c>
      <c r="C24" s="50" t="str">
        <f>IFERROR(__xludf.DUMMYFUNCTION("""COMPUTED_VALUE"""),"MICRAH / Miorah")</f>
        <v>MICRAH / Miorah</v>
      </c>
      <c r="D24" s="50" t="str">
        <f>IFERROR(__xludf.DUMMYFUNCTION("""COMPUTED_VALUE"""),"Jigneshkumar G. Malakiya")</f>
        <v>Jigneshkumar G. Malakiya</v>
      </c>
      <c r="E24" s="50" t="str">
        <f>IFERROR(__xludf.DUMMYFUNCTION("""COMPUTED_VALUE"""),"7046197999; 9428081191")</f>
        <v>7046197999; 9428081191</v>
      </c>
      <c r="F24" s="50" t="str">
        <f>IFERROR(__xludf.DUMMYFUNCTION("""COMPUTED_VALUE"""),"malakiyajignesh@miorah.biz")</f>
        <v>malakiyajignesh@miorah.biz</v>
      </c>
      <c r="G24" s="50"/>
      <c r="H24" s="50" t="str">
        <f>IFERROR(__xludf.DUMMYFUNCTION("""COMPUTED_VALUE"""),"India")</f>
        <v>India</v>
      </c>
      <c r="I24" s="50" t="str">
        <f>IFERROR(__xludf.DUMMYFUNCTION("""COMPUTED_VALUE"""),"India")</f>
        <v>India</v>
      </c>
      <c r="J24" s="50" t="str">
        <f>IFERROR(__xludf.DUMMYFUNCTION("""COMPUTED_VALUE"""),"Service")</f>
        <v>Service</v>
      </c>
      <c r="K24" s="50" t="str">
        <f>IFERROR(__xludf.DUMMYFUNCTION("""COMPUTED_VALUE"""),"Other Services")</f>
        <v>Other Services</v>
      </c>
      <c r="L24" s="50" t="str">
        <f>IFERROR(__xludf.DUMMYFUNCTION("""COMPUTED_VALUE"""),"General Services")</f>
        <v>General Services</v>
      </c>
      <c r="M24" s="50"/>
      <c r="N24" s="50" t="str">
        <f>IFERROR(__xludf.DUMMYFUNCTION("""COMPUTED_VALUE"""),"Event/Expo")</f>
        <v>Event/Expo</v>
      </c>
      <c r="O24" s="50" t="str">
        <f>IFERROR(__xludf.DUMMYFUNCTION("""COMPUTED_VALUE"""),"Aastha")</f>
        <v>Aastha</v>
      </c>
      <c r="P24" s="50" t="str">
        <f>IFERROR(__xludf.DUMMYFUNCTION("""COMPUTED_VALUE"""),"Cold")</f>
        <v>Cold</v>
      </c>
      <c r="Q24" s="50" t="str">
        <f>IFERROR(__xludf.DUMMYFUNCTION("""COMPUTED_VALUE"""),"New")</f>
        <v>New</v>
      </c>
      <c r="R24" s="50" t="str">
        <f>IFERROR(__xludf.DUMMYFUNCTION("""COMPUTED_VALUE"""),"Not Started")</f>
        <v>Not Started</v>
      </c>
      <c r="S24" s="50"/>
      <c r="T24" s="50"/>
      <c r="U24" s="50" t="str">
        <f>IFERROR(__xludf.DUMMYFUNCTION("""COMPUTED_VALUE"""),"Not Scheduled")</f>
        <v>Not Scheduled</v>
      </c>
      <c r="V24" s="50"/>
      <c r="W24" s="50"/>
      <c r="X24" s="50"/>
      <c r="Y24" s="50"/>
      <c r="Z24" s="50"/>
      <c r="AA24" s="50">
        <f>IFERROR(__xludf.DUMMYFUNCTION("""COMPUTED_VALUE"""),0.0)</f>
        <v>0</v>
      </c>
      <c r="AB24" s="50"/>
      <c r="AC24" s="50"/>
      <c r="AD24" s="50"/>
    </row>
    <row r="25" ht="15.75" customHeight="1">
      <c r="A25" s="50">
        <f>IFERROR(__xludf.DUMMYFUNCTION("""COMPUTED_VALUE"""),82.0)</f>
        <v>82</v>
      </c>
      <c r="B25" s="51">
        <f>IFERROR(__xludf.DUMMYFUNCTION("""COMPUTED_VALUE"""),46267.0)</f>
        <v>46267</v>
      </c>
      <c r="C25" s="50" t="str">
        <f>IFERROR(__xludf.DUMMYFUNCTION("""COMPUTED_VALUE"""),"Connote Healthcare Pvt. Ltd. / Connote Group of Companies")</f>
        <v>Connote Healthcare Pvt. Ltd. / Connote Group of Companies</v>
      </c>
      <c r="D25" s="50" t="str">
        <f>IFERROR(__xludf.DUMMYFUNCTION("""COMPUTED_VALUE"""),"Shreyansh Prajapati (Sr. Executive - Regulatory Affairs)")</f>
        <v>Shreyansh Prajapati (Sr. Executive - Regulatory Affairs)</v>
      </c>
      <c r="E25" s="50" t="str">
        <f>IFERROR(__xludf.DUMMYFUNCTION("""COMPUTED_VALUE"""),"6358190882")</f>
        <v>6358190882</v>
      </c>
      <c r="F25" s="50" t="str">
        <f>IFERROR(__xludf.DUMMYFUNCTION("""COMPUTED_VALUE"""),"RA@Connotehealthcare.com")</f>
        <v>RA@Connotehealthcare.com</v>
      </c>
      <c r="G25" s="50" t="str">
        <f>IFERROR(__xludf.DUMMYFUNCTION("""COMPUTED_VALUE"""),"Ahmedabad")</f>
        <v>Ahmedabad</v>
      </c>
      <c r="H25" s="50" t="str">
        <f>IFERROR(__xludf.DUMMYFUNCTION("""COMPUTED_VALUE"""),"India")</f>
        <v>India</v>
      </c>
      <c r="I25" s="50" t="str">
        <f>IFERROR(__xludf.DUMMYFUNCTION("""COMPUTED_VALUE"""),"India")</f>
        <v>India</v>
      </c>
      <c r="J25" s="50" t="str">
        <f>IFERROR(__xludf.DUMMYFUNCTION("""COMPUTED_VALUE"""),"Service")</f>
        <v>Service</v>
      </c>
      <c r="K25" s="50" t="str">
        <f>IFERROR(__xludf.DUMMYFUNCTION("""COMPUTED_VALUE"""),"Other Services")</f>
        <v>Other Services</v>
      </c>
      <c r="L25" s="50" t="str">
        <f>IFERROR(__xludf.DUMMYFUNCTION("""COMPUTED_VALUE"""),"Pharma")</f>
        <v>Pharma</v>
      </c>
      <c r="M25" s="50"/>
      <c r="N25" s="50" t="str">
        <f>IFERROR(__xludf.DUMMYFUNCTION("""COMPUTED_VALUE"""),"Event/Expo")</f>
        <v>Event/Expo</v>
      </c>
      <c r="O25" s="50" t="str">
        <f>IFERROR(__xludf.DUMMYFUNCTION("""COMPUTED_VALUE"""),"Aastha")</f>
        <v>Aastha</v>
      </c>
      <c r="P25" s="50" t="str">
        <f>IFERROR(__xludf.DUMMYFUNCTION("""COMPUTED_VALUE"""),"Hot")</f>
        <v>Hot</v>
      </c>
      <c r="Q25" s="50" t="str">
        <f>IFERROR(__xludf.DUMMYFUNCTION("""COMPUTED_VALUE"""),"Qualified")</f>
        <v>Qualified</v>
      </c>
      <c r="R25" s="50" t="str">
        <f>IFERROR(__xludf.DUMMYFUNCTION("""COMPUTED_VALUE"""),"Follow-Up Complete")</f>
        <v>Follow-Up Complete</v>
      </c>
      <c r="S25" s="50"/>
      <c r="T25" s="50"/>
      <c r="U25" s="50" t="str">
        <f>IFERROR(__xludf.DUMMYFUNCTION("""COMPUTED_VALUE"""),"Completed")</f>
        <v>Completed</v>
      </c>
      <c r="V25" s="50"/>
      <c r="W25" s="50"/>
      <c r="X25" s="50"/>
      <c r="Y25" s="50"/>
      <c r="Z25" s="50"/>
      <c r="AA25" s="50">
        <f>IFERROR(__xludf.DUMMYFUNCTION("""COMPUTED_VALUE"""),0.0)</f>
        <v>0</v>
      </c>
      <c r="AB25" s="50"/>
      <c r="AC25" s="50"/>
      <c r="AD25" s="50"/>
    </row>
    <row r="26" ht="15.75" customHeight="1">
      <c r="A26" s="50">
        <f>IFERROR(__xludf.DUMMYFUNCTION("""COMPUTED_VALUE"""),83.0)</f>
        <v>83</v>
      </c>
      <c r="B26" s="51">
        <f>IFERROR(__xludf.DUMMYFUNCTION("""COMPUTED_VALUE"""),46267.0)</f>
        <v>46267</v>
      </c>
      <c r="C26" s="50" t="str">
        <f>IFERROR(__xludf.DUMMYFUNCTION("""COMPUTED_VALUE"""),"Apexa Bhatt &amp; Co.")</f>
        <v>Apexa Bhatt &amp; Co.</v>
      </c>
      <c r="D26" s="50" t="str">
        <f>IFERROR(__xludf.DUMMYFUNCTION("""COMPUTED_VALUE"""),"CA Apexa Bhatt (Proprietor)")</f>
        <v>CA Apexa Bhatt (Proprietor)</v>
      </c>
      <c r="E26" s="50" t="str">
        <f>IFERROR(__xludf.DUMMYFUNCTION("""COMPUTED_VALUE"""),"9664708788")</f>
        <v>9664708788</v>
      </c>
      <c r="F26" s="50" t="str">
        <f>IFERROR(__xludf.DUMMYFUNCTION("""COMPUTED_VALUE"""),"caapexabhatt@gmail.com")</f>
        <v>caapexabhatt@gmail.com</v>
      </c>
      <c r="G26" s="50"/>
      <c r="H26" s="50" t="str">
        <f>IFERROR(__xludf.DUMMYFUNCTION("""COMPUTED_VALUE"""),"India")</f>
        <v>India</v>
      </c>
      <c r="I26" s="50" t="str">
        <f>IFERROR(__xludf.DUMMYFUNCTION("""COMPUTED_VALUE"""),"India")</f>
        <v>India</v>
      </c>
      <c r="J26" s="50" t="str">
        <f>IFERROR(__xludf.DUMMYFUNCTION("""COMPUTED_VALUE"""),"Service")</f>
        <v>Service</v>
      </c>
      <c r="K26" s="50" t="str">
        <f>IFERROR(__xludf.DUMMYFUNCTION("""COMPUTED_VALUE"""),"Other Services")</f>
        <v>Other Services</v>
      </c>
      <c r="L26" s="50" t="str">
        <f>IFERROR(__xludf.DUMMYFUNCTION("""COMPUTED_VALUE"""),"General Services")</f>
        <v>General Services</v>
      </c>
      <c r="M26" s="50"/>
      <c r="N26" s="50" t="str">
        <f>IFERROR(__xludf.DUMMYFUNCTION("""COMPUTED_VALUE"""),"Event/Expo")</f>
        <v>Event/Expo</v>
      </c>
      <c r="O26" s="50" t="str">
        <f>IFERROR(__xludf.DUMMYFUNCTION("""COMPUTED_VALUE"""),"Aastha")</f>
        <v>Aastha</v>
      </c>
      <c r="P26" s="50" t="str">
        <f>IFERROR(__xludf.DUMMYFUNCTION("""COMPUTED_VALUE"""),"Cold")</f>
        <v>Cold</v>
      </c>
      <c r="Q26" s="50" t="str">
        <f>IFERROR(__xludf.DUMMYFUNCTION("""COMPUTED_VALUE"""),"New")</f>
        <v>New</v>
      </c>
      <c r="R26" s="50" t="str">
        <f>IFERROR(__xludf.DUMMYFUNCTION("""COMPUTED_VALUE"""),"Not Started")</f>
        <v>Not Started</v>
      </c>
      <c r="S26" s="50"/>
      <c r="T26" s="50"/>
      <c r="U26" s="50" t="str">
        <f>IFERROR(__xludf.DUMMYFUNCTION("""COMPUTED_VALUE"""),"Not Scheduled")</f>
        <v>Not Scheduled</v>
      </c>
      <c r="V26" s="50"/>
      <c r="W26" s="50"/>
      <c r="X26" s="50"/>
      <c r="Y26" s="50"/>
      <c r="Z26" s="50"/>
      <c r="AA26" s="50">
        <f>IFERROR(__xludf.DUMMYFUNCTION("""COMPUTED_VALUE"""),0.0)</f>
        <v>0</v>
      </c>
      <c r="AB26" s="50"/>
      <c r="AC26" s="50"/>
      <c r="AD26" s="50"/>
    </row>
    <row r="27" ht="15.75" customHeight="1">
      <c r="A27" s="50">
        <f>IFERROR(__xludf.DUMMYFUNCTION("""COMPUTED_VALUE"""),85.0)</f>
        <v>85</v>
      </c>
      <c r="B27" s="51">
        <f>IFERROR(__xludf.DUMMYFUNCTION("""COMPUTED_VALUE"""),46267.0)</f>
        <v>46267</v>
      </c>
      <c r="C27" s="50" t="str">
        <f>IFERROR(__xludf.DUMMYFUNCTION("""COMPUTED_VALUE"""),"Zyanorix Cyber Defeat Private Limited")</f>
        <v>Zyanorix Cyber Defeat Private Limited</v>
      </c>
      <c r="D27" s="50" t="str">
        <f>IFERROR(__xludf.DUMMYFUNCTION("""COMPUTED_VALUE"""),"Mukesh Leuva")</f>
        <v>Mukesh Leuva</v>
      </c>
      <c r="E27" s="50" t="str">
        <f>IFERROR(__xludf.DUMMYFUNCTION("""COMPUTED_VALUE"""),"9898450170")</f>
        <v>9898450170</v>
      </c>
      <c r="F27" s="50" t="str">
        <f>IFERROR(__xludf.DUMMYFUNCTION("""COMPUTED_VALUE"""),"mukesh.leuva@zyanorixcyberdefeat.com")</f>
        <v>mukesh.leuva@zyanorixcyberdefeat.com</v>
      </c>
      <c r="G27" s="50" t="str">
        <f>IFERROR(__xludf.DUMMYFUNCTION("""COMPUTED_VALUE"""),"Gandhinagar")</f>
        <v>Gandhinagar</v>
      </c>
      <c r="H27" s="50" t="str">
        <f>IFERROR(__xludf.DUMMYFUNCTION("""COMPUTED_VALUE"""),"India")</f>
        <v>India</v>
      </c>
      <c r="I27" s="50" t="str">
        <f>IFERROR(__xludf.DUMMYFUNCTION("""COMPUTED_VALUE"""),"India")</f>
        <v>India</v>
      </c>
      <c r="J27" s="50" t="str">
        <f>IFERROR(__xludf.DUMMYFUNCTION("""COMPUTED_VALUE"""),"Service")</f>
        <v>Service</v>
      </c>
      <c r="K27" s="50" t="str">
        <f>IFERROR(__xludf.DUMMYFUNCTION("""COMPUTED_VALUE"""),"Other Services")</f>
        <v>Other Services</v>
      </c>
      <c r="L27" s="50" t="str">
        <f>IFERROR(__xludf.DUMMYFUNCTION("""COMPUTED_VALUE"""),"General Services")</f>
        <v>General Services</v>
      </c>
      <c r="M27" s="50"/>
      <c r="N27" s="50" t="str">
        <f>IFERROR(__xludf.DUMMYFUNCTION("""COMPUTED_VALUE"""),"Event/Expo")</f>
        <v>Event/Expo</v>
      </c>
      <c r="O27" s="50" t="str">
        <f>IFERROR(__xludf.DUMMYFUNCTION("""COMPUTED_VALUE"""),"Aastha")</f>
        <v>Aastha</v>
      </c>
      <c r="P27" s="50" t="str">
        <f>IFERROR(__xludf.DUMMYFUNCTION("""COMPUTED_VALUE"""),"Cold")</f>
        <v>Cold</v>
      </c>
      <c r="Q27" s="50" t="str">
        <f>IFERROR(__xludf.DUMMYFUNCTION("""COMPUTED_VALUE"""),"New")</f>
        <v>New</v>
      </c>
      <c r="R27" s="50" t="str">
        <f>IFERROR(__xludf.DUMMYFUNCTION("""COMPUTED_VALUE"""),"Not Started")</f>
        <v>Not Started</v>
      </c>
      <c r="S27" s="50"/>
      <c r="T27" s="50"/>
      <c r="U27" s="50" t="str">
        <f>IFERROR(__xludf.DUMMYFUNCTION("""COMPUTED_VALUE"""),"Not Scheduled")</f>
        <v>Not Scheduled</v>
      </c>
      <c r="V27" s="50"/>
      <c r="W27" s="50"/>
      <c r="X27" s="50"/>
      <c r="Y27" s="50"/>
      <c r="Z27" s="50"/>
      <c r="AA27" s="50">
        <f>IFERROR(__xludf.DUMMYFUNCTION("""COMPUTED_VALUE"""),0.0)</f>
        <v>0</v>
      </c>
      <c r="AB27" s="50"/>
      <c r="AC27" s="50"/>
      <c r="AD27" s="50"/>
    </row>
    <row r="28" ht="15.75" customHeight="1">
      <c r="A28" s="50">
        <f>IFERROR(__xludf.DUMMYFUNCTION("""COMPUTED_VALUE"""),88.0)</f>
        <v>88</v>
      </c>
      <c r="B28" s="51">
        <f>IFERROR(__xludf.DUMMYFUNCTION("""COMPUTED_VALUE"""),46267.0)</f>
        <v>46267</v>
      </c>
      <c r="C28" s="50" t="str">
        <f>IFERROR(__xludf.DUMMYFUNCTION("""COMPUTED_VALUE"""),"Grok Learning Pvt. Ltd.")</f>
        <v>Grok Learning Pvt. Ltd.</v>
      </c>
      <c r="D28" s="50" t="str">
        <f>IFERROR(__xludf.DUMMYFUNCTION("""COMPUTED_VALUE"""),"Ameet G. Parikh (Strategic Advisor)")</f>
        <v>Ameet G. Parikh (Strategic Advisor)</v>
      </c>
      <c r="E28" s="50" t="str">
        <f>IFERROR(__xludf.DUMMYFUNCTION("""COMPUTED_VALUE"""),"98250 12301")</f>
        <v>98250 12301</v>
      </c>
      <c r="F28" s="50" t="str">
        <f>IFERROR(__xludf.DUMMYFUNCTION("""COMPUTED_VALUE"""),"ameet.parikh@grokstem.com")</f>
        <v>ameet.parikh@grokstem.com</v>
      </c>
      <c r="G28" s="50" t="str">
        <f>IFERROR(__xludf.DUMMYFUNCTION("""COMPUTED_VALUE"""),"Mumbai")</f>
        <v>Mumbai</v>
      </c>
      <c r="H28" s="50" t="str">
        <f>IFERROR(__xludf.DUMMYFUNCTION("""COMPUTED_VALUE"""),"India")</f>
        <v>India</v>
      </c>
      <c r="I28" s="50" t="str">
        <f>IFERROR(__xludf.DUMMYFUNCTION("""COMPUTED_VALUE"""),"India")</f>
        <v>India</v>
      </c>
      <c r="J28" s="50" t="str">
        <f>IFERROR(__xludf.DUMMYFUNCTION("""COMPUTED_VALUE"""),"Service")</f>
        <v>Service</v>
      </c>
      <c r="K28" s="50" t="str">
        <f>IFERROR(__xludf.DUMMYFUNCTION("""COMPUTED_VALUE"""),"Other Services")</f>
        <v>Other Services</v>
      </c>
      <c r="L28" s="50" t="str">
        <f>IFERROR(__xludf.DUMMYFUNCTION("""COMPUTED_VALUE"""),"General Services")</f>
        <v>General Services</v>
      </c>
      <c r="M28" s="50"/>
      <c r="N28" s="50" t="str">
        <f>IFERROR(__xludf.DUMMYFUNCTION("""COMPUTED_VALUE"""),"Event/Expo")</f>
        <v>Event/Expo</v>
      </c>
      <c r="O28" s="50" t="str">
        <f>IFERROR(__xludf.DUMMYFUNCTION("""COMPUTED_VALUE"""),"Aastha")</f>
        <v>Aastha</v>
      </c>
      <c r="P28" s="50" t="str">
        <f>IFERROR(__xludf.DUMMYFUNCTION("""COMPUTED_VALUE"""),"Cold")</f>
        <v>Cold</v>
      </c>
      <c r="Q28" s="50" t="str">
        <f>IFERROR(__xludf.DUMMYFUNCTION("""COMPUTED_VALUE"""),"New")</f>
        <v>New</v>
      </c>
      <c r="R28" s="50" t="str">
        <f>IFERROR(__xludf.DUMMYFUNCTION("""COMPUTED_VALUE"""),"Not Started")</f>
        <v>Not Started</v>
      </c>
      <c r="S28" s="50"/>
      <c r="T28" s="50"/>
      <c r="U28" s="50" t="str">
        <f>IFERROR(__xludf.DUMMYFUNCTION("""COMPUTED_VALUE"""),"Not Scheduled")</f>
        <v>Not Scheduled</v>
      </c>
      <c r="V28" s="50"/>
      <c r="W28" s="50"/>
      <c r="X28" s="50"/>
      <c r="Y28" s="50"/>
      <c r="Z28" s="50"/>
      <c r="AA28" s="50">
        <f>IFERROR(__xludf.DUMMYFUNCTION("""COMPUTED_VALUE"""),0.0)</f>
        <v>0</v>
      </c>
      <c r="AB28" s="50"/>
      <c r="AC28" s="50"/>
      <c r="AD28" s="50"/>
    </row>
    <row r="29" ht="15.75" customHeight="1">
      <c r="A29" s="50">
        <f>IFERROR(__xludf.DUMMYFUNCTION("""COMPUTED_VALUE"""),89.0)</f>
        <v>89</v>
      </c>
      <c r="B29" s="51">
        <f>IFERROR(__xludf.DUMMYFUNCTION("""COMPUTED_VALUE"""),46267.0)</f>
        <v>46267</v>
      </c>
      <c r="C29" s="50" t="str">
        <f>IFERROR(__xludf.DUMMYFUNCTION("""COMPUTED_VALUE"""),"SEVEN DOT")</f>
        <v>SEVEN DOT</v>
      </c>
      <c r="D29" s="50" t="str">
        <f>IFERROR(__xludf.DUMMYFUNCTION("""COMPUTED_VALUE"""),"Sunny Jani (Founder)")</f>
        <v>Sunny Jani (Founder)</v>
      </c>
      <c r="E29" s="50" t="str">
        <f>IFERROR(__xludf.DUMMYFUNCTION("""COMPUTED_VALUE"""),"9913271211; 9324571211")</f>
        <v>9913271211; 9324571211</v>
      </c>
      <c r="F29" s="50" t="str">
        <f>IFERROR(__xludf.DUMMYFUNCTION("""COMPUTED_VALUE"""),"sunny@sevendotproductions.com")</f>
        <v>sunny@sevendotproductions.com</v>
      </c>
      <c r="G29" s="50" t="str">
        <f>IFERROR(__xludf.DUMMYFUNCTION("""COMPUTED_VALUE"""),"Ahmedabad")</f>
        <v>Ahmedabad</v>
      </c>
      <c r="H29" s="50" t="str">
        <f>IFERROR(__xludf.DUMMYFUNCTION("""COMPUTED_VALUE"""),"India")</f>
        <v>India</v>
      </c>
      <c r="I29" s="50" t="str">
        <f>IFERROR(__xludf.DUMMYFUNCTION("""COMPUTED_VALUE"""),"India")</f>
        <v>India</v>
      </c>
      <c r="J29" s="50" t="str">
        <f>IFERROR(__xludf.DUMMYFUNCTION("""COMPUTED_VALUE"""),"Service")</f>
        <v>Service</v>
      </c>
      <c r="K29" s="50" t="str">
        <f>IFERROR(__xludf.DUMMYFUNCTION("""COMPUTED_VALUE"""),"Other Services")</f>
        <v>Other Services</v>
      </c>
      <c r="L29" s="50" t="str">
        <f>IFERROR(__xludf.DUMMYFUNCTION("""COMPUTED_VALUE"""),"General Services")</f>
        <v>General Services</v>
      </c>
      <c r="M29" s="50"/>
      <c r="N29" s="50" t="str">
        <f>IFERROR(__xludf.DUMMYFUNCTION("""COMPUTED_VALUE"""),"Event/Expo")</f>
        <v>Event/Expo</v>
      </c>
      <c r="O29" s="50" t="str">
        <f>IFERROR(__xludf.DUMMYFUNCTION("""COMPUTED_VALUE"""),"Aastha")</f>
        <v>Aastha</v>
      </c>
      <c r="P29" s="50" t="str">
        <f>IFERROR(__xludf.DUMMYFUNCTION("""COMPUTED_VALUE"""),"Cold")</f>
        <v>Cold</v>
      </c>
      <c r="Q29" s="50" t="str">
        <f>IFERROR(__xludf.DUMMYFUNCTION("""COMPUTED_VALUE"""),"New")</f>
        <v>New</v>
      </c>
      <c r="R29" s="50" t="str">
        <f>IFERROR(__xludf.DUMMYFUNCTION("""COMPUTED_VALUE"""),"Not Started")</f>
        <v>Not Started</v>
      </c>
      <c r="S29" s="50"/>
      <c r="T29" s="50"/>
      <c r="U29" s="50" t="str">
        <f>IFERROR(__xludf.DUMMYFUNCTION("""COMPUTED_VALUE"""),"Not Scheduled")</f>
        <v>Not Scheduled</v>
      </c>
      <c r="V29" s="50"/>
      <c r="W29" s="50"/>
      <c r="X29" s="50"/>
      <c r="Y29" s="50"/>
      <c r="Z29" s="50"/>
      <c r="AA29" s="50">
        <f>IFERROR(__xludf.DUMMYFUNCTION("""COMPUTED_VALUE"""),0.0)</f>
        <v>0</v>
      </c>
      <c r="AB29" s="50"/>
      <c r="AC29" s="50"/>
      <c r="AD29" s="50"/>
    </row>
    <row r="30" ht="15.75" customHeight="1">
      <c r="A30" s="50">
        <f>IFERROR(__xludf.DUMMYFUNCTION("""COMPUTED_VALUE"""),91.0)</f>
        <v>91</v>
      </c>
      <c r="B30" s="51">
        <f>IFERROR(__xludf.DUMMYFUNCTION("""COMPUTED_VALUE"""),46267.0)</f>
        <v>46267</v>
      </c>
      <c r="C30" s="50" t="str">
        <f>IFERROR(__xludf.DUMMYFUNCTION("""COMPUTED_VALUE"""),"Thinkwik Technology Private Limited")</f>
        <v>Thinkwik Technology Private Limited</v>
      </c>
      <c r="D30" s="50" t="str">
        <f>IFERROR(__xludf.DUMMYFUNCTION("""COMPUTED_VALUE"""),"Kalyan Acharya (Director, Global Sales)")</f>
        <v>Kalyan Acharya (Director, Global Sales)</v>
      </c>
      <c r="E30" s="50" t="str">
        <f>IFERROR(__xludf.DUMMYFUNCTION("""COMPUTED_VALUE"""),"9909847950")</f>
        <v>9909847950</v>
      </c>
      <c r="F30" s="50" t="str">
        <f>IFERROR(__xludf.DUMMYFUNCTION("""COMPUTED_VALUE"""),"kalyan@thinkwik.com")</f>
        <v>kalyan@thinkwik.com</v>
      </c>
      <c r="G30" s="50" t="str">
        <f>IFERROR(__xludf.DUMMYFUNCTION("""COMPUTED_VALUE"""),"Ahmedabad")</f>
        <v>Ahmedabad</v>
      </c>
      <c r="H30" s="50" t="str">
        <f>IFERROR(__xludf.DUMMYFUNCTION("""COMPUTED_VALUE"""),"India")</f>
        <v>India</v>
      </c>
      <c r="I30" s="50" t="str">
        <f>IFERROR(__xludf.DUMMYFUNCTION("""COMPUTED_VALUE"""),"India")</f>
        <v>India</v>
      </c>
      <c r="J30" s="50" t="str">
        <f>IFERROR(__xludf.DUMMYFUNCTION("""COMPUTED_VALUE"""),"Service")</f>
        <v>Service</v>
      </c>
      <c r="K30" s="50" t="str">
        <f>IFERROR(__xludf.DUMMYFUNCTION("""COMPUTED_VALUE"""),"Other Services")</f>
        <v>Other Services</v>
      </c>
      <c r="L30" s="50" t="str">
        <f>IFERROR(__xludf.DUMMYFUNCTION("""COMPUTED_VALUE"""),"Pharma")</f>
        <v>Pharma</v>
      </c>
      <c r="M30" s="50"/>
      <c r="N30" s="50" t="str">
        <f>IFERROR(__xludf.DUMMYFUNCTION("""COMPUTED_VALUE"""),"Event/Expo")</f>
        <v>Event/Expo</v>
      </c>
      <c r="O30" s="50" t="str">
        <f>IFERROR(__xludf.DUMMYFUNCTION("""COMPUTED_VALUE"""),"Aastha")</f>
        <v>Aastha</v>
      </c>
      <c r="P30" s="50" t="str">
        <f>IFERROR(__xludf.DUMMYFUNCTION("""COMPUTED_VALUE"""),"Cold")</f>
        <v>Cold</v>
      </c>
      <c r="Q30" s="50" t="str">
        <f>IFERROR(__xludf.DUMMYFUNCTION("""COMPUTED_VALUE"""),"New")</f>
        <v>New</v>
      </c>
      <c r="R30" s="50" t="str">
        <f>IFERROR(__xludf.DUMMYFUNCTION("""COMPUTED_VALUE"""),"Not Started")</f>
        <v>Not Started</v>
      </c>
      <c r="S30" s="50"/>
      <c r="T30" s="50"/>
      <c r="U30" s="50" t="str">
        <f>IFERROR(__xludf.DUMMYFUNCTION("""COMPUTED_VALUE"""),"Not Scheduled")</f>
        <v>Not Scheduled</v>
      </c>
      <c r="V30" s="50"/>
      <c r="W30" s="50"/>
      <c r="X30" s="50"/>
      <c r="Y30" s="50"/>
      <c r="Z30" s="50"/>
      <c r="AA30" s="50">
        <f>IFERROR(__xludf.DUMMYFUNCTION("""COMPUTED_VALUE"""),0.0)</f>
        <v>0</v>
      </c>
      <c r="AB30" s="50"/>
      <c r="AC30" s="50"/>
      <c r="AD30" s="50"/>
    </row>
    <row r="31" ht="15.75" customHeight="1">
      <c r="A31" s="50">
        <f>IFERROR(__xludf.DUMMYFUNCTION("""COMPUTED_VALUE"""),97.0)</f>
        <v>97</v>
      </c>
      <c r="B31" s="51">
        <f>IFERROR(__xludf.DUMMYFUNCTION("""COMPUTED_VALUE"""),46272.0)</f>
        <v>46272</v>
      </c>
      <c r="C31" s="50" t="str">
        <f>IFERROR(__xludf.DUMMYFUNCTION("""COMPUTED_VALUE"""),"Swastik Financial")</f>
        <v>Swastik Financial</v>
      </c>
      <c r="D31" s="50" t="str">
        <f>IFERROR(__xludf.DUMMYFUNCTION("""COMPUTED_VALUE"""),"Darshan Salot ")</f>
        <v>Darshan Salot </v>
      </c>
      <c r="E31" s="50" t="str">
        <f>IFERROR(__xludf.DUMMYFUNCTION("""COMPUTED_VALUE"""),"9099056070")</f>
        <v>9099056070</v>
      </c>
      <c r="F31" s="50"/>
      <c r="G31" s="50" t="str">
        <f>IFERROR(__xludf.DUMMYFUNCTION("""COMPUTED_VALUE"""),"Ahmedabad")</f>
        <v>Ahmedabad</v>
      </c>
      <c r="H31" s="50" t="str">
        <f>IFERROR(__xludf.DUMMYFUNCTION("""COMPUTED_VALUE"""),"India")</f>
        <v>India</v>
      </c>
      <c r="I31" s="50" t="str">
        <f>IFERROR(__xludf.DUMMYFUNCTION("""COMPUTED_VALUE"""),"India")</f>
        <v>India</v>
      </c>
      <c r="J31" s="50" t="str">
        <f>IFERROR(__xludf.DUMMYFUNCTION("""COMPUTED_VALUE"""),"Service")</f>
        <v>Service</v>
      </c>
      <c r="K31" s="50" t="str">
        <f>IFERROR(__xludf.DUMMYFUNCTION("""COMPUTED_VALUE"""),"Other Services")</f>
        <v>Other Services</v>
      </c>
      <c r="L31" s="50" t="str">
        <f>IFERROR(__xludf.DUMMYFUNCTION("""COMPUTED_VALUE"""),"Other")</f>
        <v>Other</v>
      </c>
      <c r="M31" s="50"/>
      <c r="N31" s="50" t="str">
        <f>IFERROR(__xludf.DUMMYFUNCTION("""COMPUTED_VALUE"""),"Referral")</f>
        <v>Referral</v>
      </c>
      <c r="O31" s="50" t="str">
        <f>IFERROR(__xludf.DUMMYFUNCTION("""COMPUTED_VALUE"""),"Aastha")</f>
        <v>Aastha</v>
      </c>
      <c r="P31" s="50" t="str">
        <f>IFERROR(__xludf.DUMMYFUNCTION("""COMPUTED_VALUE"""),"Hot")</f>
        <v>Hot</v>
      </c>
      <c r="Q31" s="50" t="str">
        <f>IFERROR(__xludf.DUMMYFUNCTION("""COMPUTED_VALUE"""),"Demo/Meeting")</f>
        <v>Demo/Meeting</v>
      </c>
      <c r="R31" s="50" t="str">
        <f>IFERROR(__xludf.DUMMYFUNCTION("""COMPUTED_VALUE"""),"2nd Follow-Up")</f>
        <v>2nd Follow-Up</v>
      </c>
      <c r="S31" s="50"/>
      <c r="T31" s="50"/>
      <c r="U31" s="50" t="str">
        <f>IFERROR(__xludf.DUMMYFUNCTION("""COMPUTED_VALUE"""),"Not Scheduled")</f>
        <v>Not Scheduled</v>
      </c>
      <c r="V31" s="50"/>
      <c r="W31" s="50"/>
      <c r="X31" s="50"/>
      <c r="Y31" s="50"/>
      <c r="Z31" s="50"/>
      <c r="AA31" s="50">
        <f>IFERROR(__xludf.DUMMYFUNCTION("""COMPUTED_VALUE"""),0.0)</f>
        <v>0</v>
      </c>
      <c r="AB31" s="50"/>
      <c r="AC31" s="50"/>
      <c r="AD31" s="50"/>
    </row>
    <row r="32" ht="15.75" customHeight="1">
      <c r="A32" s="50">
        <f>IFERROR(__xludf.DUMMYFUNCTION("""COMPUTED_VALUE"""),100.0)</f>
        <v>100</v>
      </c>
      <c r="B32" s="51">
        <f>IFERROR(__xludf.DUMMYFUNCTION("""COMPUTED_VALUE"""),46272.0)</f>
        <v>46272</v>
      </c>
      <c r="C32" s="50" t="str">
        <f>IFERROR(__xludf.DUMMYFUNCTION("""COMPUTED_VALUE"""),"Director - Success Shows Pvt Ltd")</f>
        <v>Director - Success Shows Pvt Ltd</v>
      </c>
      <c r="D32" s="50" t="str">
        <f>IFERROR(__xludf.DUMMYFUNCTION("""COMPUTED_VALUE"""),"Vivek More")</f>
        <v>Vivek More</v>
      </c>
      <c r="E32" s="50" t="str">
        <f>IFERROR(__xludf.DUMMYFUNCTION("""COMPUTED_VALUE"""),"9945484244")</f>
        <v>9945484244</v>
      </c>
      <c r="F32" s="73" t="str">
        <f>IFERROR(__xludf.DUMMYFUNCTION("""COMPUTED_VALUE"""),"vivekmore85@gmail.com")</f>
        <v>vivekmore85@gmail.com</v>
      </c>
      <c r="G32" s="50" t="str">
        <f>IFERROR(__xludf.DUMMYFUNCTION("""COMPUTED_VALUE"""),"Banglore")</f>
        <v>Banglore</v>
      </c>
      <c r="H32" s="50" t="str">
        <f>IFERROR(__xludf.DUMMYFUNCTION("""COMPUTED_VALUE"""),"India")</f>
        <v>India</v>
      </c>
      <c r="I32" s="50" t="str">
        <f>IFERROR(__xludf.DUMMYFUNCTION("""COMPUTED_VALUE"""),"India")</f>
        <v>India</v>
      </c>
      <c r="J32" s="50" t="str">
        <f>IFERROR(__xludf.DUMMYFUNCTION("""COMPUTED_VALUE"""),"Service")</f>
        <v>Service</v>
      </c>
      <c r="K32" s="50" t="str">
        <f>IFERROR(__xludf.DUMMYFUNCTION("""COMPUTED_VALUE"""),"Other Services")</f>
        <v>Other Services</v>
      </c>
      <c r="L32" s="50" t="str">
        <f>IFERROR(__xludf.DUMMYFUNCTION("""COMPUTED_VALUE"""),"Other")</f>
        <v>Other</v>
      </c>
      <c r="M32" s="50"/>
      <c r="N32" s="50" t="str">
        <f>IFERROR(__xludf.DUMMYFUNCTION("""COMPUTED_VALUE"""),"Cold Outreach")</f>
        <v>Cold Outreach</v>
      </c>
      <c r="O32" s="50" t="str">
        <f>IFERROR(__xludf.DUMMYFUNCTION("""COMPUTED_VALUE"""),"Aastha")</f>
        <v>Aastha</v>
      </c>
      <c r="P32" s="50"/>
      <c r="Q32" s="50"/>
      <c r="R32" s="50"/>
      <c r="S32" s="50"/>
      <c r="T32" s="50"/>
      <c r="U32" s="50" t="str">
        <f>IFERROR(__xludf.DUMMYFUNCTION("""COMPUTED_VALUE"""),"Not Scheduled")</f>
        <v>Not Scheduled</v>
      </c>
      <c r="V32" s="50"/>
      <c r="W32" s="50"/>
      <c r="X32" s="50"/>
      <c r="Y32" s="50"/>
      <c r="Z32" s="50"/>
      <c r="AA32" s="50">
        <f>IFERROR(__xludf.DUMMYFUNCTION("""COMPUTED_VALUE"""),0.0)</f>
        <v>0</v>
      </c>
      <c r="AB32" s="50"/>
      <c r="AC32" s="50"/>
      <c r="AD32" s="50"/>
    </row>
    <row r="33" ht="15.75" customHeight="1">
      <c r="A33" s="50">
        <f>IFERROR(__xludf.DUMMYFUNCTION("""COMPUTED_VALUE"""),111.0)</f>
        <v>111</v>
      </c>
      <c r="B33" s="51">
        <f>IFERROR(__xludf.DUMMYFUNCTION("""COMPUTED_VALUE"""),46272.0)</f>
        <v>46272</v>
      </c>
      <c r="C33" s="50" t="str">
        <f>IFERROR(__xludf.DUMMYFUNCTION("""COMPUTED_VALUE"""),"Navigene Genetic Science Pvt Ltd")</f>
        <v>Navigene Genetic Science Pvt Ltd</v>
      </c>
      <c r="D33" s="50" t="str">
        <f>IFERROR(__xludf.DUMMYFUNCTION("""COMPUTED_VALUE"""),"Anirvan Dam
")</f>
        <v>Anirvan Dam
</v>
      </c>
      <c r="E33" s="50" t="str">
        <f>IFERROR(__xludf.DUMMYFUNCTION("""COMPUTED_VALUE"""),"9898000022")</f>
        <v>9898000022</v>
      </c>
      <c r="F33" s="50" t="str">
        <f>IFERROR(__xludf.DUMMYFUNCTION("""COMPUTED_VALUE"""),"damanirvan@yahoo.co.in")</f>
        <v>damanirvan@yahoo.co.in</v>
      </c>
      <c r="G33" s="50" t="str">
        <f>IFERROR(__xludf.DUMMYFUNCTION("""COMPUTED_VALUE"""),"Mumbai")</f>
        <v>Mumbai</v>
      </c>
      <c r="H33" s="50" t="str">
        <f>IFERROR(__xludf.DUMMYFUNCTION("""COMPUTED_VALUE"""),"India")</f>
        <v>India</v>
      </c>
      <c r="I33" s="50" t="str">
        <f>IFERROR(__xludf.DUMMYFUNCTION("""COMPUTED_VALUE"""),"India")</f>
        <v>India</v>
      </c>
      <c r="J33" s="50" t="str">
        <f>IFERROR(__xludf.DUMMYFUNCTION("""COMPUTED_VALUE"""),"Service")</f>
        <v>Service</v>
      </c>
      <c r="K33" s="50" t="str">
        <f>IFERROR(__xludf.DUMMYFUNCTION("""COMPUTED_VALUE"""),"Other Services")</f>
        <v>Other Services</v>
      </c>
      <c r="L33" s="50" t="str">
        <f>IFERROR(__xludf.DUMMYFUNCTION("""COMPUTED_VALUE"""),"Other")</f>
        <v>Other</v>
      </c>
      <c r="M33" s="50"/>
      <c r="N33" s="50" t="str">
        <f>IFERROR(__xludf.DUMMYFUNCTION("""COMPUTED_VALUE"""),"Cold Outreach")</f>
        <v>Cold Outreach</v>
      </c>
      <c r="O33" s="50" t="str">
        <f>IFERROR(__xludf.DUMMYFUNCTION("""COMPUTED_VALUE"""),"Aastha")</f>
        <v>Aastha</v>
      </c>
      <c r="P33" s="50"/>
      <c r="Q33" s="50"/>
      <c r="R33" s="50"/>
      <c r="S33" s="50"/>
      <c r="T33" s="50"/>
      <c r="U33" s="50" t="str">
        <f>IFERROR(__xludf.DUMMYFUNCTION("""COMPUTED_VALUE"""),"Not Scheduled")</f>
        <v>Not Scheduled</v>
      </c>
      <c r="V33" s="50"/>
      <c r="W33" s="50"/>
      <c r="X33" s="50"/>
      <c r="Y33" s="50"/>
      <c r="Z33" s="50"/>
      <c r="AA33" s="50">
        <f>IFERROR(__xludf.DUMMYFUNCTION("""COMPUTED_VALUE"""),0.0)</f>
        <v>0</v>
      </c>
      <c r="AB33" s="50"/>
      <c r="AC33" s="50"/>
      <c r="AD33" s="50"/>
    </row>
    <row r="34" ht="15.75" customHeight="1">
      <c r="B34" s="51"/>
    </row>
    <row r="35" ht="15.75" customHeight="1">
      <c r="B35" s="51"/>
    </row>
    <row r="36" ht="15.75" customHeight="1">
      <c r="B36" s="51"/>
    </row>
    <row r="37" ht="15.75" customHeight="1">
      <c r="B37" s="51"/>
    </row>
    <row r="38" ht="15.75" customHeight="1">
      <c r="B38" s="51"/>
    </row>
    <row r="39" ht="15.75" customHeight="1">
      <c r="B39" s="51"/>
    </row>
    <row r="40" ht="15.75" customHeight="1">
      <c r="B40" s="51"/>
    </row>
    <row r="41" ht="15.75" customHeight="1">
      <c r="B41" s="51"/>
    </row>
    <row r="42" ht="15.75" customHeight="1">
      <c r="B42" s="51"/>
    </row>
    <row r="43" ht="15.75" customHeight="1">
      <c r="B43" s="51"/>
    </row>
    <row r="44" ht="15.75" customHeight="1">
      <c r="B44" s="51"/>
    </row>
    <row r="45" ht="15.75" customHeight="1">
      <c r="B45" s="51"/>
    </row>
    <row r="46" ht="15.75" customHeight="1">
      <c r="B46" s="51"/>
    </row>
    <row r="47" ht="15.75" customHeight="1">
      <c r="B47" s="51"/>
    </row>
    <row r="48" ht="15.75" customHeight="1">
      <c r="B48" s="51"/>
    </row>
    <row r="49" ht="15.75" customHeight="1">
      <c r="B49" s="51"/>
    </row>
    <row r="50" ht="15.75" customHeight="1">
      <c r="B50" s="51"/>
    </row>
    <row r="51" ht="15.75" customHeight="1">
      <c r="B51" s="51"/>
    </row>
    <row r="52" ht="15.75" customHeight="1">
      <c r="B52" s="51"/>
    </row>
    <row r="53" ht="15.75" customHeight="1">
      <c r="B53" s="51"/>
    </row>
    <row r="54" ht="15.75" customHeight="1">
      <c r="B54" s="51"/>
    </row>
    <row r="55" ht="15.75" customHeight="1">
      <c r="B55" s="51"/>
    </row>
    <row r="56" ht="15.75" customHeight="1">
      <c r="B56" s="51"/>
    </row>
    <row r="57" ht="15.75" customHeight="1">
      <c r="B57" s="51"/>
    </row>
    <row r="58" ht="15.75" customHeight="1">
      <c r="B58" s="51"/>
    </row>
    <row r="59" ht="15.75" customHeight="1">
      <c r="B59" s="51"/>
    </row>
    <row r="60" ht="15.75" customHeight="1">
      <c r="B60" s="51"/>
    </row>
    <row r="61" ht="15.75" customHeight="1">
      <c r="B61" s="51"/>
    </row>
    <row r="62" ht="15.75" customHeight="1">
      <c r="B62" s="51"/>
    </row>
    <row r="63" ht="15.75" customHeight="1">
      <c r="B63" s="51"/>
    </row>
    <row r="64" ht="15.75" customHeight="1">
      <c r="B64" s="51"/>
    </row>
    <row r="65" ht="15.75" customHeight="1">
      <c r="B65" s="51"/>
    </row>
    <row r="66" ht="15.75" customHeight="1">
      <c r="B66" s="51"/>
    </row>
    <row r="67" ht="15.75" customHeight="1">
      <c r="B67" s="51"/>
    </row>
    <row r="68" ht="15.75" customHeight="1">
      <c r="B68" s="51"/>
    </row>
    <row r="69" ht="15.75" customHeight="1">
      <c r="B69" s="51"/>
    </row>
    <row r="70" ht="15.75" customHeight="1">
      <c r="B70" s="51"/>
    </row>
    <row r="71" ht="15.75" customHeight="1">
      <c r="B71" s="51"/>
    </row>
    <row r="72" ht="15.75" customHeight="1">
      <c r="B72" s="51"/>
    </row>
    <row r="73" ht="15.75" customHeight="1">
      <c r="B73" s="51"/>
    </row>
    <row r="74" ht="15.75" customHeight="1">
      <c r="B74" s="51"/>
    </row>
    <row r="75" ht="15.75" customHeight="1">
      <c r="B75" s="51"/>
    </row>
    <row r="76" ht="15.75" customHeight="1">
      <c r="B76" s="51"/>
    </row>
    <row r="77" ht="15.75" customHeight="1">
      <c r="B77" s="51"/>
    </row>
    <row r="78" ht="15.75" customHeight="1">
      <c r="B78" s="51"/>
    </row>
    <row r="79" ht="15.75" customHeight="1">
      <c r="B79" s="51"/>
    </row>
    <row r="80" ht="15.75" customHeight="1">
      <c r="B80" s="51"/>
    </row>
    <row r="81" ht="15.75" customHeight="1">
      <c r="B81" s="51"/>
    </row>
    <row r="82" ht="15.75" customHeight="1">
      <c r="B82" s="51"/>
    </row>
    <row r="83" ht="15.75" customHeight="1">
      <c r="B83" s="51"/>
    </row>
    <row r="84" ht="15.75" customHeight="1">
      <c r="B84" s="51"/>
    </row>
    <row r="85" ht="15.75" customHeight="1">
      <c r="B85" s="51"/>
    </row>
    <row r="86" ht="15.75" customHeight="1">
      <c r="B86" s="51"/>
    </row>
    <row r="87" ht="15.75" customHeight="1">
      <c r="B87" s="51"/>
    </row>
    <row r="88" ht="15.75" customHeight="1">
      <c r="B88" s="51"/>
    </row>
    <row r="89" ht="15.75" customHeight="1">
      <c r="B89" s="51"/>
    </row>
    <row r="90" ht="15.75" customHeight="1">
      <c r="B90" s="51"/>
    </row>
    <row r="91" ht="15.75" customHeight="1">
      <c r="B91" s="51"/>
    </row>
    <row r="92" ht="15.75" customHeight="1">
      <c r="B92" s="51"/>
    </row>
    <row r="93" ht="15.75" customHeight="1">
      <c r="B93" s="51"/>
    </row>
    <row r="94" ht="15.75" customHeight="1">
      <c r="B94" s="51"/>
    </row>
    <row r="95" ht="15.75" customHeight="1">
      <c r="B95" s="51"/>
    </row>
    <row r="96" ht="15.75" customHeight="1">
      <c r="B96" s="51"/>
    </row>
    <row r="97" ht="15.75" customHeight="1">
      <c r="B97" s="51"/>
    </row>
    <row r="98" ht="15.75" customHeight="1">
      <c r="B98" s="51"/>
    </row>
    <row r="99" ht="15.75" customHeight="1">
      <c r="B99" s="51"/>
    </row>
    <row r="100" ht="15.75" customHeight="1">
      <c r="B100" s="51"/>
    </row>
    <row r="101" ht="15.75" customHeight="1">
      <c r="B101" s="51"/>
    </row>
    <row r="102" ht="15.75" customHeight="1">
      <c r="B102" s="51"/>
    </row>
    <row r="103" ht="15.75" customHeight="1">
      <c r="B103" s="51"/>
    </row>
    <row r="104" ht="15.75" customHeight="1">
      <c r="B104" s="51"/>
    </row>
    <row r="105" ht="15.75" customHeight="1">
      <c r="B105" s="51"/>
    </row>
    <row r="106" ht="15.75" customHeight="1">
      <c r="B106" s="51"/>
    </row>
    <row r="107" ht="15.75" customHeight="1">
      <c r="B107" s="51"/>
    </row>
    <row r="108" ht="15.75" customHeight="1">
      <c r="B108" s="51"/>
    </row>
    <row r="109" ht="15.75" customHeight="1">
      <c r="B109" s="51"/>
    </row>
    <row r="110" ht="15.75" customHeight="1">
      <c r="B110" s="51"/>
    </row>
    <row r="111" ht="15.75" customHeight="1">
      <c r="B111" s="51"/>
    </row>
    <row r="112" ht="15.75" customHeight="1">
      <c r="B112" s="51"/>
    </row>
    <row r="113" ht="15.75" customHeight="1">
      <c r="B113" s="51"/>
    </row>
    <row r="114" ht="15.75" customHeight="1">
      <c r="B114" s="51"/>
    </row>
    <row r="115" ht="15.75" customHeight="1">
      <c r="B115" s="51"/>
    </row>
    <row r="116" ht="15.75" customHeight="1">
      <c r="B116" s="51"/>
    </row>
    <row r="117" ht="15.75" customHeight="1">
      <c r="B117" s="51"/>
    </row>
    <row r="118" ht="15.75" customHeight="1">
      <c r="B118" s="51"/>
    </row>
    <row r="119" ht="15.75" customHeight="1">
      <c r="B119" s="51"/>
    </row>
    <row r="120" ht="15.75" customHeight="1">
      <c r="B120" s="51"/>
    </row>
    <row r="121" ht="15.75" customHeight="1">
      <c r="B121" s="51"/>
    </row>
    <row r="122" ht="15.75" customHeight="1">
      <c r="B122" s="51"/>
    </row>
    <row r="123" ht="15.75" customHeight="1">
      <c r="B123" s="51"/>
    </row>
    <row r="124" ht="15.75" customHeight="1">
      <c r="B124" s="51"/>
    </row>
    <row r="125" ht="15.75" customHeight="1">
      <c r="B125" s="51"/>
    </row>
    <row r="126" ht="15.75" customHeight="1">
      <c r="B126" s="51"/>
    </row>
    <row r="127" ht="15.75" customHeight="1">
      <c r="B127" s="51"/>
    </row>
    <row r="128" ht="15.75" customHeight="1">
      <c r="B128" s="51"/>
    </row>
    <row r="129" ht="15.75" customHeight="1">
      <c r="B129" s="51"/>
    </row>
    <row r="130" ht="15.75" customHeight="1">
      <c r="B130" s="51"/>
    </row>
    <row r="131" ht="15.75" customHeight="1">
      <c r="B131" s="51"/>
    </row>
    <row r="132" ht="15.75" customHeight="1">
      <c r="B132" s="51"/>
    </row>
    <row r="133" ht="15.75" customHeight="1">
      <c r="B133" s="51"/>
    </row>
    <row r="134" ht="15.75" customHeight="1">
      <c r="B134" s="51"/>
    </row>
    <row r="135" ht="15.75" customHeight="1">
      <c r="B135" s="51"/>
    </row>
    <row r="136" ht="15.75" customHeight="1">
      <c r="B136" s="51"/>
    </row>
    <row r="137" ht="15.75" customHeight="1">
      <c r="B137" s="51"/>
    </row>
    <row r="138" ht="15.75" customHeight="1">
      <c r="B138" s="51"/>
    </row>
    <row r="139" ht="15.75" customHeight="1">
      <c r="B139" s="51"/>
    </row>
    <row r="140" ht="15.75" customHeight="1">
      <c r="B140" s="51"/>
    </row>
    <row r="141" ht="15.75" customHeight="1">
      <c r="B141" s="51"/>
    </row>
    <row r="142" ht="15.75" customHeight="1">
      <c r="B142" s="51"/>
    </row>
    <row r="143" ht="15.75" customHeight="1">
      <c r="B143" s="51"/>
    </row>
    <row r="144" ht="15.75" customHeight="1">
      <c r="B144" s="51"/>
    </row>
    <row r="145" ht="15.75" customHeight="1">
      <c r="B145" s="51"/>
    </row>
    <row r="146" ht="15.75" customHeight="1">
      <c r="B146" s="51"/>
    </row>
    <row r="147" ht="15.75" customHeight="1">
      <c r="B147" s="51"/>
    </row>
    <row r="148" ht="15.75" customHeight="1">
      <c r="B148" s="51"/>
    </row>
    <row r="149" ht="15.75" customHeight="1">
      <c r="B149" s="51"/>
    </row>
    <row r="150" ht="15.75" customHeight="1">
      <c r="B150" s="51"/>
    </row>
    <row r="151" ht="15.75" customHeight="1">
      <c r="B151" s="51"/>
    </row>
    <row r="152" ht="15.75" customHeight="1">
      <c r="B152" s="51"/>
    </row>
    <row r="153" ht="15.75" customHeight="1">
      <c r="B153" s="51"/>
    </row>
    <row r="154" ht="15.75" customHeight="1">
      <c r="B154" s="51"/>
    </row>
    <row r="155" ht="15.75" customHeight="1">
      <c r="B155" s="51"/>
    </row>
    <row r="156" ht="15.75" customHeight="1">
      <c r="B156" s="51"/>
    </row>
    <row r="157" ht="15.75" customHeight="1">
      <c r="B157" s="51"/>
    </row>
    <row r="158" ht="15.75" customHeight="1">
      <c r="B158" s="51"/>
    </row>
    <row r="159" ht="15.75" customHeight="1">
      <c r="B159" s="51"/>
    </row>
    <row r="160" ht="15.75" customHeight="1">
      <c r="B160" s="51"/>
    </row>
    <row r="161" ht="15.75" customHeight="1">
      <c r="B161" s="51"/>
    </row>
    <row r="162" ht="15.75" customHeight="1">
      <c r="B162" s="51"/>
    </row>
    <row r="163" ht="15.75" customHeight="1">
      <c r="B163" s="51"/>
    </row>
    <row r="164" ht="15.75" customHeight="1">
      <c r="B164" s="51"/>
    </row>
    <row r="165" ht="15.75" customHeight="1">
      <c r="B165" s="51"/>
    </row>
    <row r="166" ht="15.75" customHeight="1">
      <c r="B166" s="51"/>
    </row>
    <row r="167" ht="15.75" customHeight="1">
      <c r="B167" s="51"/>
    </row>
    <row r="168" ht="15.75" customHeight="1">
      <c r="B168" s="51"/>
    </row>
    <row r="169" ht="15.75" customHeight="1">
      <c r="B169" s="51"/>
    </row>
    <row r="170" ht="15.75" customHeight="1">
      <c r="B170" s="51"/>
    </row>
    <row r="171" ht="15.75" customHeight="1">
      <c r="B171" s="51"/>
    </row>
    <row r="172" ht="15.75" customHeight="1">
      <c r="B172" s="51"/>
    </row>
    <row r="173" ht="15.75" customHeight="1">
      <c r="B173" s="51"/>
    </row>
    <row r="174" ht="15.75" customHeight="1">
      <c r="B174" s="51"/>
    </row>
    <row r="175" ht="15.75" customHeight="1">
      <c r="B175" s="51"/>
    </row>
    <row r="176" ht="15.75" customHeight="1">
      <c r="B176" s="51"/>
    </row>
    <row r="177" ht="15.75" customHeight="1">
      <c r="B177" s="51"/>
    </row>
    <row r="178" ht="15.75" customHeight="1">
      <c r="B178" s="51"/>
    </row>
    <row r="179" ht="15.75" customHeight="1">
      <c r="B179" s="51"/>
    </row>
    <row r="180" ht="15.75" customHeight="1">
      <c r="B180" s="51"/>
    </row>
    <row r="181" ht="15.75" customHeight="1">
      <c r="B181" s="51"/>
    </row>
    <row r="182" ht="15.75" customHeight="1">
      <c r="B182" s="51"/>
    </row>
    <row r="183" ht="15.75" customHeight="1">
      <c r="B183" s="51"/>
    </row>
    <row r="184" ht="15.75" customHeight="1">
      <c r="B184" s="51"/>
    </row>
    <row r="185" ht="15.75" customHeight="1">
      <c r="B185" s="51"/>
    </row>
    <row r="186" ht="15.75" customHeight="1">
      <c r="B186" s="51"/>
    </row>
    <row r="187" ht="15.75" customHeight="1">
      <c r="B187" s="51"/>
    </row>
    <row r="188" ht="15.75" customHeight="1">
      <c r="B188" s="51"/>
    </row>
    <row r="189" ht="15.75" customHeight="1">
      <c r="B189" s="51"/>
    </row>
    <row r="190" ht="15.75" customHeight="1">
      <c r="B190" s="51"/>
    </row>
    <row r="191" ht="15.75" customHeight="1">
      <c r="B191" s="51"/>
    </row>
    <row r="192" ht="15.75" customHeight="1">
      <c r="B192" s="51"/>
    </row>
    <row r="193" ht="15.75" customHeight="1">
      <c r="B193" s="51"/>
    </row>
    <row r="194" ht="15.75" customHeight="1">
      <c r="B194" s="51"/>
    </row>
    <row r="195" ht="15.75" customHeight="1">
      <c r="B195" s="51"/>
    </row>
    <row r="196" ht="15.75" customHeight="1">
      <c r="B196" s="51"/>
    </row>
    <row r="197" ht="15.75" customHeight="1">
      <c r="B197" s="51"/>
    </row>
    <row r="198" ht="15.75" customHeight="1">
      <c r="B198" s="51"/>
    </row>
    <row r="199" ht="15.75" customHeight="1">
      <c r="B199" s="51"/>
    </row>
    <row r="200" ht="15.75" customHeight="1">
      <c r="B200" s="51"/>
    </row>
    <row r="201" ht="15.75" customHeight="1">
      <c r="B201" s="51"/>
    </row>
    <row r="202" ht="15.75" customHeight="1">
      <c r="B202" s="51"/>
    </row>
    <row r="203" ht="15.75" customHeight="1">
      <c r="B203" s="51"/>
    </row>
    <row r="204" ht="15.75" customHeight="1">
      <c r="B204" s="51"/>
    </row>
    <row r="205" ht="15.75" customHeight="1">
      <c r="B205" s="51"/>
    </row>
    <row r="206" ht="15.75" customHeight="1">
      <c r="B206" s="51"/>
    </row>
    <row r="207" ht="15.75" customHeight="1">
      <c r="B207" s="51"/>
    </row>
    <row r="208" ht="15.75" customHeight="1">
      <c r="B208" s="51"/>
    </row>
    <row r="209" ht="15.75" customHeight="1">
      <c r="B209" s="51"/>
    </row>
    <row r="210" ht="15.75" customHeight="1">
      <c r="B210" s="51"/>
    </row>
    <row r="211" ht="15.75" customHeight="1">
      <c r="B211" s="51"/>
    </row>
    <row r="212" ht="15.75" customHeight="1">
      <c r="B212" s="51"/>
    </row>
    <row r="213" ht="15.75" customHeight="1">
      <c r="B213" s="51"/>
    </row>
    <row r="214" ht="15.75" customHeight="1">
      <c r="B214" s="51"/>
    </row>
    <row r="215" ht="15.75" customHeight="1">
      <c r="B215" s="51"/>
    </row>
    <row r="216" ht="15.75" customHeight="1">
      <c r="B216" s="51"/>
    </row>
    <row r="217" ht="15.75" customHeight="1">
      <c r="B217" s="51"/>
    </row>
    <row r="218" ht="15.75" customHeight="1">
      <c r="B218" s="51"/>
    </row>
    <row r="219" ht="15.75" customHeight="1">
      <c r="B219" s="51"/>
    </row>
    <row r="220" ht="15.75" customHeight="1">
      <c r="B220" s="51"/>
    </row>
    <row r="221" ht="15.75" customHeight="1">
      <c r="B221" s="51"/>
    </row>
    <row r="222" ht="15.75" customHeight="1">
      <c r="B222" s="51"/>
    </row>
    <row r="223" ht="15.75" customHeight="1">
      <c r="B223" s="51"/>
    </row>
    <row r="224" ht="15.75" customHeight="1">
      <c r="B224" s="51"/>
    </row>
    <row r="225" ht="15.75" customHeight="1">
      <c r="B225" s="51"/>
    </row>
    <row r="226" ht="15.75" customHeight="1">
      <c r="B226" s="51"/>
    </row>
    <row r="227" ht="15.75" customHeight="1">
      <c r="B227" s="51"/>
    </row>
    <row r="228" ht="15.75" customHeight="1">
      <c r="B228" s="51"/>
    </row>
    <row r="229" ht="15.75" customHeight="1">
      <c r="B229" s="51"/>
    </row>
    <row r="230" ht="15.75" customHeight="1">
      <c r="B230" s="51"/>
    </row>
    <row r="231" ht="15.75" customHeight="1">
      <c r="B231" s="51"/>
    </row>
    <row r="232" ht="15.75" customHeight="1">
      <c r="B232" s="51"/>
    </row>
    <row r="233" ht="15.75" customHeight="1">
      <c r="B233" s="51"/>
    </row>
    <row r="234" ht="15.75" customHeight="1">
      <c r="B234" s="51"/>
    </row>
    <row r="235" ht="15.75" customHeight="1">
      <c r="B235" s="51"/>
    </row>
    <row r="236" ht="15.75" customHeight="1">
      <c r="B236" s="51"/>
    </row>
    <row r="237" ht="15.75" customHeight="1">
      <c r="B237" s="51"/>
    </row>
    <row r="238" ht="15.75" customHeight="1">
      <c r="B238" s="51"/>
    </row>
    <row r="239" ht="15.75" customHeight="1">
      <c r="B239" s="51"/>
    </row>
    <row r="240" ht="15.75" customHeight="1">
      <c r="B240" s="51"/>
    </row>
    <row r="241" ht="15.75" customHeight="1">
      <c r="B241" s="51"/>
    </row>
    <row r="242" ht="15.75" customHeight="1">
      <c r="B242" s="51"/>
    </row>
    <row r="243" ht="15.75" customHeight="1">
      <c r="B243" s="51"/>
    </row>
    <row r="244" ht="15.75" customHeight="1">
      <c r="B244" s="51"/>
    </row>
    <row r="245" ht="15.75" customHeight="1">
      <c r="B245" s="51"/>
    </row>
    <row r="246" ht="15.75" customHeight="1">
      <c r="B246" s="51"/>
    </row>
    <row r="247" ht="15.75" customHeight="1">
      <c r="B247" s="51"/>
    </row>
    <row r="248" ht="15.75" customHeight="1">
      <c r="B248" s="51"/>
    </row>
    <row r="249" ht="15.75" customHeight="1">
      <c r="B249" s="51"/>
    </row>
    <row r="250" ht="15.75" customHeight="1">
      <c r="B250" s="51"/>
    </row>
    <row r="251" ht="15.75" customHeight="1">
      <c r="B251" s="51"/>
    </row>
    <row r="252" ht="15.75" customHeight="1">
      <c r="B252" s="51"/>
    </row>
    <row r="253" ht="15.75" customHeight="1">
      <c r="B253" s="51"/>
    </row>
    <row r="254" ht="15.75" customHeight="1">
      <c r="B254" s="51"/>
    </row>
    <row r="255" ht="15.75" customHeight="1">
      <c r="B255" s="51"/>
    </row>
    <row r="256" ht="15.75" customHeight="1">
      <c r="B256" s="51"/>
    </row>
    <row r="257" ht="15.75" customHeight="1">
      <c r="B257" s="51"/>
    </row>
    <row r="258" ht="15.75" customHeight="1">
      <c r="B258" s="51"/>
    </row>
    <row r="259" ht="15.75" customHeight="1">
      <c r="B259" s="51"/>
    </row>
    <row r="260" ht="15.75" customHeight="1">
      <c r="B260" s="51"/>
    </row>
    <row r="261" ht="15.75" customHeight="1">
      <c r="B261" s="51"/>
    </row>
    <row r="262" ht="15.75" customHeight="1">
      <c r="B262" s="51"/>
    </row>
    <row r="263" ht="15.75" customHeight="1">
      <c r="B263" s="51"/>
    </row>
    <row r="264" ht="15.75" customHeight="1">
      <c r="B264" s="51"/>
    </row>
    <row r="265" ht="15.75" customHeight="1">
      <c r="B265" s="51"/>
    </row>
    <row r="266" ht="15.75" customHeight="1">
      <c r="B266" s="51"/>
    </row>
    <row r="267" ht="15.75" customHeight="1">
      <c r="B267" s="51"/>
    </row>
    <row r="268" ht="15.75" customHeight="1">
      <c r="B268" s="51"/>
    </row>
    <row r="269" ht="15.75" customHeight="1">
      <c r="B269" s="51"/>
    </row>
    <row r="270" ht="15.75" customHeight="1">
      <c r="B270" s="51"/>
    </row>
    <row r="271" ht="15.75" customHeight="1">
      <c r="B271" s="51"/>
    </row>
    <row r="272" ht="15.75" customHeight="1">
      <c r="B272" s="51"/>
    </row>
    <row r="273" ht="15.75" customHeight="1">
      <c r="B273" s="51"/>
    </row>
    <row r="274" ht="15.75" customHeight="1">
      <c r="B274" s="51"/>
    </row>
    <row r="275" ht="15.75" customHeight="1">
      <c r="B275" s="51"/>
    </row>
    <row r="276" ht="15.75" customHeight="1">
      <c r="B276" s="51"/>
    </row>
    <row r="277" ht="15.75" customHeight="1">
      <c r="B277" s="51"/>
    </row>
    <row r="278" ht="15.75" customHeight="1">
      <c r="B278" s="51"/>
    </row>
    <row r="279" ht="15.75" customHeight="1">
      <c r="B279" s="51"/>
    </row>
    <row r="280" ht="15.75" customHeight="1">
      <c r="B280" s="51"/>
    </row>
    <row r="281" ht="15.75" customHeight="1">
      <c r="B281" s="51"/>
    </row>
    <row r="282" ht="15.75" customHeight="1">
      <c r="B282" s="51"/>
    </row>
    <row r="283" ht="15.75" customHeight="1">
      <c r="B283" s="51"/>
    </row>
    <row r="284" ht="15.75" customHeight="1">
      <c r="B284" s="51"/>
    </row>
    <row r="285" ht="15.75" customHeight="1">
      <c r="B285" s="51"/>
    </row>
    <row r="286" ht="15.75" customHeight="1">
      <c r="B286" s="51"/>
    </row>
    <row r="287" ht="15.75" customHeight="1">
      <c r="B287" s="51"/>
    </row>
    <row r="288" ht="15.75" customHeight="1">
      <c r="B288" s="51"/>
    </row>
    <row r="289" ht="15.75" customHeight="1">
      <c r="B289" s="51"/>
    </row>
    <row r="290" ht="15.75" customHeight="1">
      <c r="B290" s="51"/>
    </row>
    <row r="291" ht="15.75" customHeight="1">
      <c r="B291" s="51"/>
    </row>
    <row r="292" ht="15.75" customHeight="1">
      <c r="B292" s="51"/>
    </row>
    <row r="293" ht="15.75" customHeight="1">
      <c r="B293" s="51"/>
    </row>
    <row r="294" ht="15.75" customHeight="1">
      <c r="B294" s="51"/>
    </row>
    <row r="295" ht="15.75" customHeight="1">
      <c r="B295" s="51"/>
    </row>
    <row r="296" ht="15.75" customHeight="1">
      <c r="B296" s="51"/>
    </row>
    <row r="297" ht="15.75" customHeight="1">
      <c r="B297" s="51"/>
    </row>
    <row r="298" ht="15.75" customHeight="1">
      <c r="B298" s="51"/>
    </row>
    <row r="299" ht="15.75" customHeight="1">
      <c r="B299" s="51"/>
    </row>
    <row r="300" ht="15.75" customHeight="1">
      <c r="B300" s="51"/>
    </row>
    <row r="301" ht="15.75" customHeight="1">
      <c r="B301" s="51"/>
    </row>
    <row r="302" ht="15.75" customHeight="1">
      <c r="B302" s="51"/>
    </row>
    <row r="303" ht="15.75" customHeight="1">
      <c r="B303" s="51"/>
    </row>
    <row r="304" ht="15.75" customHeight="1">
      <c r="B304" s="51"/>
    </row>
    <row r="305" ht="15.75" customHeight="1">
      <c r="B305" s="51"/>
    </row>
    <row r="306" ht="15.75" customHeight="1">
      <c r="B306" s="51"/>
    </row>
    <row r="307" ht="15.75" customHeight="1">
      <c r="B307" s="51"/>
    </row>
    <row r="308" ht="15.75" customHeight="1">
      <c r="B308" s="51"/>
    </row>
    <row r="309" ht="15.75" customHeight="1">
      <c r="B309" s="51"/>
    </row>
    <row r="310" ht="15.75" customHeight="1">
      <c r="B310" s="51"/>
    </row>
    <row r="311" ht="15.75" customHeight="1">
      <c r="B311" s="51"/>
    </row>
    <row r="312" ht="15.75" customHeight="1">
      <c r="B312" s="51"/>
    </row>
    <row r="313" ht="15.75" customHeight="1">
      <c r="B313" s="51"/>
    </row>
    <row r="314" ht="15.75" customHeight="1">
      <c r="B314" s="51"/>
    </row>
    <row r="315" ht="15.75" customHeight="1">
      <c r="B315" s="51"/>
    </row>
    <row r="316" ht="15.75" customHeight="1">
      <c r="B316" s="51"/>
    </row>
    <row r="317" ht="15.75" customHeight="1">
      <c r="B317" s="51"/>
    </row>
    <row r="318" ht="15.75" customHeight="1">
      <c r="B318" s="51"/>
    </row>
    <row r="319" ht="15.75" customHeight="1">
      <c r="B319" s="51"/>
    </row>
    <row r="320" ht="15.75" customHeight="1">
      <c r="B320" s="51"/>
    </row>
    <row r="321" ht="15.75" customHeight="1">
      <c r="B321" s="51"/>
    </row>
    <row r="322" ht="15.75" customHeight="1">
      <c r="B322" s="51"/>
    </row>
    <row r="323" ht="15.75" customHeight="1">
      <c r="B323" s="51"/>
    </row>
    <row r="324" ht="15.75" customHeight="1">
      <c r="B324" s="51"/>
    </row>
    <row r="325" ht="15.75" customHeight="1">
      <c r="B325" s="51"/>
    </row>
    <row r="326" ht="15.75" customHeight="1">
      <c r="B326" s="51"/>
    </row>
    <row r="327" ht="15.75" customHeight="1">
      <c r="B327" s="51"/>
    </row>
    <row r="328" ht="15.75" customHeight="1">
      <c r="B328" s="51"/>
    </row>
    <row r="329" ht="15.75" customHeight="1">
      <c r="B329" s="51"/>
    </row>
    <row r="330" ht="15.75" customHeight="1">
      <c r="B330" s="51"/>
    </row>
    <row r="331" ht="15.75" customHeight="1">
      <c r="B331" s="51"/>
    </row>
    <row r="332" ht="15.75" customHeight="1">
      <c r="B332" s="51"/>
    </row>
    <row r="333" ht="15.75" customHeight="1">
      <c r="B333" s="51"/>
    </row>
    <row r="334" ht="15.75" customHeight="1">
      <c r="B334" s="51"/>
    </row>
    <row r="335" ht="15.75" customHeight="1">
      <c r="B335" s="51"/>
    </row>
    <row r="336" ht="15.75" customHeight="1">
      <c r="B336" s="51"/>
    </row>
    <row r="337" ht="15.75" customHeight="1">
      <c r="B337" s="51"/>
    </row>
    <row r="338" ht="15.75" customHeight="1">
      <c r="B338" s="51"/>
    </row>
    <row r="339" ht="15.75" customHeight="1">
      <c r="B339" s="51"/>
    </row>
    <row r="340" ht="15.75" customHeight="1">
      <c r="B340" s="51"/>
    </row>
    <row r="341" ht="15.75" customHeight="1">
      <c r="B341" s="51"/>
    </row>
    <row r="342" ht="15.75" customHeight="1">
      <c r="B342" s="51"/>
    </row>
    <row r="343" ht="15.75" customHeight="1">
      <c r="B343" s="51"/>
    </row>
    <row r="344" ht="15.75" customHeight="1">
      <c r="B344" s="51"/>
    </row>
    <row r="345" ht="15.75" customHeight="1">
      <c r="B345" s="51"/>
    </row>
    <row r="346" ht="15.75" customHeight="1">
      <c r="B346" s="51"/>
    </row>
    <row r="347" ht="15.75" customHeight="1">
      <c r="B347" s="51"/>
    </row>
    <row r="348" ht="15.75" customHeight="1">
      <c r="B348" s="51"/>
    </row>
    <row r="349" ht="15.75" customHeight="1">
      <c r="B349" s="51"/>
    </row>
    <row r="350" ht="15.75" customHeight="1">
      <c r="B350" s="51"/>
    </row>
    <row r="351" ht="15.75" customHeight="1">
      <c r="B351" s="51"/>
    </row>
    <row r="352" ht="15.75" customHeight="1">
      <c r="B352" s="51"/>
    </row>
    <row r="353" ht="15.75" customHeight="1">
      <c r="B353" s="51"/>
    </row>
    <row r="354" ht="15.75" customHeight="1">
      <c r="B354" s="51"/>
    </row>
    <row r="355" ht="15.75" customHeight="1">
      <c r="B355" s="51"/>
    </row>
    <row r="356" ht="15.75" customHeight="1">
      <c r="B356" s="51"/>
    </row>
    <row r="357" ht="15.75" customHeight="1">
      <c r="B357" s="51"/>
    </row>
    <row r="358" ht="15.75" customHeight="1">
      <c r="B358" s="51"/>
    </row>
    <row r="359" ht="15.75" customHeight="1">
      <c r="B359" s="51"/>
    </row>
    <row r="360" ht="15.75" customHeight="1">
      <c r="B360" s="51"/>
    </row>
    <row r="361" ht="15.75" customHeight="1">
      <c r="B361" s="51"/>
    </row>
    <row r="362" ht="15.75" customHeight="1">
      <c r="B362" s="51"/>
    </row>
    <row r="363" ht="15.75" customHeight="1">
      <c r="B363" s="51"/>
    </row>
    <row r="364" ht="15.75" customHeight="1">
      <c r="B364" s="51"/>
    </row>
    <row r="365" ht="15.75" customHeight="1">
      <c r="B365" s="51"/>
    </row>
    <row r="366" ht="15.75" customHeight="1">
      <c r="B366" s="51"/>
    </row>
    <row r="367" ht="15.75" customHeight="1">
      <c r="B367" s="51"/>
    </row>
    <row r="368" ht="15.75" customHeight="1">
      <c r="B368" s="51"/>
    </row>
    <row r="369" ht="15.75" customHeight="1">
      <c r="B369" s="51"/>
    </row>
    <row r="370" ht="15.75" customHeight="1">
      <c r="B370" s="51"/>
    </row>
    <row r="371" ht="15.75" customHeight="1">
      <c r="B371" s="51"/>
    </row>
    <row r="372" ht="15.75" customHeight="1">
      <c r="B372" s="51"/>
    </row>
    <row r="373" ht="15.75" customHeight="1">
      <c r="B373" s="51"/>
    </row>
    <row r="374" ht="15.75" customHeight="1">
      <c r="B374" s="51"/>
    </row>
    <row r="375" ht="15.75" customHeight="1">
      <c r="B375" s="51"/>
    </row>
    <row r="376" ht="15.75" customHeight="1">
      <c r="B376" s="51"/>
    </row>
    <row r="377" ht="15.75" customHeight="1">
      <c r="B377" s="51"/>
    </row>
    <row r="378" ht="15.75" customHeight="1">
      <c r="B378" s="51"/>
    </row>
    <row r="379" ht="15.75" customHeight="1">
      <c r="B379" s="51"/>
    </row>
    <row r="380" ht="15.75" customHeight="1">
      <c r="B380" s="51"/>
    </row>
    <row r="381" ht="15.75" customHeight="1">
      <c r="B381" s="51"/>
    </row>
    <row r="382" ht="15.75" customHeight="1">
      <c r="B382" s="51"/>
    </row>
    <row r="383" ht="15.75" customHeight="1">
      <c r="B383" s="51"/>
    </row>
    <row r="384" ht="15.75" customHeight="1">
      <c r="B384" s="51"/>
    </row>
    <row r="385" ht="15.75" customHeight="1">
      <c r="B385" s="51"/>
    </row>
    <row r="386" ht="15.75" customHeight="1">
      <c r="B386" s="51"/>
    </row>
    <row r="387" ht="15.75" customHeight="1">
      <c r="B387" s="51"/>
    </row>
    <row r="388" ht="15.75" customHeight="1">
      <c r="B388" s="51"/>
    </row>
    <row r="389" ht="15.75" customHeight="1">
      <c r="B389" s="51"/>
    </row>
    <row r="390" ht="15.75" customHeight="1">
      <c r="B390" s="51"/>
    </row>
    <row r="391" ht="15.75" customHeight="1">
      <c r="B391" s="51"/>
    </row>
    <row r="392" ht="15.75" customHeight="1">
      <c r="B392" s="51"/>
    </row>
    <row r="393" ht="15.75" customHeight="1">
      <c r="B393" s="51"/>
    </row>
    <row r="394" ht="15.75" customHeight="1">
      <c r="B394" s="51"/>
    </row>
    <row r="395" ht="15.75" customHeight="1">
      <c r="B395" s="51"/>
    </row>
    <row r="396" ht="15.75" customHeight="1">
      <c r="B396" s="51"/>
    </row>
    <row r="397" ht="15.75" customHeight="1">
      <c r="B397" s="51"/>
    </row>
    <row r="398" ht="15.75" customHeight="1">
      <c r="B398" s="51"/>
    </row>
    <row r="399" ht="15.75" customHeight="1">
      <c r="B399" s="51"/>
    </row>
    <row r="400" ht="15.75" customHeight="1">
      <c r="B400" s="51"/>
    </row>
    <row r="401" ht="15.75" customHeight="1">
      <c r="B401" s="51"/>
    </row>
    <row r="402" ht="15.75" customHeight="1">
      <c r="B402" s="51"/>
    </row>
    <row r="403" ht="15.75" customHeight="1">
      <c r="B403" s="51"/>
    </row>
    <row r="404" ht="15.75" customHeight="1">
      <c r="B404" s="51"/>
    </row>
    <row r="405" ht="15.75" customHeight="1">
      <c r="B405" s="51"/>
    </row>
    <row r="406" ht="15.75" customHeight="1">
      <c r="B406" s="51"/>
    </row>
    <row r="407" ht="15.75" customHeight="1">
      <c r="B407" s="51"/>
    </row>
    <row r="408" ht="15.75" customHeight="1">
      <c r="B408" s="51"/>
    </row>
    <row r="409" ht="15.75" customHeight="1">
      <c r="B409" s="51"/>
    </row>
    <row r="410" ht="15.75" customHeight="1">
      <c r="B410" s="51"/>
    </row>
    <row r="411" ht="15.75" customHeight="1">
      <c r="B411" s="51"/>
    </row>
    <row r="412" ht="15.75" customHeight="1">
      <c r="B412" s="51"/>
    </row>
    <row r="413" ht="15.75" customHeight="1">
      <c r="B413" s="51"/>
    </row>
    <row r="414" ht="15.75" customHeight="1">
      <c r="B414" s="51"/>
    </row>
    <row r="415" ht="15.75" customHeight="1">
      <c r="B415" s="51"/>
    </row>
    <row r="416" ht="15.75" customHeight="1">
      <c r="B416" s="51"/>
    </row>
    <row r="417" ht="15.75" customHeight="1">
      <c r="B417" s="51"/>
    </row>
    <row r="418" ht="15.75" customHeight="1">
      <c r="B418" s="51"/>
    </row>
    <row r="419" ht="15.75" customHeight="1">
      <c r="B419" s="51"/>
    </row>
    <row r="420" ht="15.75" customHeight="1">
      <c r="B420" s="51"/>
    </row>
    <row r="421" ht="15.75" customHeight="1">
      <c r="B421" s="51"/>
    </row>
    <row r="422" ht="15.75" customHeight="1">
      <c r="B422" s="51"/>
    </row>
    <row r="423" ht="15.75" customHeight="1">
      <c r="B423" s="51"/>
    </row>
    <row r="424" ht="15.75" customHeight="1">
      <c r="B424" s="51"/>
    </row>
    <row r="425" ht="15.75" customHeight="1">
      <c r="B425" s="51"/>
    </row>
    <row r="426" ht="15.75" customHeight="1">
      <c r="B426" s="51"/>
    </row>
    <row r="427" ht="15.75" customHeight="1">
      <c r="B427" s="51"/>
    </row>
    <row r="428" ht="15.75" customHeight="1">
      <c r="B428" s="51"/>
    </row>
    <row r="429" ht="15.75" customHeight="1">
      <c r="B429" s="51"/>
    </row>
    <row r="430" ht="15.75" customHeight="1">
      <c r="B430" s="51"/>
    </row>
    <row r="431" ht="15.75" customHeight="1">
      <c r="B431" s="51"/>
    </row>
    <row r="432" ht="15.75" customHeight="1">
      <c r="B432" s="51"/>
    </row>
    <row r="433" ht="15.75" customHeight="1">
      <c r="B433" s="51"/>
    </row>
    <row r="434" ht="15.75" customHeight="1">
      <c r="B434" s="51"/>
    </row>
    <row r="435" ht="15.75" customHeight="1">
      <c r="B435" s="51"/>
    </row>
    <row r="436" ht="15.75" customHeight="1">
      <c r="B436" s="51"/>
    </row>
    <row r="437" ht="15.75" customHeight="1">
      <c r="B437" s="51"/>
    </row>
    <row r="438" ht="15.75" customHeight="1">
      <c r="B438" s="51"/>
    </row>
    <row r="439" ht="15.75" customHeight="1">
      <c r="B439" s="51"/>
    </row>
    <row r="440" ht="15.75" customHeight="1">
      <c r="B440" s="51"/>
    </row>
    <row r="441" ht="15.75" customHeight="1">
      <c r="B441" s="51"/>
    </row>
    <row r="442" ht="15.75" customHeight="1">
      <c r="B442" s="51"/>
    </row>
    <row r="443" ht="15.75" customHeight="1">
      <c r="B443" s="51"/>
    </row>
    <row r="444" ht="15.75" customHeight="1">
      <c r="B444" s="51"/>
    </row>
    <row r="445" ht="15.75" customHeight="1">
      <c r="B445" s="51"/>
    </row>
    <row r="446" ht="15.75" customHeight="1">
      <c r="B446" s="51"/>
    </row>
    <row r="447" ht="15.75" customHeight="1">
      <c r="B447" s="51"/>
    </row>
    <row r="448" ht="15.75" customHeight="1">
      <c r="B448" s="51"/>
    </row>
    <row r="449" ht="15.75" customHeight="1">
      <c r="B449" s="51"/>
    </row>
    <row r="450" ht="15.75" customHeight="1">
      <c r="B450" s="51"/>
    </row>
    <row r="451" ht="15.75" customHeight="1">
      <c r="B451" s="51"/>
    </row>
    <row r="452" ht="15.75" customHeight="1">
      <c r="B452" s="51"/>
    </row>
    <row r="453" ht="15.75" customHeight="1">
      <c r="B453" s="51"/>
    </row>
    <row r="454" ht="15.75" customHeight="1">
      <c r="B454" s="51"/>
    </row>
    <row r="455" ht="15.75" customHeight="1">
      <c r="B455" s="51"/>
    </row>
    <row r="456" ht="15.75" customHeight="1">
      <c r="B456" s="51"/>
    </row>
    <row r="457" ht="15.75" customHeight="1">
      <c r="B457" s="51"/>
    </row>
    <row r="458" ht="15.75" customHeight="1">
      <c r="B458" s="51"/>
    </row>
    <row r="459" ht="15.75" customHeight="1">
      <c r="B459" s="51"/>
    </row>
    <row r="460" ht="15.75" customHeight="1">
      <c r="B460" s="51"/>
    </row>
    <row r="461" ht="15.75" customHeight="1">
      <c r="B461" s="51"/>
    </row>
    <row r="462" ht="15.75" customHeight="1">
      <c r="B462" s="51"/>
    </row>
    <row r="463" ht="15.75" customHeight="1">
      <c r="B463" s="51"/>
    </row>
    <row r="464" ht="15.75" customHeight="1">
      <c r="B464" s="51"/>
    </row>
    <row r="465" ht="15.75" customHeight="1">
      <c r="B465" s="51"/>
    </row>
    <row r="466" ht="15.75" customHeight="1">
      <c r="B466" s="51"/>
    </row>
    <row r="467" ht="15.75" customHeight="1">
      <c r="B467" s="51"/>
    </row>
    <row r="468" ht="15.75" customHeight="1">
      <c r="B468" s="51"/>
    </row>
    <row r="469" ht="15.75" customHeight="1">
      <c r="B469" s="51"/>
    </row>
    <row r="470" ht="15.75" customHeight="1">
      <c r="B470" s="51"/>
    </row>
    <row r="471" ht="15.75" customHeight="1">
      <c r="B471" s="51"/>
    </row>
    <row r="472" ht="15.75" customHeight="1">
      <c r="B472" s="51"/>
    </row>
    <row r="473" ht="15.75" customHeight="1">
      <c r="B473" s="51"/>
    </row>
    <row r="474" ht="15.75" customHeight="1">
      <c r="B474" s="51"/>
    </row>
    <row r="475" ht="15.75" customHeight="1">
      <c r="B475" s="51"/>
    </row>
    <row r="476" ht="15.75" customHeight="1">
      <c r="B476" s="51"/>
    </row>
    <row r="477" ht="15.75" customHeight="1">
      <c r="B477" s="51"/>
    </row>
    <row r="478" ht="15.75" customHeight="1">
      <c r="B478" s="51"/>
    </row>
    <row r="479" ht="15.75" customHeight="1">
      <c r="B479" s="51"/>
    </row>
    <row r="480" ht="15.75" customHeight="1">
      <c r="B480" s="51"/>
    </row>
    <row r="481" ht="15.75" customHeight="1">
      <c r="B481" s="51"/>
    </row>
    <row r="482" ht="15.75" customHeight="1">
      <c r="B482" s="51"/>
    </row>
    <row r="483" ht="15.75" customHeight="1">
      <c r="B483" s="51"/>
    </row>
    <row r="484" ht="15.75" customHeight="1">
      <c r="B484" s="51"/>
    </row>
    <row r="485" ht="15.75" customHeight="1">
      <c r="B485" s="51"/>
    </row>
    <row r="486" ht="15.75" customHeight="1">
      <c r="B486" s="51"/>
    </row>
    <row r="487" ht="15.75" customHeight="1">
      <c r="B487" s="51"/>
    </row>
    <row r="488" ht="15.75" customHeight="1">
      <c r="B488" s="51"/>
    </row>
    <row r="489" ht="15.75" customHeight="1">
      <c r="B489" s="51"/>
    </row>
    <row r="490" ht="15.75" customHeight="1">
      <c r="B490" s="51"/>
    </row>
    <row r="491" ht="15.75" customHeight="1">
      <c r="B491" s="51"/>
    </row>
    <row r="492" ht="15.75" customHeight="1">
      <c r="B492" s="51"/>
    </row>
    <row r="493" ht="15.75" customHeight="1">
      <c r="B493" s="51"/>
    </row>
    <row r="494" ht="15.75" customHeight="1">
      <c r="B494" s="51"/>
    </row>
    <row r="495" ht="15.75" customHeight="1">
      <c r="B495" s="51"/>
    </row>
    <row r="496" ht="15.75" customHeight="1">
      <c r="B496" s="51"/>
    </row>
    <row r="497" ht="15.75" customHeight="1">
      <c r="B497" s="51"/>
    </row>
    <row r="498" ht="15.75" customHeight="1">
      <c r="B498" s="51"/>
    </row>
    <row r="499" ht="15.75" customHeight="1">
      <c r="B499" s="51"/>
    </row>
    <row r="500" ht="15.75" customHeight="1">
      <c r="B500" s="51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V1"/>
    <mergeCell ref="A2:V2"/>
  </mergeCells>
  <hyperlinks>
    <hyperlink r:id="rId1" ref="F32"/>
  </hyperlinks>
  <printOptions/>
  <pageMargins bottom="0.75" footer="0.0" header="0.0" left="0.7" right="0.7" top="0.75"/>
  <pageSetup orientation="landscape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75"/>
    <col customWidth="1" min="2" max="2" width="12.5"/>
    <col customWidth="1" min="3" max="3" width="22.5"/>
    <col customWidth="1" min="4" max="4" width="17.5"/>
    <col customWidth="1" min="5" max="5" width="16.25"/>
    <col customWidth="1" min="6" max="6" width="22.5"/>
    <col customWidth="1" min="7" max="8" width="12.5"/>
    <col customWidth="1" min="9" max="9" width="10.0"/>
    <col customWidth="1" min="10" max="10" width="11.25"/>
    <col customWidth="1" min="11" max="11" width="18.75"/>
    <col customWidth="1" min="12" max="12" width="15.0"/>
    <col customWidth="1" min="13" max="13" width="25.0"/>
    <col customWidth="1" min="14" max="14" width="13.75"/>
    <col customWidth="1" min="15" max="15" width="13.13"/>
    <col customWidth="1" min="16" max="16" width="10.0"/>
    <col customWidth="1" min="17" max="17" width="14.38"/>
    <col customWidth="1" min="18" max="18" width="15.0"/>
    <col customWidth="1" min="19" max="19" width="13.13"/>
    <col customWidth="1" min="20" max="20" width="14.38"/>
    <col customWidth="1" min="21" max="21" width="13.75"/>
    <col customWidth="1" min="22" max="22" width="26.25"/>
    <col customWidth="1" min="23" max="23" width="13.75"/>
    <col customWidth="1" min="24" max="24" width="13.13"/>
    <col customWidth="1" min="25" max="25" width="15.0"/>
    <col customWidth="1" min="26" max="26" width="10.63"/>
    <col customWidth="1" min="27" max="28" width="15.0"/>
    <col customWidth="1" min="29" max="29" width="21.25"/>
    <col customWidth="1" min="30" max="30" width="27.5"/>
  </cols>
  <sheetData>
    <row r="1" ht="27.0" customHeight="1">
      <c r="A1" s="1" t="s">
        <v>245</v>
      </c>
    </row>
    <row r="2" ht="25.5" customHeight="1">
      <c r="A2" s="2" t="s">
        <v>133</v>
      </c>
    </row>
    <row r="5">
      <c r="A5" s="3" t="s">
        <v>44</v>
      </c>
      <c r="B5" s="8" t="s">
        <v>51</v>
      </c>
      <c r="C5" s="8" t="s">
        <v>45</v>
      </c>
      <c r="D5" s="8" t="s">
        <v>53</v>
      </c>
      <c r="E5" s="8" t="s">
        <v>54</v>
      </c>
      <c r="F5" s="8" t="s">
        <v>55</v>
      </c>
      <c r="G5" s="8" t="s">
        <v>56</v>
      </c>
      <c r="H5" s="8" t="s">
        <v>57</v>
      </c>
      <c r="I5" s="8" t="s">
        <v>58</v>
      </c>
      <c r="J5" s="8" t="s">
        <v>59</v>
      </c>
      <c r="K5" s="8" t="s">
        <v>60</v>
      </c>
      <c r="L5" s="8" t="s">
        <v>61</v>
      </c>
      <c r="M5" s="8" t="s">
        <v>62</v>
      </c>
      <c r="N5" s="8" t="s">
        <v>63</v>
      </c>
      <c r="O5" s="8" t="s">
        <v>50</v>
      </c>
      <c r="P5" s="8" t="s">
        <v>23</v>
      </c>
      <c r="Q5" s="8" t="s">
        <v>29</v>
      </c>
      <c r="R5" s="8" t="s">
        <v>26</v>
      </c>
      <c r="S5" s="8" t="s">
        <v>65</v>
      </c>
      <c r="T5" s="8" t="s">
        <v>49</v>
      </c>
      <c r="U5" s="8" t="s">
        <v>67</v>
      </c>
      <c r="V5" s="8" t="s">
        <v>68</v>
      </c>
      <c r="W5" s="8" t="s">
        <v>69</v>
      </c>
      <c r="X5" s="8" t="s">
        <v>70</v>
      </c>
      <c r="Y5" s="8" t="s">
        <v>71</v>
      </c>
      <c r="Z5" s="8" t="s">
        <v>72</v>
      </c>
      <c r="AA5" s="8" t="s">
        <v>73</v>
      </c>
      <c r="AB5" s="8" t="s">
        <v>74</v>
      </c>
      <c r="AC5" s="8" t="s">
        <v>75</v>
      </c>
      <c r="AD5" s="9" t="s">
        <v>52</v>
      </c>
    </row>
    <row r="6">
      <c r="A6" s="50" t="str">
        <f>IFERROR(__xludf.DUMMYFUNCTION("IFERROR(FILTER('Master Leads'!$A$6:$AD$495, 'Master Leads'!$A$6:$A$495&lt;&gt;"""", 'Master Leads'!$K$6:$K$495=""Sanrakshya""), ""No matching leads yet"")"),"No matching leads yet")</f>
        <v>No matching leads yet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V1"/>
    <mergeCell ref="A2:V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75"/>
    <col customWidth="1" min="2" max="2" width="12.5"/>
    <col customWidth="1" min="3" max="3" width="22.5"/>
    <col customWidth="1" min="4" max="4" width="17.5"/>
    <col customWidth="1" min="5" max="5" width="16.25"/>
    <col customWidth="1" min="6" max="6" width="22.5"/>
    <col customWidth="1" min="7" max="8" width="12.5"/>
    <col customWidth="1" min="9" max="9" width="10.0"/>
    <col customWidth="1" min="10" max="10" width="11.25"/>
    <col customWidth="1" min="11" max="11" width="18.75"/>
    <col customWidth="1" min="12" max="12" width="15.0"/>
    <col customWidth="1" min="13" max="13" width="25.0"/>
    <col customWidth="1" min="14" max="14" width="13.75"/>
    <col customWidth="1" min="15" max="15" width="13.13"/>
    <col customWidth="1" min="16" max="16" width="10.0"/>
    <col customWidth="1" min="17" max="17" width="14.38"/>
    <col customWidth="1" min="18" max="18" width="15.0"/>
    <col customWidth="1" min="19" max="19" width="13.13"/>
    <col customWidth="1" min="20" max="20" width="14.38"/>
    <col customWidth="1" min="21" max="21" width="13.75"/>
    <col customWidth="1" min="22" max="22" width="26.25"/>
    <col customWidth="1" min="23" max="23" width="13.75"/>
    <col customWidth="1" min="24" max="24" width="13.13"/>
    <col customWidth="1" min="25" max="25" width="15.0"/>
    <col customWidth="1" min="26" max="26" width="10.63"/>
    <col customWidth="1" min="27" max="28" width="15.0"/>
    <col customWidth="1" min="29" max="29" width="21.25"/>
    <col customWidth="1" min="30" max="30" width="27.5"/>
  </cols>
  <sheetData>
    <row r="1" ht="27.0" customHeight="1">
      <c r="A1" s="1" t="s">
        <v>269</v>
      </c>
    </row>
    <row r="2" ht="25.5" customHeight="1">
      <c r="A2" s="2" t="s">
        <v>133</v>
      </c>
    </row>
    <row r="5">
      <c r="A5" s="3" t="s">
        <v>44</v>
      </c>
      <c r="B5" s="8" t="s">
        <v>51</v>
      </c>
      <c r="C5" s="8" t="s">
        <v>45</v>
      </c>
      <c r="D5" s="8" t="s">
        <v>53</v>
      </c>
      <c r="E5" s="8" t="s">
        <v>54</v>
      </c>
      <c r="F5" s="8" t="s">
        <v>55</v>
      </c>
      <c r="G5" s="8" t="s">
        <v>56</v>
      </c>
      <c r="H5" s="8" t="s">
        <v>57</v>
      </c>
      <c r="I5" s="8" t="s">
        <v>58</v>
      </c>
      <c r="J5" s="8" t="s">
        <v>59</v>
      </c>
      <c r="K5" s="8" t="s">
        <v>60</v>
      </c>
      <c r="L5" s="8" t="s">
        <v>61</v>
      </c>
      <c r="M5" s="8" t="s">
        <v>62</v>
      </c>
      <c r="N5" s="8" t="s">
        <v>63</v>
      </c>
      <c r="O5" s="8" t="s">
        <v>50</v>
      </c>
      <c r="P5" s="8" t="s">
        <v>23</v>
      </c>
      <c r="Q5" s="8" t="s">
        <v>29</v>
      </c>
      <c r="R5" s="8" t="s">
        <v>26</v>
      </c>
      <c r="S5" s="8" t="s">
        <v>65</v>
      </c>
      <c r="T5" s="8" t="s">
        <v>49</v>
      </c>
      <c r="U5" s="8" t="s">
        <v>67</v>
      </c>
      <c r="V5" s="8" t="s">
        <v>68</v>
      </c>
      <c r="W5" s="8" t="s">
        <v>69</v>
      </c>
      <c r="X5" s="8" t="s">
        <v>70</v>
      </c>
      <c r="Y5" s="8" t="s">
        <v>71</v>
      </c>
      <c r="Z5" s="8" t="s">
        <v>72</v>
      </c>
      <c r="AA5" s="8" t="s">
        <v>73</v>
      </c>
      <c r="AB5" s="8" t="s">
        <v>74</v>
      </c>
      <c r="AC5" s="8" t="s">
        <v>75</v>
      </c>
      <c r="AD5" s="9" t="s">
        <v>52</v>
      </c>
    </row>
    <row r="6">
      <c r="A6" s="50" t="str">
        <f>IFERROR(__xludf.DUMMYFUNCTION("IFERROR(FILTER('Master Leads'!$A$6:$AD$495, 'Master Leads'!$A$6:$A$495&lt;&gt;"""", 'Master Leads'!$K$6:$K$495=""Event OS""), ""No matching leads yet"")"),"No matching leads yet")</f>
        <v>No matching leads yet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V1"/>
    <mergeCell ref="A2:V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75"/>
    <col customWidth="1" min="2" max="2" width="12.5"/>
    <col customWidth="1" min="3" max="3" width="22.5"/>
    <col customWidth="1" min="4" max="4" width="17.5"/>
    <col customWidth="1" min="5" max="5" width="16.25"/>
    <col customWidth="1" min="6" max="6" width="22.5"/>
    <col customWidth="1" min="7" max="8" width="12.5"/>
    <col customWidth="1" min="9" max="9" width="10.0"/>
    <col customWidth="1" min="10" max="10" width="11.25"/>
    <col customWidth="1" min="11" max="11" width="18.75"/>
    <col customWidth="1" min="12" max="12" width="15.0"/>
    <col customWidth="1" min="13" max="13" width="25.0"/>
    <col customWidth="1" min="14" max="14" width="13.75"/>
    <col customWidth="1" min="15" max="15" width="13.13"/>
    <col customWidth="1" min="16" max="16" width="10.0"/>
    <col customWidth="1" min="17" max="17" width="14.38"/>
    <col customWidth="1" min="18" max="18" width="15.0"/>
    <col customWidth="1" min="19" max="19" width="13.13"/>
    <col customWidth="1" min="20" max="20" width="14.38"/>
    <col customWidth="1" min="21" max="21" width="13.75"/>
    <col customWidth="1" min="22" max="22" width="26.25"/>
    <col customWidth="1" min="23" max="23" width="13.75"/>
    <col customWidth="1" min="24" max="24" width="13.13"/>
    <col customWidth="1" min="25" max="25" width="15.0"/>
    <col customWidth="1" min="26" max="26" width="10.63"/>
    <col customWidth="1" min="27" max="28" width="15.0"/>
    <col customWidth="1" min="29" max="29" width="21.25"/>
    <col customWidth="1" min="30" max="30" width="27.5"/>
  </cols>
  <sheetData>
    <row r="1" ht="27.0" customHeight="1">
      <c r="A1" s="1" t="s">
        <v>282</v>
      </c>
    </row>
    <row r="2" ht="25.5" customHeight="1">
      <c r="A2" s="2" t="s">
        <v>133</v>
      </c>
    </row>
    <row r="5">
      <c r="A5" s="3" t="s">
        <v>44</v>
      </c>
      <c r="B5" s="8" t="s">
        <v>51</v>
      </c>
      <c r="C5" s="8" t="s">
        <v>45</v>
      </c>
      <c r="D5" s="8" t="s">
        <v>53</v>
      </c>
      <c r="E5" s="8" t="s">
        <v>54</v>
      </c>
      <c r="F5" s="8" t="s">
        <v>55</v>
      </c>
      <c r="G5" s="8" t="s">
        <v>56</v>
      </c>
      <c r="H5" s="8" t="s">
        <v>57</v>
      </c>
      <c r="I5" s="8" t="s">
        <v>58</v>
      </c>
      <c r="J5" s="8" t="s">
        <v>59</v>
      </c>
      <c r="K5" s="8" t="s">
        <v>60</v>
      </c>
      <c r="L5" s="8" t="s">
        <v>61</v>
      </c>
      <c r="M5" s="8" t="s">
        <v>62</v>
      </c>
      <c r="N5" s="8" t="s">
        <v>63</v>
      </c>
      <c r="O5" s="8" t="s">
        <v>50</v>
      </c>
      <c r="P5" s="8" t="s">
        <v>23</v>
      </c>
      <c r="Q5" s="8" t="s">
        <v>29</v>
      </c>
      <c r="R5" s="8" t="s">
        <v>26</v>
      </c>
      <c r="S5" s="8" t="s">
        <v>65</v>
      </c>
      <c r="T5" s="8" t="s">
        <v>49</v>
      </c>
      <c r="U5" s="8" t="s">
        <v>67</v>
      </c>
      <c r="V5" s="8" t="s">
        <v>68</v>
      </c>
      <c r="W5" s="8" t="s">
        <v>69</v>
      </c>
      <c r="X5" s="8" t="s">
        <v>70</v>
      </c>
      <c r="Y5" s="8" t="s">
        <v>71</v>
      </c>
      <c r="Z5" s="8" t="s">
        <v>72</v>
      </c>
      <c r="AA5" s="8" t="s">
        <v>73</v>
      </c>
      <c r="AB5" s="8" t="s">
        <v>74</v>
      </c>
      <c r="AC5" s="8" t="s">
        <v>75</v>
      </c>
      <c r="AD5" s="9" t="s">
        <v>52</v>
      </c>
    </row>
    <row r="6">
      <c r="A6" s="50" t="str">
        <f>IFERROR(__xludf.DUMMYFUNCTION("IFERROR(FILTER('Master Leads'!$A$6:$AD$495, 'Master Leads'!$A$6:$A$495&lt;&gt;"""", 'Master Leads'!$K$6:$K$495=""Pet Link OS""), ""No matching leads yet"")"),"No matching leads yet")</f>
        <v>No matching leads yet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V1"/>
    <mergeCell ref="A2:V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75"/>
    <col customWidth="1" min="2" max="2" width="12.5"/>
    <col customWidth="1" min="3" max="3" width="22.5"/>
    <col customWidth="1" min="4" max="4" width="17.5"/>
    <col customWidth="1" min="5" max="5" width="16.25"/>
    <col customWidth="1" min="6" max="6" width="22.5"/>
    <col customWidth="1" min="7" max="8" width="12.5"/>
    <col customWidth="1" min="9" max="9" width="10.0"/>
    <col customWidth="1" min="10" max="10" width="11.25"/>
    <col customWidth="1" min="11" max="11" width="18.75"/>
    <col customWidth="1" min="12" max="12" width="15.0"/>
    <col customWidth="1" min="13" max="13" width="25.0"/>
    <col customWidth="1" min="14" max="14" width="13.75"/>
    <col customWidth="1" min="15" max="15" width="13.13"/>
    <col customWidth="1" min="16" max="16" width="10.0"/>
    <col customWidth="1" min="17" max="17" width="14.38"/>
    <col customWidth="1" min="18" max="18" width="15.0"/>
    <col customWidth="1" min="19" max="19" width="13.13"/>
    <col customWidth="1" min="20" max="20" width="14.38"/>
    <col customWidth="1" min="21" max="21" width="13.75"/>
    <col customWidth="1" min="22" max="22" width="26.25"/>
    <col customWidth="1" min="23" max="23" width="13.75"/>
    <col customWidth="1" min="24" max="24" width="13.13"/>
    <col customWidth="1" min="25" max="25" width="15.0"/>
    <col customWidth="1" min="26" max="26" width="10.63"/>
    <col customWidth="1" min="27" max="28" width="15.0"/>
    <col customWidth="1" min="29" max="29" width="21.25"/>
    <col customWidth="1" min="30" max="30" width="27.5"/>
  </cols>
  <sheetData>
    <row r="1" ht="27.0" customHeight="1">
      <c r="A1" s="1" t="s">
        <v>300</v>
      </c>
    </row>
    <row r="2" ht="25.5" customHeight="1">
      <c r="A2" s="2" t="s">
        <v>133</v>
      </c>
    </row>
    <row r="5">
      <c r="A5" s="3" t="s">
        <v>44</v>
      </c>
      <c r="B5" s="8" t="s">
        <v>51</v>
      </c>
      <c r="C5" s="8" t="s">
        <v>45</v>
      </c>
      <c r="D5" s="8" t="s">
        <v>53</v>
      </c>
      <c r="E5" s="8" t="s">
        <v>54</v>
      </c>
      <c r="F5" s="8" t="s">
        <v>55</v>
      </c>
      <c r="G5" s="8" t="s">
        <v>56</v>
      </c>
      <c r="H5" s="8" t="s">
        <v>57</v>
      </c>
      <c r="I5" s="8" t="s">
        <v>58</v>
      </c>
      <c r="J5" s="8" t="s">
        <v>59</v>
      </c>
      <c r="K5" s="8" t="s">
        <v>60</v>
      </c>
      <c r="L5" s="8" t="s">
        <v>61</v>
      </c>
      <c r="M5" s="8" t="s">
        <v>62</v>
      </c>
      <c r="N5" s="8" t="s">
        <v>63</v>
      </c>
      <c r="O5" s="8" t="s">
        <v>50</v>
      </c>
      <c r="P5" s="8" t="s">
        <v>23</v>
      </c>
      <c r="Q5" s="8" t="s">
        <v>29</v>
      </c>
      <c r="R5" s="8" t="s">
        <v>26</v>
      </c>
      <c r="S5" s="8" t="s">
        <v>65</v>
      </c>
      <c r="T5" s="8" t="s">
        <v>49</v>
      </c>
      <c r="U5" s="8" t="s">
        <v>67</v>
      </c>
      <c r="V5" s="8" t="s">
        <v>68</v>
      </c>
      <c r="W5" s="8" t="s">
        <v>69</v>
      </c>
      <c r="X5" s="8" t="s">
        <v>70</v>
      </c>
      <c r="Y5" s="8" t="s">
        <v>71</v>
      </c>
      <c r="Z5" s="8" t="s">
        <v>72</v>
      </c>
      <c r="AA5" s="8" t="s">
        <v>73</v>
      </c>
      <c r="AB5" s="8" t="s">
        <v>74</v>
      </c>
      <c r="AC5" s="8" t="s">
        <v>75</v>
      </c>
      <c r="AD5" s="9" t="s">
        <v>52</v>
      </c>
    </row>
    <row r="6">
      <c r="A6" s="50">
        <f>IFERROR(__xludf.DUMMYFUNCTION("IFERROR(FILTER('Master Leads'!$A$6:$AD$495, 'Master Leads'!$A$6:$A$495&lt;&gt;"""", 'Master Leads'!$K$6:$K$495=""Optical""), ""No matching leads yet"")"),7.0)</f>
        <v>7</v>
      </c>
      <c r="B6" s="51">
        <f>IFERROR(__xludf.DUMMYFUNCTION("""COMPUTED_VALUE"""),46264.0)</f>
        <v>46264</v>
      </c>
      <c r="C6" s="50" t="str">
        <f>IFERROR(__xludf.DUMMYFUNCTION("""COMPUTED_VALUE"""),"Divyang Opticals")</f>
        <v>Divyang Opticals</v>
      </c>
      <c r="D6" s="50" t="str">
        <f>IFERROR(__xludf.DUMMYFUNCTION("""COMPUTED_VALUE"""),"Divyang")</f>
        <v>Divyang</v>
      </c>
      <c r="E6" s="50" t="str">
        <f>IFERROR(__xludf.DUMMYFUNCTION("""COMPUTED_VALUE"""),"9825403704")</f>
        <v>9825403704</v>
      </c>
      <c r="F6" s="50"/>
      <c r="G6" s="50" t="str">
        <f>IFERROR(__xludf.DUMMYFUNCTION("""COMPUTED_VALUE"""),"Ahmedabad")</f>
        <v>Ahmedabad</v>
      </c>
      <c r="H6" s="50" t="str">
        <f>IFERROR(__xludf.DUMMYFUNCTION("""COMPUTED_VALUE"""),"India")</f>
        <v>India</v>
      </c>
      <c r="I6" s="50" t="str">
        <f>IFERROR(__xludf.DUMMYFUNCTION("""COMPUTED_VALUE"""),"India")</f>
        <v>India</v>
      </c>
      <c r="J6" s="50" t="str">
        <f>IFERROR(__xludf.DUMMYFUNCTION("""COMPUTED_VALUE"""),"Service")</f>
        <v>Service</v>
      </c>
      <c r="K6" s="50" t="str">
        <f>IFERROR(__xludf.DUMMYFUNCTION("""COMPUTED_VALUE"""),"Optical")</f>
        <v>Optical</v>
      </c>
      <c r="L6" s="50" t="str">
        <f>IFERROR(__xludf.DUMMYFUNCTION("""COMPUTED_VALUE"""),"Optical/Eyewear")</f>
        <v>Optical/Eyewear</v>
      </c>
      <c r="M6" s="50"/>
      <c r="N6" s="50" t="str">
        <f>IFERROR(__xludf.DUMMYFUNCTION("""COMPUTED_VALUE"""),"Cold Outreach")</f>
        <v>Cold Outreach</v>
      </c>
      <c r="O6" s="50" t="str">
        <f>IFERROR(__xludf.DUMMYFUNCTION("""COMPUTED_VALUE"""),"Aastha")</f>
        <v>Aastha</v>
      </c>
      <c r="P6" s="50" t="str">
        <f>IFERROR(__xludf.DUMMYFUNCTION("""COMPUTED_VALUE"""),"Hot")</f>
        <v>Hot</v>
      </c>
      <c r="Q6" s="50" t="str">
        <f>IFERROR(__xludf.DUMMYFUNCTION("""COMPUTED_VALUE"""),"Negotiation")</f>
        <v>Negotiation</v>
      </c>
      <c r="R6" s="50" t="str">
        <f>IFERROR(__xludf.DUMMYFUNCTION("""COMPUTED_VALUE"""),"3rd Follow-Up")</f>
        <v>3rd Follow-Up</v>
      </c>
      <c r="S6" s="50">
        <f>IFERROR(__xludf.DUMMYFUNCTION("""COMPUTED_VALUE"""),46270.0)</f>
        <v>46270</v>
      </c>
      <c r="T6" s="50"/>
      <c r="U6" s="50" t="str">
        <f>IFERROR(__xludf.DUMMYFUNCTION("""COMPUTED_VALUE"""),"Not Scheduled")</f>
        <v>Not Scheduled</v>
      </c>
      <c r="V6" s="50"/>
      <c r="W6" s="50"/>
      <c r="X6" s="50"/>
      <c r="Y6" s="50"/>
      <c r="Z6" s="50"/>
      <c r="AA6" s="50">
        <f>IFERROR(__xludf.DUMMYFUNCTION("""COMPUTED_VALUE"""),0.0)</f>
        <v>0</v>
      </c>
      <c r="AB6" s="50"/>
      <c r="AC6" s="50"/>
      <c r="AD6" s="50"/>
    </row>
    <row r="7">
      <c r="A7" s="50">
        <f>IFERROR(__xludf.DUMMYFUNCTION("""COMPUTED_VALUE"""),117.0)</f>
        <v>117</v>
      </c>
      <c r="B7" s="51">
        <f>IFERROR(__xludf.DUMMYFUNCTION("""COMPUTED_VALUE"""),46274.0)</f>
        <v>46274</v>
      </c>
      <c r="C7" s="50" t="str">
        <f>IFERROR(__xludf.DUMMYFUNCTION("""COMPUTED_VALUE"""),"Anamica Opticals")</f>
        <v>Anamica Opticals</v>
      </c>
      <c r="D7" s="50" t="str">
        <f>IFERROR(__xludf.DUMMYFUNCTION("""COMPUTED_VALUE"""),"Ridham")</f>
        <v>Ridham</v>
      </c>
      <c r="E7" s="50" t="str">
        <f>IFERROR(__xludf.DUMMYFUNCTION("""COMPUTED_VALUE"""),"7043990817")</f>
        <v>7043990817</v>
      </c>
      <c r="F7" s="50"/>
      <c r="G7" s="50" t="str">
        <f>IFERROR(__xludf.DUMMYFUNCTION("""COMPUTED_VALUE"""),"Ahmedabad")</f>
        <v>Ahmedabad</v>
      </c>
      <c r="H7" s="50" t="str">
        <f>IFERROR(__xludf.DUMMYFUNCTION("""COMPUTED_VALUE"""),"India")</f>
        <v>India</v>
      </c>
      <c r="I7" s="50" t="str">
        <f>IFERROR(__xludf.DUMMYFUNCTION("""COMPUTED_VALUE"""),"India")</f>
        <v>India</v>
      </c>
      <c r="J7" s="50" t="str">
        <f>IFERROR(__xludf.DUMMYFUNCTION("""COMPUTED_VALUE"""),"Service")</f>
        <v>Service</v>
      </c>
      <c r="K7" s="50" t="str">
        <f>IFERROR(__xludf.DUMMYFUNCTION("""COMPUTED_VALUE"""),"Optical")</f>
        <v>Optical</v>
      </c>
      <c r="L7" s="50" t="str">
        <f>IFERROR(__xludf.DUMMYFUNCTION("""COMPUTED_VALUE"""),"Optical/Eyewear")</f>
        <v>Optical/Eyewear</v>
      </c>
      <c r="M7" s="50"/>
      <c r="N7" s="50" t="str">
        <f>IFERROR(__xludf.DUMMYFUNCTION("""COMPUTED_VALUE"""),"Cold Outreach")</f>
        <v>Cold Outreach</v>
      </c>
      <c r="O7" s="50" t="str">
        <f>IFERROR(__xludf.DUMMYFUNCTION("""COMPUTED_VALUE"""),"Aastha")</f>
        <v>Aastha</v>
      </c>
      <c r="P7" s="50"/>
      <c r="Q7" s="50"/>
      <c r="R7" s="50"/>
      <c r="S7" s="50"/>
      <c r="T7" s="50"/>
      <c r="U7" s="50" t="str">
        <f>IFERROR(__xludf.DUMMYFUNCTION("""COMPUTED_VALUE"""),"Not Scheduled")</f>
        <v>Not Scheduled</v>
      </c>
      <c r="V7" s="50"/>
      <c r="W7" s="50"/>
      <c r="X7" s="50"/>
      <c r="Y7" s="50"/>
      <c r="Z7" s="50"/>
      <c r="AA7" s="50">
        <f>IFERROR(__xludf.DUMMYFUNCTION("""COMPUTED_VALUE"""),0.0)</f>
        <v>0</v>
      </c>
      <c r="AB7" s="50"/>
      <c r="AC7" s="50"/>
      <c r="AD7" s="50"/>
    </row>
    <row r="8">
      <c r="B8" s="51"/>
    </row>
    <row r="9">
      <c r="B9" s="51"/>
    </row>
    <row r="10">
      <c r="B10" s="51"/>
    </row>
    <row r="11">
      <c r="B11" s="51"/>
    </row>
    <row r="12">
      <c r="B12" s="51"/>
    </row>
    <row r="13">
      <c r="B13" s="51"/>
    </row>
    <row r="14">
      <c r="B14" s="51"/>
    </row>
    <row r="15">
      <c r="B15" s="51"/>
    </row>
    <row r="16">
      <c r="B16" s="51"/>
    </row>
    <row r="17">
      <c r="B17" s="51"/>
    </row>
    <row r="18">
      <c r="B18" s="51"/>
    </row>
    <row r="19">
      <c r="B19" s="51"/>
    </row>
    <row r="20">
      <c r="B20" s="51"/>
    </row>
    <row r="21" ht="15.75" customHeight="1">
      <c r="B21" s="51"/>
    </row>
    <row r="22" ht="15.75" customHeight="1">
      <c r="B22" s="51"/>
    </row>
    <row r="23" ht="15.75" customHeight="1">
      <c r="B23" s="51"/>
    </row>
    <row r="24" ht="15.75" customHeight="1">
      <c r="B24" s="51"/>
    </row>
    <row r="25" ht="15.75" customHeight="1">
      <c r="B25" s="51"/>
    </row>
    <row r="26" ht="15.75" customHeight="1">
      <c r="B26" s="51"/>
    </row>
    <row r="27" ht="15.75" customHeight="1">
      <c r="B27" s="51"/>
    </row>
    <row r="28" ht="15.75" customHeight="1">
      <c r="B28" s="51"/>
    </row>
    <row r="29" ht="15.75" customHeight="1">
      <c r="B29" s="51"/>
    </row>
    <row r="30" ht="15.75" customHeight="1">
      <c r="B30" s="51"/>
    </row>
    <row r="31" ht="15.75" customHeight="1">
      <c r="B31" s="51"/>
    </row>
    <row r="32" ht="15.75" customHeight="1">
      <c r="B32" s="51"/>
    </row>
    <row r="33" ht="15.75" customHeight="1">
      <c r="B33" s="51"/>
    </row>
    <row r="34" ht="15.75" customHeight="1">
      <c r="B34" s="51"/>
    </row>
    <row r="35" ht="15.75" customHeight="1">
      <c r="B35" s="51"/>
    </row>
    <row r="36" ht="15.75" customHeight="1">
      <c r="B36" s="51"/>
    </row>
    <row r="37" ht="15.75" customHeight="1">
      <c r="B37" s="51"/>
    </row>
    <row r="38" ht="15.75" customHeight="1">
      <c r="B38" s="51"/>
    </row>
    <row r="39" ht="15.75" customHeight="1">
      <c r="B39" s="51"/>
    </row>
    <row r="40" ht="15.75" customHeight="1">
      <c r="B40" s="51"/>
    </row>
    <row r="41" ht="15.75" customHeight="1">
      <c r="B41" s="51"/>
    </row>
    <row r="42" ht="15.75" customHeight="1">
      <c r="B42" s="51"/>
    </row>
    <row r="43" ht="15.75" customHeight="1">
      <c r="B43" s="51"/>
    </row>
    <row r="44" ht="15.75" customHeight="1">
      <c r="B44" s="51"/>
    </row>
    <row r="45" ht="15.75" customHeight="1">
      <c r="B45" s="51"/>
    </row>
    <row r="46" ht="15.75" customHeight="1">
      <c r="B46" s="51"/>
    </row>
    <row r="47" ht="15.75" customHeight="1">
      <c r="B47" s="51"/>
    </row>
    <row r="48" ht="15.75" customHeight="1">
      <c r="B48" s="51"/>
    </row>
    <row r="49" ht="15.75" customHeight="1">
      <c r="B49" s="51"/>
    </row>
    <row r="50" ht="15.75" customHeight="1">
      <c r="B50" s="51"/>
    </row>
    <row r="51" ht="15.75" customHeight="1">
      <c r="B51" s="51"/>
    </row>
    <row r="52" ht="15.75" customHeight="1">
      <c r="B52" s="51"/>
    </row>
    <row r="53" ht="15.75" customHeight="1">
      <c r="B53" s="51"/>
    </row>
    <row r="54" ht="15.75" customHeight="1">
      <c r="B54" s="51"/>
    </row>
    <row r="55" ht="15.75" customHeight="1">
      <c r="B55" s="51"/>
    </row>
    <row r="56" ht="15.75" customHeight="1">
      <c r="B56" s="51"/>
    </row>
    <row r="57" ht="15.75" customHeight="1">
      <c r="B57" s="51"/>
    </row>
    <row r="58" ht="15.75" customHeight="1">
      <c r="B58" s="51"/>
    </row>
    <row r="59" ht="15.75" customHeight="1">
      <c r="B59" s="51"/>
    </row>
    <row r="60" ht="15.75" customHeight="1">
      <c r="B60" s="51"/>
    </row>
    <row r="61" ht="15.75" customHeight="1">
      <c r="B61" s="51"/>
    </row>
    <row r="62" ht="15.75" customHeight="1">
      <c r="B62" s="51"/>
    </row>
    <row r="63" ht="15.75" customHeight="1">
      <c r="B63" s="51"/>
    </row>
    <row r="64" ht="15.75" customHeight="1">
      <c r="B64" s="51"/>
    </row>
    <row r="65" ht="15.75" customHeight="1">
      <c r="B65" s="51"/>
    </row>
    <row r="66" ht="15.75" customHeight="1">
      <c r="B66" s="51"/>
    </row>
    <row r="67" ht="15.75" customHeight="1">
      <c r="B67" s="51"/>
    </row>
    <row r="68" ht="15.75" customHeight="1">
      <c r="B68" s="51"/>
    </row>
    <row r="69" ht="15.75" customHeight="1">
      <c r="B69" s="51"/>
    </row>
    <row r="70" ht="15.75" customHeight="1">
      <c r="B70" s="51"/>
    </row>
    <row r="71" ht="15.75" customHeight="1">
      <c r="B71" s="51"/>
    </row>
    <row r="72" ht="15.75" customHeight="1">
      <c r="B72" s="51"/>
    </row>
    <row r="73" ht="15.75" customHeight="1">
      <c r="B73" s="51"/>
    </row>
    <row r="74" ht="15.75" customHeight="1">
      <c r="B74" s="51"/>
    </row>
    <row r="75" ht="15.75" customHeight="1">
      <c r="B75" s="51"/>
    </row>
    <row r="76" ht="15.75" customHeight="1">
      <c r="B76" s="51"/>
    </row>
    <row r="77" ht="15.75" customHeight="1">
      <c r="B77" s="51"/>
    </row>
    <row r="78" ht="15.75" customHeight="1">
      <c r="B78" s="51"/>
    </row>
    <row r="79" ht="15.75" customHeight="1">
      <c r="B79" s="51"/>
    </row>
    <row r="80" ht="15.75" customHeight="1">
      <c r="B80" s="51"/>
    </row>
    <row r="81" ht="15.75" customHeight="1">
      <c r="B81" s="51"/>
    </row>
    <row r="82" ht="15.75" customHeight="1">
      <c r="B82" s="51"/>
    </row>
    <row r="83" ht="15.75" customHeight="1">
      <c r="B83" s="51"/>
    </row>
    <row r="84" ht="15.75" customHeight="1">
      <c r="B84" s="51"/>
    </row>
    <row r="85" ht="15.75" customHeight="1">
      <c r="B85" s="51"/>
    </row>
    <row r="86" ht="15.75" customHeight="1">
      <c r="B86" s="51"/>
    </row>
    <row r="87" ht="15.75" customHeight="1">
      <c r="B87" s="51"/>
    </row>
    <row r="88" ht="15.75" customHeight="1">
      <c r="B88" s="51"/>
    </row>
    <row r="89" ht="15.75" customHeight="1">
      <c r="B89" s="51"/>
    </row>
    <row r="90" ht="15.75" customHeight="1">
      <c r="B90" s="51"/>
    </row>
    <row r="91" ht="15.75" customHeight="1">
      <c r="B91" s="51"/>
    </row>
    <row r="92" ht="15.75" customHeight="1">
      <c r="B92" s="51"/>
    </row>
    <row r="93" ht="15.75" customHeight="1">
      <c r="B93" s="51"/>
    </row>
    <row r="94" ht="15.75" customHeight="1">
      <c r="B94" s="51"/>
    </row>
    <row r="95" ht="15.75" customHeight="1">
      <c r="B95" s="51"/>
    </row>
    <row r="96" ht="15.75" customHeight="1">
      <c r="B96" s="51"/>
    </row>
    <row r="97" ht="15.75" customHeight="1">
      <c r="B97" s="51"/>
    </row>
    <row r="98" ht="15.75" customHeight="1">
      <c r="B98" s="51"/>
    </row>
    <row r="99" ht="15.75" customHeight="1">
      <c r="B99" s="51"/>
    </row>
    <row r="100" ht="15.75" customHeight="1">
      <c r="B100" s="51"/>
    </row>
    <row r="101" ht="15.75" customHeight="1">
      <c r="B101" s="51"/>
    </row>
    <row r="102" ht="15.75" customHeight="1">
      <c r="B102" s="51"/>
    </row>
    <row r="103" ht="15.75" customHeight="1">
      <c r="B103" s="51"/>
    </row>
    <row r="104" ht="15.75" customHeight="1">
      <c r="B104" s="51"/>
    </row>
    <row r="105" ht="15.75" customHeight="1">
      <c r="B105" s="51"/>
    </row>
    <row r="106" ht="15.75" customHeight="1">
      <c r="B106" s="51"/>
    </row>
    <row r="107" ht="15.75" customHeight="1">
      <c r="B107" s="51"/>
    </row>
    <row r="108" ht="15.75" customHeight="1">
      <c r="B108" s="51"/>
    </row>
    <row r="109" ht="15.75" customHeight="1">
      <c r="B109" s="51"/>
    </row>
    <row r="110" ht="15.75" customHeight="1">
      <c r="B110" s="51"/>
    </row>
    <row r="111" ht="15.75" customHeight="1">
      <c r="B111" s="51"/>
    </row>
    <row r="112" ht="15.75" customHeight="1">
      <c r="B112" s="51"/>
    </row>
    <row r="113" ht="15.75" customHeight="1">
      <c r="B113" s="51"/>
    </row>
    <row r="114" ht="15.75" customHeight="1">
      <c r="B114" s="51"/>
    </row>
    <row r="115" ht="15.75" customHeight="1">
      <c r="B115" s="51"/>
    </row>
    <row r="116" ht="15.75" customHeight="1">
      <c r="B116" s="51"/>
    </row>
    <row r="117" ht="15.75" customHeight="1">
      <c r="B117" s="51"/>
    </row>
    <row r="118" ht="15.75" customHeight="1">
      <c r="B118" s="51"/>
    </row>
    <row r="119" ht="15.75" customHeight="1">
      <c r="B119" s="51"/>
    </row>
    <row r="120" ht="15.75" customHeight="1">
      <c r="B120" s="51"/>
    </row>
    <row r="121" ht="15.75" customHeight="1">
      <c r="B121" s="51"/>
    </row>
    <row r="122" ht="15.75" customHeight="1">
      <c r="B122" s="51"/>
    </row>
    <row r="123" ht="15.75" customHeight="1">
      <c r="B123" s="51"/>
    </row>
    <row r="124" ht="15.75" customHeight="1">
      <c r="B124" s="51"/>
    </row>
    <row r="125" ht="15.75" customHeight="1">
      <c r="B125" s="51"/>
    </row>
    <row r="126" ht="15.75" customHeight="1">
      <c r="B126" s="51"/>
    </row>
    <row r="127" ht="15.75" customHeight="1">
      <c r="B127" s="51"/>
    </row>
    <row r="128" ht="15.75" customHeight="1">
      <c r="B128" s="51"/>
    </row>
    <row r="129" ht="15.75" customHeight="1">
      <c r="B129" s="51"/>
    </row>
    <row r="130" ht="15.75" customHeight="1">
      <c r="B130" s="51"/>
    </row>
    <row r="131" ht="15.75" customHeight="1">
      <c r="B131" s="51"/>
    </row>
    <row r="132" ht="15.75" customHeight="1">
      <c r="B132" s="51"/>
    </row>
    <row r="133" ht="15.75" customHeight="1">
      <c r="B133" s="51"/>
    </row>
    <row r="134" ht="15.75" customHeight="1">
      <c r="B134" s="51"/>
    </row>
    <row r="135" ht="15.75" customHeight="1">
      <c r="B135" s="51"/>
    </row>
    <row r="136" ht="15.75" customHeight="1">
      <c r="B136" s="51"/>
    </row>
    <row r="137" ht="15.75" customHeight="1">
      <c r="B137" s="51"/>
    </row>
    <row r="138" ht="15.75" customHeight="1">
      <c r="B138" s="51"/>
    </row>
    <row r="139" ht="15.75" customHeight="1">
      <c r="B139" s="51"/>
    </row>
    <row r="140" ht="15.75" customHeight="1">
      <c r="B140" s="51"/>
    </row>
    <row r="141" ht="15.75" customHeight="1">
      <c r="B141" s="51"/>
    </row>
    <row r="142" ht="15.75" customHeight="1">
      <c r="B142" s="51"/>
    </row>
    <row r="143" ht="15.75" customHeight="1">
      <c r="B143" s="51"/>
    </row>
    <row r="144" ht="15.75" customHeight="1">
      <c r="B144" s="51"/>
    </row>
    <row r="145" ht="15.75" customHeight="1">
      <c r="B145" s="51"/>
    </row>
    <row r="146" ht="15.75" customHeight="1">
      <c r="B146" s="51"/>
    </row>
    <row r="147" ht="15.75" customHeight="1">
      <c r="B147" s="51"/>
    </row>
    <row r="148" ht="15.75" customHeight="1">
      <c r="B148" s="51"/>
    </row>
    <row r="149" ht="15.75" customHeight="1">
      <c r="B149" s="51"/>
    </row>
    <row r="150" ht="15.75" customHeight="1">
      <c r="B150" s="51"/>
    </row>
    <row r="151" ht="15.75" customHeight="1">
      <c r="B151" s="51"/>
    </row>
    <row r="152" ht="15.75" customHeight="1">
      <c r="B152" s="51"/>
    </row>
    <row r="153" ht="15.75" customHeight="1">
      <c r="B153" s="51"/>
    </row>
    <row r="154" ht="15.75" customHeight="1">
      <c r="B154" s="51"/>
    </row>
    <row r="155" ht="15.75" customHeight="1">
      <c r="B155" s="51"/>
    </row>
    <row r="156" ht="15.75" customHeight="1">
      <c r="B156" s="51"/>
    </row>
    <row r="157" ht="15.75" customHeight="1">
      <c r="B157" s="51"/>
    </row>
    <row r="158" ht="15.75" customHeight="1">
      <c r="B158" s="51"/>
    </row>
    <row r="159" ht="15.75" customHeight="1">
      <c r="B159" s="51"/>
    </row>
    <row r="160" ht="15.75" customHeight="1">
      <c r="B160" s="51"/>
    </row>
    <row r="161" ht="15.75" customHeight="1">
      <c r="B161" s="51"/>
    </row>
    <row r="162" ht="15.75" customHeight="1">
      <c r="B162" s="51"/>
    </row>
    <row r="163" ht="15.75" customHeight="1">
      <c r="B163" s="51"/>
    </row>
    <row r="164" ht="15.75" customHeight="1">
      <c r="B164" s="51"/>
    </row>
    <row r="165" ht="15.75" customHeight="1">
      <c r="B165" s="51"/>
    </row>
    <row r="166" ht="15.75" customHeight="1">
      <c r="B166" s="51"/>
    </row>
    <row r="167" ht="15.75" customHeight="1">
      <c r="B167" s="51"/>
    </row>
    <row r="168" ht="15.75" customHeight="1">
      <c r="B168" s="51"/>
    </row>
    <row r="169" ht="15.75" customHeight="1">
      <c r="B169" s="51"/>
    </row>
    <row r="170" ht="15.75" customHeight="1">
      <c r="B170" s="51"/>
    </row>
    <row r="171" ht="15.75" customHeight="1">
      <c r="B171" s="51"/>
    </row>
    <row r="172" ht="15.75" customHeight="1">
      <c r="B172" s="51"/>
    </row>
    <row r="173" ht="15.75" customHeight="1">
      <c r="B173" s="51"/>
    </row>
    <row r="174" ht="15.75" customHeight="1">
      <c r="B174" s="51"/>
    </row>
    <row r="175" ht="15.75" customHeight="1">
      <c r="B175" s="51"/>
    </row>
    <row r="176" ht="15.75" customHeight="1">
      <c r="B176" s="51"/>
    </row>
    <row r="177" ht="15.75" customHeight="1">
      <c r="B177" s="51"/>
    </row>
    <row r="178" ht="15.75" customHeight="1">
      <c r="B178" s="51"/>
    </row>
    <row r="179" ht="15.75" customHeight="1">
      <c r="B179" s="51"/>
    </row>
    <row r="180" ht="15.75" customHeight="1">
      <c r="B180" s="51"/>
    </row>
    <row r="181" ht="15.75" customHeight="1">
      <c r="B181" s="51"/>
    </row>
    <row r="182" ht="15.75" customHeight="1">
      <c r="B182" s="51"/>
    </row>
    <row r="183" ht="15.75" customHeight="1">
      <c r="B183" s="51"/>
    </row>
    <row r="184" ht="15.75" customHeight="1">
      <c r="B184" s="51"/>
    </row>
    <row r="185" ht="15.75" customHeight="1">
      <c r="B185" s="51"/>
    </row>
    <row r="186" ht="15.75" customHeight="1">
      <c r="B186" s="51"/>
    </row>
    <row r="187" ht="15.75" customHeight="1">
      <c r="B187" s="51"/>
    </row>
    <row r="188" ht="15.75" customHeight="1">
      <c r="B188" s="51"/>
    </row>
    <row r="189" ht="15.75" customHeight="1">
      <c r="B189" s="51"/>
    </row>
    <row r="190" ht="15.75" customHeight="1">
      <c r="B190" s="51"/>
    </row>
    <row r="191" ht="15.75" customHeight="1">
      <c r="B191" s="51"/>
    </row>
    <row r="192" ht="15.75" customHeight="1">
      <c r="B192" s="51"/>
    </row>
    <row r="193" ht="15.75" customHeight="1">
      <c r="B193" s="51"/>
    </row>
    <row r="194" ht="15.75" customHeight="1">
      <c r="B194" s="51"/>
    </row>
    <row r="195" ht="15.75" customHeight="1">
      <c r="B195" s="51"/>
    </row>
    <row r="196" ht="15.75" customHeight="1">
      <c r="B196" s="51"/>
    </row>
    <row r="197" ht="15.75" customHeight="1">
      <c r="B197" s="51"/>
    </row>
    <row r="198" ht="15.75" customHeight="1">
      <c r="B198" s="51"/>
    </row>
    <row r="199" ht="15.75" customHeight="1">
      <c r="B199" s="51"/>
    </row>
    <row r="200" ht="15.75" customHeight="1">
      <c r="B200" s="51"/>
    </row>
    <row r="201" ht="15.75" customHeight="1">
      <c r="B201" s="51"/>
    </row>
    <row r="202" ht="15.75" customHeight="1">
      <c r="B202" s="51"/>
    </row>
    <row r="203" ht="15.75" customHeight="1">
      <c r="B203" s="51"/>
    </row>
    <row r="204" ht="15.75" customHeight="1">
      <c r="B204" s="51"/>
    </row>
    <row r="205" ht="15.75" customHeight="1">
      <c r="B205" s="51"/>
    </row>
    <row r="206" ht="15.75" customHeight="1">
      <c r="B206" s="51"/>
    </row>
    <row r="207" ht="15.75" customHeight="1">
      <c r="B207" s="51"/>
    </row>
    <row r="208" ht="15.75" customHeight="1">
      <c r="B208" s="51"/>
    </row>
    <row r="209" ht="15.75" customHeight="1">
      <c r="B209" s="51"/>
    </row>
    <row r="210" ht="15.75" customHeight="1">
      <c r="B210" s="51"/>
    </row>
    <row r="211" ht="15.75" customHeight="1">
      <c r="B211" s="51"/>
    </row>
    <row r="212" ht="15.75" customHeight="1">
      <c r="B212" s="51"/>
    </row>
    <row r="213" ht="15.75" customHeight="1">
      <c r="B213" s="51"/>
    </row>
    <row r="214" ht="15.75" customHeight="1">
      <c r="B214" s="51"/>
    </row>
    <row r="215" ht="15.75" customHeight="1">
      <c r="B215" s="51"/>
    </row>
    <row r="216" ht="15.75" customHeight="1">
      <c r="B216" s="51"/>
    </row>
    <row r="217" ht="15.75" customHeight="1">
      <c r="B217" s="51"/>
    </row>
    <row r="218" ht="15.75" customHeight="1">
      <c r="B218" s="51"/>
    </row>
    <row r="219" ht="15.75" customHeight="1">
      <c r="B219" s="51"/>
    </row>
    <row r="220" ht="15.75" customHeight="1">
      <c r="B220" s="51"/>
    </row>
    <row r="221" ht="15.75" customHeight="1">
      <c r="B221" s="51"/>
    </row>
    <row r="222" ht="15.75" customHeight="1">
      <c r="B222" s="51"/>
    </row>
    <row r="223" ht="15.75" customHeight="1">
      <c r="B223" s="51"/>
    </row>
    <row r="224" ht="15.75" customHeight="1">
      <c r="B224" s="51"/>
    </row>
    <row r="225" ht="15.75" customHeight="1">
      <c r="B225" s="51"/>
    </row>
    <row r="226" ht="15.75" customHeight="1">
      <c r="B226" s="51"/>
    </row>
    <row r="227" ht="15.75" customHeight="1">
      <c r="B227" s="51"/>
    </row>
    <row r="228" ht="15.75" customHeight="1">
      <c r="B228" s="51"/>
    </row>
    <row r="229" ht="15.75" customHeight="1">
      <c r="B229" s="51"/>
    </row>
    <row r="230" ht="15.75" customHeight="1">
      <c r="B230" s="51"/>
    </row>
    <row r="231" ht="15.75" customHeight="1">
      <c r="B231" s="51"/>
    </row>
    <row r="232" ht="15.75" customHeight="1">
      <c r="B232" s="51"/>
    </row>
    <row r="233" ht="15.75" customHeight="1">
      <c r="B233" s="51"/>
    </row>
    <row r="234" ht="15.75" customHeight="1">
      <c r="B234" s="51"/>
    </row>
    <row r="235" ht="15.75" customHeight="1">
      <c r="B235" s="51"/>
    </row>
    <row r="236" ht="15.75" customHeight="1">
      <c r="B236" s="51"/>
    </row>
    <row r="237" ht="15.75" customHeight="1">
      <c r="B237" s="51"/>
    </row>
    <row r="238" ht="15.75" customHeight="1">
      <c r="B238" s="51"/>
    </row>
    <row r="239" ht="15.75" customHeight="1">
      <c r="B239" s="51"/>
    </row>
    <row r="240" ht="15.75" customHeight="1">
      <c r="B240" s="51"/>
    </row>
    <row r="241" ht="15.75" customHeight="1">
      <c r="B241" s="51"/>
    </row>
    <row r="242" ht="15.75" customHeight="1">
      <c r="B242" s="51"/>
    </row>
    <row r="243" ht="15.75" customHeight="1">
      <c r="B243" s="51"/>
    </row>
    <row r="244" ht="15.75" customHeight="1">
      <c r="B244" s="51"/>
    </row>
    <row r="245" ht="15.75" customHeight="1">
      <c r="B245" s="51"/>
    </row>
    <row r="246" ht="15.75" customHeight="1">
      <c r="B246" s="51"/>
    </row>
    <row r="247" ht="15.75" customHeight="1">
      <c r="B247" s="51"/>
    </row>
    <row r="248" ht="15.75" customHeight="1">
      <c r="B248" s="51"/>
    </row>
    <row r="249" ht="15.75" customHeight="1">
      <c r="B249" s="51"/>
    </row>
    <row r="250" ht="15.75" customHeight="1">
      <c r="B250" s="51"/>
    </row>
    <row r="251" ht="15.75" customHeight="1">
      <c r="B251" s="51"/>
    </row>
    <row r="252" ht="15.75" customHeight="1">
      <c r="B252" s="51"/>
    </row>
    <row r="253" ht="15.75" customHeight="1">
      <c r="B253" s="51"/>
    </row>
    <row r="254" ht="15.75" customHeight="1">
      <c r="B254" s="51"/>
    </row>
    <row r="255" ht="15.75" customHeight="1">
      <c r="B255" s="51"/>
    </row>
    <row r="256" ht="15.75" customHeight="1">
      <c r="B256" s="51"/>
    </row>
    <row r="257" ht="15.75" customHeight="1">
      <c r="B257" s="51"/>
    </row>
    <row r="258" ht="15.75" customHeight="1">
      <c r="B258" s="51"/>
    </row>
    <row r="259" ht="15.75" customHeight="1">
      <c r="B259" s="51"/>
    </row>
    <row r="260" ht="15.75" customHeight="1">
      <c r="B260" s="51"/>
    </row>
    <row r="261" ht="15.75" customHeight="1">
      <c r="B261" s="51"/>
    </row>
    <row r="262" ht="15.75" customHeight="1">
      <c r="B262" s="51"/>
    </row>
    <row r="263" ht="15.75" customHeight="1">
      <c r="B263" s="51"/>
    </row>
    <row r="264" ht="15.75" customHeight="1">
      <c r="B264" s="51"/>
    </row>
    <row r="265" ht="15.75" customHeight="1">
      <c r="B265" s="51"/>
    </row>
    <row r="266" ht="15.75" customHeight="1">
      <c r="B266" s="51"/>
    </row>
    <row r="267" ht="15.75" customHeight="1">
      <c r="B267" s="51"/>
    </row>
    <row r="268" ht="15.75" customHeight="1">
      <c r="B268" s="51"/>
    </row>
    <row r="269" ht="15.75" customHeight="1">
      <c r="B269" s="51"/>
    </row>
    <row r="270" ht="15.75" customHeight="1">
      <c r="B270" s="51"/>
    </row>
    <row r="271" ht="15.75" customHeight="1">
      <c r="B271" s="51"/>
    </row>
    <row r="272" ht="15.75" customHeight="1">
      <c r="B272" s="51"/>
    </row>
    <row r="273" ht="15.75" customHeight="1">
      <c r="B273" s="51"/>
    </row>
    <row r="274" ht="15.75" customHeight="1">
      <c r="B274" s="51"/>
    </row>
    <row r="275" ht="15.75" customHeight="1">
      <c r="B275" s="51"/>
    </row>
    <row r="276" ht="15.75" customHeight="1">
      <c r="B276" s="51"/>
    </row>
    <row r="277" ht="15.75" customHeight="1">
      <c r="B277" s="51"/>
    </row>
    <row r="278" ht="15.75" customHeight="1">
      <c r="B278" s="51"/>
    </row>
    <row r="279" ht="15.75" customHeight="1">
      <c r="B279" s="51"/>
    </row>
    <row r="280" ht="15.75" customHeight="1">
      <c r="B280" s="51"/>
    </row>
    <row r="281" ht="15.75" customHeight="1">
      <c r="B281" s="51"/>
    </row>
    <row r="282" ht="15.75" customHeight="1">
      <c r="B282" s="51"/>
    </row>
    <row r="283" ht="15.75" customHeight="1">
      <c r="B283" s="51"/>
    </row>
    <row r="284" ht="15.75" customHeight="1">
      <c r="B284" s="51"/>
    </row>
    <row r="285" ht="15.75" customHeight="1">
      <c r="B285" s="51"/>
    </row>
    <row r="286" ht="15.75" customHeight="1">
      <c r="B286" s="51"/>
    </row>
    <row r="287" ht="15.75" customHeight="1">
      <c r="B287" s="51"/>
    </row>
    <row r="288" ht="15.75" customHeight="1">
      <c r="B288" s="51"/>
    </row>
    <row r="289" ht="15.75" customHeight="1">
      <c r="B289" s="51"/>
    </row>
    <row r="290" ht="15.75" customHeight="1">
      <c r="B290" s="51"/>
    </row>
    <row r="291" ht="15.75" customHeight="1">
      <c r="B291" s="51"/>
    </row>
    <row r="292" ht="15.75" customHeight="1">
      <c r="B292" s="51"/>
    </row>
    <row r="293" ht="15.75" customHeight="1">
      <c r="B293" s="51"/>
    </row>
    <row r="294" ht="15.75" customHeight="1">
      <c r="B294" s="51"/>
    </row>
    <row r="295" ht="15.75" customHeight="1">
      <c r="B295" s="51"/>
    </row>
    <row r="296" ht="15.75" customHeight="1">
      <c r="B296" s="51"/>
    </row>
    <row r="297" ht="15.75" customHeight="1">
      <c r="B297" s="51"/>
    </row>
    <row r="298" ht="15.75" customHeight="1">
      <c r="B298" s="51"/>
    </row>
    <row r="299" ht="15.75" customHeight="1">
      <c r="B299" s="51"/>
    </row>
    <row r="300" ht="15.75" customHeight="1">
      <c r="B300" s="51"/>
    </row>
    <row r="301" ht="15.75" customHeight="1">
      <c r="B301" s="51"/>
    </row>
    <row r="302" ht="15.75" customHeight="1">
      <c r="B302" s="51"/>
    </row>
    <row r="303" ht="15.75" customHeight="1">
      <c r="B303" s="51"/>
    </row>
    <row r="304" ht="15.75" customHeight="1">
      <c r="B304" s="51"/>
    </row>
    <row r="305" ht="15.75" customHeight="1">
      <c r="B305" s="51"/>
    </row>
    <row r="306" ht="15.75" customHeight="1">
      <c r="B306" s="51"/>
    </row>
    <row r="307" ht="15.75" customHeight="1">
      <c r="B307" s="51"/>
    </row>
    <row r="308" ht="15.75" customHeight="1">
      <c r="B308" s="51"/>
    </row>
    <row r="309" ht="15.75" customHeight="1">
      <c r="B309" s="51"/>
    </row>
    <row r="310" ht="15.75" customHeight="1">
      <c r="B310" s="51"/>
    </row>
    <row r="311" ht="15.75" customHeight="1">
      <c r="B311" s="51"/>
    </row>
    <row r="312" ht="15.75" customHeight="1">
      <c r="B312" s="51"/>
    </row>
    <row r="313" ht="15.75" customHeight="1">
      <c r="B313" s="51"/>
    </row>
    <row r="314" ht="15.75" customHeight="1">
      <c r="B314" s="51"/>
    </row>
    <row r="315" ht="15.75" customHeight="1">
      <c r="B315" s="51"/>
    </row>
    <row r="316" ht="15.75" customHeight="1">
      <c r="B316" s="51"/>
    </row>
    <row r="317" ht="15.75" customHeight="1">
      <c r="B317" s="51"/>
    </row>
    <row r="318" ht="15.75" customHeight="1">
      <c r="B318" s="51"/>
    </row>
    <row r="319" ht="15.75" customHeight="1">
      <c r="B319" s="51"/>
    </row>
    <row r="320" ht="15.75" customHeight="1">
      <c r="B320" s="51"/>
    </row>
    <row r="321" ht="15.75" customHeight="1">
      <c r="B321" s="51"/>
    </row>
    <row r="322" ht="15.75" customHeight="1">
      <c r="B322" s="51"/>
    </row>
    <row r="323" ht="15.75" customHeight="1">
      <c r="B323" s="51"/>
    </row>
    <row r="324" ht="15.75" customHeight="1">
      <c r="B324" s="51"/>
    </row>
    <row r="325" ht="15.75" customHeight="1">
      <c r="B325" s="51"/>
    </row>
    <row r="326" ht="15.75" customHeight="1">
      <c r="B326" s="51"/>
    </row>
    <row r="327" ht="15.75" customHeight="1">
      <c r="B327" s="51"/>
    </row>
    <row r="328" ht="15.75" customHeight="1">
      <c r="B328" s="51"/>
    </row>
    <row r="329" ht="15.75" customHeight="1">
      <c r="B329" s="51"/>
    </row>
    <row r="330" ht="15.75" customHeight="1">
      <c r="B330" s="51"/>
    </row>
    <row r="331" ht="15.75" customHeight="1">
      <c r="B331" s="51"/>
    </row>
    <row r="332" ht="15.75" customHeight="1">
      <c r="B332" s="51"/>
    </row>
    <row r="333" ht="15.75" customHeight="1">
      <c r="B333" s="51"/>
    </row>
    <row r="334" ht="15.75" customHeight="1">
      <c r="B334" s="51"/>
    </row>
    <row r="335" ht="15.75" customHeight="1">
      <c r="B335" s="51"/>
    </row>
    <row r="336" ht="15.75" customHeight="1">
      <c r="B336" s="51"/>
    </row>
    <row r="337" ht="15.75" customHeight="1">
      <c r="B337" s="51"/>
    </row>
    <row r="338" ht="15.75" customHeight="1">
      <c r="B338" s="51"/>
    </row>
    <row r="339" ht="15.75" customHeight="1">
      <c r="B339" s="51"/>
    </row>
    <row r="340" ht="15.75" customHeight="1">
      <c r="B340" s="51"/>
    </row>
    <row r="341" ht="15.75" customHeight="1">
      <c r="B341" s="51"/>
    </row>
    <row r="342" ht="15.75" customHeight="1">
      <c r="B342" s="51"/>
    </row>
    <row r="343" ht="15.75" customHeight="1">
      <c r="B343" s="51"/>
    </row>
    <row r="344" ht="15.75" customHeight="1">
      <c r="B344" s="51"/>
    </row>
    <row r="345" ht="15.75" customHeight="1">
      <c r="B345" s="51"/>
    </row>
    <row r="346" ht="15.75" customHeight="1">
      <c r="B346" s="51"/>
    </row>
    <row r="347" ht="15.75" customHeight="1">
      <c r="B347" s="51"/>
    </row>
    <row r="348" ht="15.75" customHeight="1">
      <c r="B348" s="51"/>
    </row>
    <row r="349" ht="15.75" customHeight="1">
      <c r="B349" s="51"/>
    </row>
    <row r="350" ht="15.75" customHeight="1">
      <c r="B350" s="51"/>
    </row>
    <row r="351" ht="15.75" customHeight="1">
      <c r="B351" s="51"/>
    </row>
    <row r="352" ht="15.75" customHeight="1">
      <c r="B352" s="51"/>
    </row>
    <row r="353" ht="15.75" customHeight="1">
      <c r="B353" s="51"/>
    </row>
    <row r="354" ht="15.75" customHeight="1">
      <c r="B354" s="51"/>
    </row>
    <row r="355" ht="15.75" customHeight="1">
      <c r="B355" s="51"/>
    </row>
    <row r="356" ht="15.75" customHeight="1">
      <c r="B356" s="51"/>
    </row>
    <row r="357" ht="15.75" customHeight="1">
      <c r="B357" s="51"/>
    </row>
    <row r="358" ht="15.75" customHeight="1">
      <c r="B358" s="51"/>
    </row>
    <row r="359" ht="15.75" customHeight="1">
      <c r="B359" s="51"/>
    </row>
    <row r="360" ht="15.75" customHeight="1">
      <c r="B360" s="51"/>
    </row>
    <row r="361" ht="15.75" customHeight="1">
      <c r="B361" s="51"/>
    </row>
    <row r="362" ht="15.75" customHeight="1">
      <c r="B362" s="51"/>
    </row>
    <row r="363" ht="15.75" customHeight="1">
      <c r="B363" s="51"/>
    </row>
    <row r="364" ht="15.75" customHeight="1">
      <c r="B364" s="51"/>
    </row>
    <row r="365" ht="15.75" customHeight="1">
      <c r="B365" s="51"/>
    </row>
    <row r="366" ht="15.75" customHeight="1">
      <c r="B366" s="51"/>
    </row>
    <row r="367" ht="15.75" customHeight="1">
      <c r="B367" s="51"/>
    </row>
    <row r="368" ht="15.75" customHeight="1">
      <c r="B368" s="51"/>
    </row>
    <row r="369" ht="15.75" customHeight="1">
      <c r="B369" s="51"/>
    </row>
    <row r="370" ht="15.75" customHeight="1">
      <c r="B370" s="51"/>
    </row>
    <row r="371" ht="15.75" customHeight="1">
      <c r="B371" s="51"/>
    </row>
    <row r="372" ht="15.75" customHeight="1">
      <c r="B372" s="51"/>
    </row>
    <row r="373" ht="15.75" customHeight="1">
      <c r="B373" s="51"/>
    </row>
    <row r="374" ht="15.75" customHeight="1">
      <c r="B374" s="51"/>
    </row>
    <row r="375" ht="15.75" customHeight="1">
      <c r="B375" s="51"/>
    </row>
    <row r="376" ht="15.75" customHeight="1">
      <c r="B376" s="51"/>
    </row>
    <row r="377" ht="15.75" customHeight="1">
      <c r="B377" s="51"/>
    </row>
    <row r="378" ht="15.75" customHeight="1">
      <c r="B378" s="51"/>
    </row>
    <row r="379" ht="15.75" customHeight="1">
      <c r="B379" s="51"/>
    </row>
    <row r="380" ht="15.75" customHeight="1">
      <c r="B380" s="51"/>
    </row>
    <row r="381" ht="15.75" customHeight="1">
      <c r="B381" s="51"/>
    </row>
    <row r="382" ht="15.75" customHeight="1">
      <c r="B382" s="51"/>
    </row>
    <row r="383" ht="15.75" customHeight="1">
      <c r="B383" s="51"/>
    </row>
    <row r="384" ht="15.75" customHeight="1">
      <c r="B384" s="51"/>
    </row>
    <row r="385" ht="15.75" customHeight="1">
      <c r="B385" s="51"/>
    </row>
    <row r="386" ht="15.75" customHeight="1">
      <c r="B386" s="51"/>
    </row>
    <row r="387" ht="15.75" customHeight="1">
      <c r="B387" s="51"/>
    </row>
    <row r="388" ht="15.75" customHeight="1">
      <c r="B388" s="51"/>
    </row>
    <row r="389" ht="15.75" customHeight="1">
      <c r="B389" s="51"/>
    </row>
    <row r="390" ht="15.75" customHeight="1">
      <c r="B390" s="51"/>
    </row>
    <row r="391" ht="15.75" customHeight="1">
      <c r="B391" s="51"/>
    </row>
    <row r="392" ht="15.75" customHeight="1">
      <c r="B392" s="51"/>
    </row>
    <row r="393" ht="15.75" customHeight="1">
      <c r="B393" s="51"/>
    </row>
    <row r="394" ht="15.75" customHeight="1">
      <c r="B394" s="51"/>
    </row>
    <row r="395" ht="15.75" customHeight="1">
      <c r="B395" s="51"/>
    </row>
    <row r="396" ht="15.75" customHeight="1">
      <c r="B396" s="51"/>
    </row>
    <row r="397" ht="15.75" customHeight="1">
      <c r="B397" s="51"/>
    </row>
    <row r="398" ht="15.75" customHeight="1">
      <c r="B398" s="51"/>
    </row>
    <row r="399" ht="15.75" customHeight="1">
      <c r="B399" s="51"/>
    </row>
    <row r="400" ht="15.75" customHeight="1">
      <c r="B400" s="51"/>
    </row>
    <row r="401" ht="15.75" customHeight="1">
      <c r="B401" s="51"/>
    </row>
    <row r="402" ht="15.75" customHeight="1">
      <c r="B402" s="51"/>
    </row>
    <row r="403" ht="15.75" customHeight="1">
      <c r="B403" s="51"/>
    </row>
    <row r="404" ht="15.75" customHeight="1">
      <c r="B404" s="51"/>
    </row>
    <row r="405" ht="15.75" customHeight="1">
      <c r="B405" s="51"/>
    </row>
    <row r="406" ht="15.75" customHeight="1">
      <c r="B406" s="51"/>
    </row>
    <row r="407" ht="15.75" customHeight="1">
      <c r="B407" s="51"/>
    </row>
    <row r="408" ht="15.75" customHeight="1">
      <c r="B408" s="51"/>
    </row>
    <row r="409" ht="15.75" customHeight="1">
      <c r="B409" s="51"/>
    </row>
    <row r="410" ht="15.75" customHeight="1">
      <c r="B410" s="51"/>
    </row>
    <row r="411" ht="15.75" customHeight="1">
      <c r="B411" s="51"/>
    </row>
    <row r="412" ht="15.75" customHeight="1">
      <c r="B412" s="51"/>
    </row>
    <row r="413" ht="15.75" customHeight="1">
      <c r="B413" s="51"/>
    </row>
    <row r="414" ht="15.75" customHeight="1">
      <c r="B414" s="51"/>
    </row>
    <row r="415" ht="15.75" customHeight="1">
      <c r="B415" s="51"/>
    </row>
    <row r="416" ht="15.75" customHeight="1">
      <c r="B416" s="51"/>
    </row>
    <row r="417" ht="15.75" customHeight="1">
      <c r="B417" s="51"/>
    </row>
    <row r="418" ht="15.75" customHeight="1">
      <c r="B418" s="51"/>
    </row>
    <row r="419" ht="15.75" customHeight="1">
      <c r="B419" s="51"/>
    </row>
    <row r="420" ht="15.75" customHeight="1">
      <c r="B420" s="51"/>
    </row>
    <row r="421" ht="15.75" customHeight="1">
      <c r="B421" s="51"/>
    </row>
    <row r="422" ht="15.75" customHeight="1">
      <c r="B422" s="51"/>
    </row>
    <row r="423" ht="15.75" customHeight="1">
      <c r="B423" s="51"/>
    </row>
    <row r="424" ht="15.75" customHeight="1">
      <c r="B424" s="51"/>
    </row>
    <row r="425" ht="15.75" customHeight="1">
      <c r="B425" s="51"/>
    </row>
    <row r="426" ht="15.75" customHeight="1">
      <c r="B426" s="51"/>
    </row>
    <row r="427" ht="15.75" customHeight="1">
      <c r="B427" s="51"/>
    </row>
    <row r="428" ht="15.75" customHeight="1">
      <c r="B428" s="51"/>
    </row>
    <row r="429" ht="15.75" customHeight="1">
      <c r="B429" s="51"/>
    </row>
    <row r="430" ht="15.75" customHeight="1">
      <c r="B430" s="51"/>
    </row>
    <row r="431" ht="15.75" customHeight="1">
      <c r="B431" s="51"/>
    </row>
    <row r="432" ht="15.75" customHeight="1">
      <c r="B432" s="51"/>
    </row>
    <row r="433" ht="15.75" customHeight="1">
      <c r="B433" s="51"/>
    </row>
    <row r="434" ht="15.75" customHeight="1">
      <c r="B434" s="51"/>
    </row>
    <row r="435" ht="15.75" customHeight="1">
      <c r="B435" s="51"/>
    </row>
    <row r="436" ht="15.75" customHeight="1">
      <c r="B436" s="51"/>
    </row>
    <row r="437" ht="15.75" customHeight="1">
      <c r="B437" s="51"/>
    </row>
    <row r="438" ht="15.75" customHeight="1">
      <c r="B438" s="51"/>
    </row>
    <row r="439" ht="15.75" customHeight="1">
      <c r="B439" s="51"/>
    </row>
    <row r="440" ht="15.75" customHeight="1">
      <c r="B440" s="51"/>
    </row>
    <row r="441" ht="15.75" customHeight="1">
      <c r="B441" s="51"/>
    </row>
    <row r="442" ht="15.75" customHeight="1">
      <c r="B442" s="51"/>
    </row>
    <row r="443" ht="15.75" customHeight="1">
      <c r="B443" s="51"/>
    </row>
    <row r="444" ht="15.75" customHeight="1">
      <c r="B444" s="51"/>
    </row>
    <row r="445" ht="15.75" customHeight="1">
      <c r="B445" s="51"/>
    </row>
    <row r="446" ht="15.75" customHeight="1">
      <c r="B446" s="51"/>
    </row>
    <row r="447" ht="15.75" customHeight="1">
      <c r="B447" s="51"/>
    </row>
    <row r="448" ht="15.75" customHeight="1">
      <c r="B448" s="51"/>
    </row>
    <row r="449" ht="15.75" customHeight="1">
      <c r="B449" s="51"/>
    </row>
    <row r="450" ht="15.75" customHeight="1">
      <c r="B450" s="51"/>
    </row>
    <row r="451" ht="15.75" customHeight="1">
      <c r="B451" s="51"/>
    </row>
    <row r="452" ht="15.75" customHeight="1">
      <c r="B452" s="51"/>
    </row>
    <row r="453" ht="15.75" customHeight="1">
      <c r="B453" s="51"/>
    </row>
    <row r="454" ht="15.75" customHeight="1">
      <c r="B454" s="51"/>
    </row>
    <row r="455" ht="15.75" customHeight="1">
      <c r="B455" s="51"/>
    </row>
    <row r="456" ht="15.75" customHeight="1">
      <c r="B456" s="51"/>
    </row>
    <row r="457" ht="15.75" customHeight="1">
      <c r="B457" s="51"/>
    </row>
    <row r="458" ht="15.75" customHeight="1">
      <c r="B458" s="51"/>
    </row>
    <row r="459" ht="15.75" customHeight="1">
      <c r="B459" s="51"/>
    </row>
    <row r="460" ht="15.75" customHeight="1">
      <c r="B460" s="51"/>
    </row>
    <row r="461" ht="15.75" customHeight="1">
      <c r="B461" s="51"/>
    </row>
    <row r="462" ht="15.75" customHeight="1">
      <c r="B462" s="51"/>
    </row>
    <row r="463" ht="15.75" customHeight="1">
      <c r="B463" s="51"/>
    </row>
    <row r="464" ht="15.75" customHeight="1">
      <c r="B464" s="51"/>
    </row>
    <row r="465" ht="15.75" customHeight="1">
      <c r="B465" s="51"/>
    </row>
    <row r="466" ht="15.75" customHeight="1">
      <c r="B466" s="51"/>
    </row>
    <row r="467" ht="15.75" customHeight="1">
      <c r="B467" s="51"/>
    </row>
    <row r="468" ht="15.75" customHeight="1">
      <c r="B468" s="51"/>
    </row>
    <row r="469" ht="15.75" customHeight="1">
      <c r="B469" s="51"/>
    </row>
    <row r="470" ht="15.75" customHeight="1">
      <c r="B470" s="51"/>
    </row>
    <row r="471" ht="15.75" customHeight="1">
      <c r="B471" s="51"/>
    </row>
    <row r="472" ht="15.75" customHeight="1">
      <c r="B472" s="51"/>
    </row>
    <row r="473" ht="15.75" customHeight="1">
      <c r="B473" s="51"/>
    </row>
    <row r="474" ht="15.75" customHeight="1">
      <c r="B474" s="51"/>
    </row>
    <row r="475" ht="15.75" customHeight="1">
      <c r="B475" s="51"/>
    </row>
    <row r="476" ht="15.75" customHeight="1">
      <c r="B476" s="51"/>
    </row>
    <row r="477" ht="15.75" customHeight="1">
      <c r="B477" s="51"/>
    </row>
    <row r="478" ht="15.75" customHeight="1">
      <c r="B478" s="51"/>
    </row>
    <row r="479" ht="15.75" customHeight="1">
      <c r="B479" s="51"/>
    </row>
    <row r="480" ht="15.75" customHeight="1">
      <c r="B480" s="51"/>
    </row>
    <row r="481" ht="15.75" customHeight="1">
      <c r="B481" s="51"/>
    </row>
    <row r="482" ht="15.75" customHeight="1">
      <c r="B482" s="51"/>
    </row>
    <row r="483" ht="15.75" customHeight="1">
      <c r="B483" s="51"/>
    </row>
    <row r="484" ht="15.75" customHeight="1">
      <c r="B484" s="51"/>
    </row>
    <row r="485" ht="15.75" customHeight="1">
      <c r="B485" s="51"/>
    </row>
    <row r="486" ht="15.75" customHeight="1">
      <c r="B486" s="51"/>
    </row>
    <row r="487" ht="15.75" customHeight="1">
      <c r="B487" s="51"/>
    </row>
    <row r="488" ht="15.75" customHeight="1">
      <c r="B488" s="51"/>
    </row>
    <row r="489" ht="15.75" customHeight="1">
      <c r="B489" s="51"/>
    </row>
    <row r="490" ht="15.75" customHeight="1">
      <c r="B490" s="51"/>
    </row>
    <row r="491" ht="15.75" customHeight="1">
      <c r="B491" s="51"/>
    </row>
    <row r="492" ht="15.75" customHeight="1">
      <c r="B492" s="51"/>
    </row>
    <row r="493" ht="15.75" customHeight="1">
      <c r="B493" s="51"/>
    </row>
    <row r="494" ht="15.75" customHeight="1">
      <c r="B494" s="51"/>
    </row>
    <row r="495" ht="15.75" customHeight="1">
      <c r="B495" s="51"/>
    </row>
    <row r="496" ht="15.75" customHeight="1">
      <c r="B496" s="51"/>
    </row>
    <row r="497" ht="15.75" customHeight="1">
      <c r="B497" s="51"/>
    </row>
    <row r="498" ht="15.75" customHeight="1">
      <c r="B498" s="51"/>
    </row>
    <row r="499" ht="15.75" customHeight="1">
      <c r="B499" s="51"/>
    </row>
    <row r="500" ht="15.75" customHeight="1">
      <c r="B500" s="51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V1"/>
    <mergeCell ref="A2:V2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75"/>
    <col customWidth="1" min="2" max="2" width="12.5"/>
    <col customWidth="1" min="3" max="3" width="22.5"/>
    <col customWidth="1" min="4" max="4" width="17.5"/>
    <col customWidth="1" min="5" max="5" width="16.25"/>
    <col customWidth="1" min="6" max="6" width="22.5"/>
    <col customWidth="1" min="7" max="8" width="12.5"/>
    <col customWidth="1" min="9" max="9" width="10.0"/>
    <col customWidth="1" min="10" max="10" width="11.25"/>
    <col customWidth="1" min="11" max="11" width="18.75"/>
    <col customWidth="1" min="12" max="12" width="15.0"/>
    <col customWidth="1" min="13" max="13" width="25.0"/>
    <col customWidth="1" min="14" max="14" width="13.75"/>
    <col customWidth="1" min="15" max="15" width="13.13"/>
    <col customWidth="1" min="16" max="16" width="10.0"/>
    <col customWidth="1" min="17" max="17" width="14.38"/>
    <col customWidth="1" min="18" max="18" width="15.0"/>
    <col customWidth="1" min="19" max="19" width="13.13"/>
    <col customWidth="1" min="20" max="20" width="14.38"/>
    <col customWidth="1" min="21" max="21" width="13.75"/>
    <col customWidth="1" min="22" max="22" width="26.25"/>
    <col customWidth="1" min="23" max="23" width="13.75"/>
    <col customWidth="1" min="24" max="24" width="13.13"/>
    <col customWidth="1" min="25" max="25" width="15.0"/>
    <col customWidth="1" min="26" max="26" width="10.63"/>
    <col customWidth="1" min="27" max="28" width="15.0"/>
    <col customWidth="1" min="29" max="29" width="21.25"/>
    <col customWidth="1" min="30" max="30" width="27.5"/>
  </cols>
  <sheetData>
    <row r="1" ht="27.0" customHeight="1">
      <c r="A1" s="1" t="s">
        <v>309</v>
      </c>
    </row>
    <row r="2" ht="25.5" customHeight="1">
      <c r="A2" s="2" t="s">
        <v>133</v>
      </c>
    </row>
    <row r="5">
      <c r="A5" s="3" t="s">
        <v>44</v>
      </c>
      <c r="B5" s="8" t="s">
        <v>51</v>
      </c>
      <c r="C5" s="8" t="s">
        <v>45</v>
      </c>
      <c r="D5" s="8" t="s">
        <v>53</v>
      </c>
      <c r="E5" s="8" t="s">
        <v>54</v>
      </c>
      <c r="F5" s="8" t="s">
        <v>55</v>
      </c>
      <c r="G5" s="8" t="s">
        <v>56</v>
      </c>
      <c r="H5" s="8" t="s">
        <v>57</v>
      </c>
      <c r="I5" s="8" t="s">
        <v>58</v>
      </c>
      <c r="J5" s="8" t="s">
        <v>59</v>
      </c>
      <c r="K5" s="8" t="s">
        <v>60</v>
      </c>
      <c r="L5" s="8" t="s">
        <v>61</v>
      </c>
      <c r="M5" s="8" t="s">
        <v>62</v>
      </c>
      <c r="N5" s="8" t="s">
        <v>63</v>
      </c>
      <c r="O5" s="8" t="s">
        <v>50</v>
      </c>
      <c r="P5" s="8" t="s">
        <v>23</v>
      </c>
      <c r="Q5" s="8" t="s">
        <v>29</v>
      </c>
      <c r="R5" s="8" t="s">
        <v>26</v>
      </c>
      <c r="S5" s="8" t="s">
        <v>65</v>
      </c>
      <c r="T5" s="8" t="s">
        <v>49</v>
      </c>
      <c r="U5" s="8" t="s">
        <v>67</v>
      </c>
      <c r="V5" s="8" t="s">
        <v>68</v>
      </c>
      <c r="W5" s="8" t="s">
        <v>69</v>
      </c>
      <c r="X5" s="8" t="s">
        <v>70</v>
      </c>
      <c r="Y5" s="8" t="s">
        <v>71</v>
      </c>
      <c r="Z5" s="8" t="s">
        <v>72</v>
      </c>
      <c r="AA5" s="8" t="s">
        <v>73</v>
      </c>
      <c r="AB5" s="8" t="s">
        <v>74</v>
      </c>
      <c r="AC5" s="8" t="s">
        <v>75</v>
      </c>
      <c r="AD5" s="9" t="s">
        <v>52</v>
      </c>
    </row>
    <row r="6">
      <c r="A6" s="50">
        <f>IFERROR(__xludf.DUMMYFUNCTION("IFERROR(FILTER('Master Leads'!$A$6:$AD$495, 'Master Leads'!$A$6:$A$495&lt;&gt;"""", 'Master Leads'!$K$6:$K$495=""Other Products""), ""No matching leads yet"")"),30.0)</f>
        <v>30</v>
      </c>
      <c r="B6" s="51">
        <f>IFERROR(__xludf.DUMMYFUNCTION("""COMPUTED_VALUE"""),46264.0)</f>
        <v>46264</v>
      </c>
      <c r="C6" s="50" t="str">
        <f>IFERROR(__xludf.DUMMYFUNCTION("""COMPUTED_VALUE"""),"Bizkey Consultancy")</f>
        <v>Bizkey Consultancy</v>
      </c>
      <c r="D6" s="50" t="str">
        <f>IFERROR(__xludf.DUMMYFUNCTION("""COMPUTED_VALUE"""),"Vani Mehta (Founder)")</f>
        <v>Vani Mehta (Founder)</v>
      </c>
      <c r="E6" s="50" t="str">
        <f>IFERROR(__xludf.DUMMYFUNCTION("""COMPUTED_VALUE"""),"8980778631")</f>
        <v>8980778631</v>
      </c>
      <c r="F6" s="50" t="str">
        <f>IFERROR(__xludf.DUMMYFUNCTION("""COMPUTED_VALUE"""),"vani.mehta@bizkey.biz")</f>
        <v>vani.mehta@bizkey.biz</v>
      </c>
      <c r="G6" s="50" t="str">
        <f>IFERROR(__xludf.DUMMYFUNCTION("""COMPUTED_VALUE"""),"Ahmedabad")</f>
        <v>Ahmedabad</v>
      </c>
      <c r="H6" s="50" t="str">
        <f>IFERROR(__xludf.DUMMYFUNCTION("""COMPUTED_VALUE"""),"India")</f>
        <v>India</v>
      </c>
      <c r="I6" s="50" t="str">
        <f>IFERROR(__xludf.DUMMYFUNCTION("""COMPUTED_VALUE"""),"India")</f>
        <v>India</v>
      </c>
      <c r="J6" s="50" t="str">
        <f>IFERROR(__xludf.DUMMYFUNCTION("""COMPUTED_VALUE"""),"Service")</f>
        <v>Service</v>
      </c>
      <c r="K6" s="50" t="str">
        <f>IFERROR(__xludf.DUMMYFUNCTION("""COMPUTED_VALUE"""),"Other Products")</f>
        <v>Other Products</v>
      </c>
      <c r="L6" s="50" t="str">
        <f>IFERROR(__xludf.DUMMYFUNCTION("""COMPUTED_VALUE"""),"General Services")</f>
        <v>General Services</v>
      </c>
      <c r="M6" s="50"/>
      <c r="N6" s="50" t="str">
        <f>IFERROR(__xludf.DUMMYFUNCTION("""COMPUTED_VALUE"""),"Event/Expo")</f>
        <v>Event/Expo</v>
      </c>
      <c r="O6" s="50" t="str">
        <f>IFERROR(__xludf.DUMMYFUNCTION("""COMPUTED_VALUE"""),"Aastha")</f>
        <v>Aastha</v>
      </c>
      <c r="P6" s="50" t="str">
        <f>IFERROR(__xludf.DUMMYFUNCTION("""COMPUTED_VALUE"""),"Cold")</f>
        <v>Cold</v>
      </c>
      <c r="Q6" s="50" t="str">
        <f>IFERROR(__xludf.DUMMYFUNCTION("""COMPUTED_VALUE"""),"New")</f>
        <v>New</v>
      </c>
      <c r="R6" s="50" t="str">
        <f>IFERROR(__xludf.DUMMYFUNCTION("""COMPUTED_VALUE"""),"Not Started")</f>
        <v>Not Started</v>
      </c>
      <c r="S6" s="50"/>
      <c r="T6" s="50"/>
      <c r="U6" s="50" t="str">
        <f>IFERROR(__xludf.DUMMYFUNCTION("""COMPUTED_VALUE"""),"Not Scheduled")</f>
        <v>Not Scheduled</v>
      </c>
      <c r="V6" s="50"/>
      <c r="W6" s="50"/>
      <c r="X6" s="50"/>
      <c r="Y6" s="50"/>
      <c r="Z6" s="50"/>
      <c r="AA6" s="50">
        <f>IFERROR(__xludf.DUMMYFUNCTION("""COMPUTED_VALUE"""),0.0)</f>
        <v>0</v>
      </c>
      <c r="AB6" s="50"/>
      <c r="AC6" s="50"/>
      <c r="AD6" s="50"/>
    </row>
    <row r="7">
      <c r="A7" s="50">
        <f>IFERROR(__xludf.DUMMYFUNCTION("""COMPUTED_VALUE"""),31.0)</f>
        <v>31</v>
      </c>
      <c r="B7" s="51">
        <f>IFERROR(__xludf.DUMMYFUNCTION("""COMPUTED_VALUE"""),46264.0)</f>
        <v>46264</v>
      </c>
      <c r="C7" s="50" t="str">
        <f>IFERROR(__xludf.DUMMYFUNCTION("""COMPUTED_VALUE"""),"Adfinmark Multisolution Pvt. Ltd.")</f>
        <v>Adfinmark Multisolution Pvt. Ltd.</v>
      </c>
      <c r="D7" s="50" t="str">
        <f>IFERROR(__xludf.DUMMYFUNCTION("""COMPUTED_VALUE"""),"Chinmay H Mehta (Zone Director)")</f>
        <v>Chinmay H Mehta (Zone Director)</v>
      </c>
      <c r="E7" s="50" t="str">
        <f>IFERROR(__xludf.DUMMYFUNCTION("""COMPUTED_VALUE"""),"7600084422")</f>
        <v>7600084422</v>
      </c>
      <c r="F7" s="50" t="str">
        <f>IFERROR(__xludf.DUMMYFUNCTION("""COMPUTED_VALUE"""),"chinmay@adfinmark.com")</f>
        <v>chinmay@adfinmark.com</v>
      </c>
      <c r="G7" s="50" t="str">
        <f>IFERROR(__xludf.DUMMYFUNCTION("""COMPUTED_VALUE"""),"Yamuna Nagar / Nagpur / Amritsar / Ahmedabad")</f>
        <v>Yamuna Nagar / Nagpur / Amritsar / Ahmedabad</v>
      </c>
      <c r="H7" s="50" t="str">
        <f>IFERROR(__xludf.DUMMYFUNCTION("""COMPUTED_VALUE"""),"India")</f>
        <v>India</v>
      </c>
      <c r="I7" s="50" t="str">
        <f>IFERROR(__xludf.DUMMYFUNCTION("""COMPUTED_VALUE"""),"India")</f>
        <v>India</v>
      </c>
      <c r="J7" s="50" t="str">
        <f>IFERROR(__xludf.DUMMYFUNCTION("""COMPUTED_VALUE"""),"Service")</f>
        <v>Service</v>
      </c>
      <c r="K7" s="50" t="str">
        <f>IFERROR(__xludf.DUMMYFUNCTION("""COMPUTED_VALUE"""),"Other Products")</f>
        <v>Other Products</v>
      </c>
      <c r="L7" s="50" t="str">
        <f>IFERROR(__xludf.DUMMYFUNCTION("""COMPUTED_VALUE"""),"General Services")</f>
        <v>General Services</v>
      </c>
      <c r="M7" s="50"/>
      <c r="N7" s="50" t="str">
        <f>IFERROR(__xludf.DUMMYFUNCTION("""COMPUTED_VALUE"""),"Event/Expo")</f>
        <v>Event/Expo</v>
      </c>
      <c r="O7" s="50" t="str">
        <f>IFERROR(__xludf.DUMMYFUNCTION("""COMPUTED_VALUE"""),"Aastha")</f>
        <v>Aastha</v>
      </c>
      <c r="P7" s="50" t="str">
        <f>IFERROR(__xludf.DUMMYFUNCTION("""COMPUTED_VALUE"""),"Cold")</f>
        <v>Cold</v>
      </c>
      <c r="Q7" s="50" t="str">
        <f>IFERROR(__xludf.DUMMYFUNCTION("""COMPUTED_VALUE"""),"New")</f>
        <v>New</v>
      </c>
      <c r="R7" s="50" t="str">
        <f>IFERROR(__xludf.DUMMYFUNCTION("""COMPUTED_VALUE"""),"Not Started")</f>
        <v>Not Started</v>
      </c>
      <c r="S7" s="50"/>
      <c r="T7" s="50"/>
      <c r="U7" s="50" t="str">
        <f>IFERROR(__xludf.DUMMYFUNCTION("""COMPUTED_VALUE"""),"Not Scheduled")</f>
        <v>Not Scheduled</v>
      </c>
      <c r="V7" s="50"/>
      <c r="W7" s="50"/>
      <c r="X7" s="50"/>
      <c r="Y7" s="50"/>
      <c r="Z7" s="50"/>
      <c r="AA7" s="50">
        <f>IFERROR(__xludf.DUMMYFUNCTION("""COMPUTED_VALUE"""),0.0)</f>
        <v>0</v>
      </c>
      <c r="AB7" s="50"/>
      <c r="AC7" s="50"/>
      <c r="AD7" s="50"/>
    </row>
    <row r="8">
      <c r="A8" s="50">
        <f>IFERROR(__xludf.DUMMYFUNCTION("""COMPUTED_VALUE"""),32.0)</f>
        <v>32</v>
      </c>
      <c r="B8" s="51">
        <f>IFERROR(__xludf.DUMMYFUNCTION("""COMPUTED_VALUE"""),46264.0)</f>
        <v>46264</v>
      </c>
      <c r="C8" s="50" t="str">
        <f>IFERROR(__xludf.DUMMYFUNCTION("""COMPUTED_VALUE"""),"D.N. Laser")</f>
        <v>D.N. Laser</v>
      </c>
      <c r="D8" s="50" t="str">
        <f>IFERROR(__xludf.DUMMYFUNCTION("""COMPUTED_VALUE"""),"Dharmesh / Gaurang")</f>
        <v>Dharmesh / Gaurang</v>
      </c>
      <c r="E8" s="50" t="str">
        <f>IFERROR(__xludf.DUMMYFUNCTION("""COMPUTED_VALUE"""),"9998100274; 9428671616")</f>
        <v>9998100274; 9428671616</v>
      </c>
      <c r="F8" s="50" t="str">
        <f>IFERROR(__xludf.DUMMYFUNCTION("""COMPUTED_VALUE"""),"d.n.laser1996@gmail.com")</f>
        <v>d.n.laser1996@gmail.com</v>
      </c>
      <c r="G8" s="50" t="str">
        <f>IFERROR(__xludf.DUMMYFUNCTION("""COMPUTED_VALUE"""),"Ahmedabad")</f>
        <v>Ahmedabad</v>
      </c>
      <c r="H8" s="50" t="str">
        <f>IFERROR(__xludf.DUMMYFUNCTION("""COMPUTED_VALUE"""),"India")</f>
        <v>India</v>
      </c>
      <c r="I8" s="50" t="str">
        <f>IFERROR(__xludf.DUMMYFUNCTION("""COMPUTED_VALUE"""),"India")</f>
        <v>India</v>
      </c>
      <c r="J8" s="50" t="str">
        <f>IFERROR(__xludf.DUMMYFUNCTION("""COMPUTED_VALUE"""),"Service")</f>
        <v>Service</v>
      </c>
      <c r="K8" s="50" t="str">
        <f>IFERROR(__xludf.DUMMYFUNCTION("""COMPUTED_VALUE"""),"Other Products")</f>
        <v>Other Products</v>
      </c>
      <c r="L8" s="50" t="str">
        <f>IFERROR(__xludf.DUMMYFUNCTION("""COMPUTED_VALUE"""),"General Services")</f>
        <v>General Services</v>
      </c>
      <c r="M8" s="50"/>
      <c r="N8" s="50" t="str">
        <f>IFERROR(__xludf.DUMMYFUNCTION("""COMPUTED_VALUE"""),"Event/Expo")</f>
        <v>Event/Expo</v>
      </c>
      <c r="O8" s="50" t="str">
        <f>IFERROR(__xludf.DUMMYFUNCTION("""COMPUTED_VALUE"""),"Aastha")</f>
        <v>Aastha</v>
      </c>
      <c r="P8" s="50" t="str">
        <f>IFERROR(__xludf.DUMMYFUNCTION("""COMPUTED_VALUE"""),"Cold")</f>
        <v>Cold</v>
      </c>
      <c r="Q8" s="50" t="str">
        <f>IFERROR(__xludf.DUMMYFUNCTION("""COMPUTED_VALUE"""),"New")</f>
        <v>New</v>
      </c>
      <c r="R8" s="50" t="str">
        <f>IFERROR(__xludf.DUMMYFUNCTION("""COMPUTED_VALUE"""),"Not Started")</f>
        <v>Not Started</v>
      </c>
      <c r="S8" s="50"/>
      <c r="T8" s="50"/>
      <c r="U8" s="50" t="str">
        <f>IFERROR(__xludf.DUMMYFUNCTION("""COMPUTED_VALUE"""),"Not Scheduled")</f>
        <v>Not Scheduled</v>
      </c>
      <c r="V8" s="50"/>
      <c r="W8" s="50"/>
      <c r="X8" s="50"/>
      <c r="Y8" s="50"/>
      <c r="Z8" s="50"/>
      <c r="AA8" s="50">
        <f>IFERROR(__xludf.DUMMYFUNCTION("""COMPUTED_VALUE"""),0.0)</f>
        <v>0</v>
      </c>
      <c r="AB8" s="50"/>
      <c r="AC8" s="50"/>
      <c r="AD8" s="50"/>
    </row>
    <row r="9">
      <c r="A9" s="50">
        <f>IFERROR(__xludf.DUMMYFUNCTION("""COMPUTED_VALUE"""),87.0)</f>
        <v>87</v>
      </c>
      <c r="B9" s="51">
        <f>IFERROR(__xludf.DUMMYFUNCTION("""COMPUTED_VALUE"""),46267.0)</f>
        <v>46267</v>
      </c>
      <c r="C9" s="50" t="str">
        <f>IFERROR(__xludf.DUMMYFUNCTION("""COMPUTED_VALUE"""),"AVINYA")</f>
        <v>AVINYA</v>
      </c>
      <c r="D9" s="50" t="str">
        <f>IFERROR(__xludf.DUMMYFUNCTION("""COMPUTED_VALUE"""),"Manan Vyas (Founder &amp; Director)")</f>
        <v>Manan Vyas (Founder &amp; Director)</v>
      </c>
      <c r="E9" s="50" t="str">
        <f>IFERROR(__xludf.DUMMYFUNCTION("""COMPUTED_VALUE"""),"9426166486")</f>
        <v>9426166486</v>
      </c>
      <c r="F9" s="50" t="str">
        <f>IFERROR(__xludf.DUMMYFUNCTION("""COMPUTED_VALUE"""),"vyasmanan01@gmail.com; connect@avinyaleather.com")</f>
        <v>vyasmanan01@gmail.com; connect@avinyaleather.com</v>
      </c>
      <c r="G9" s="50"/>
      <c r="H9" s="50" t="str">
        <f>IFERROR(__xludf.DUMMYFUNCTION("""COMPUTED_VALUE"""),"India")</f>
        <v>India</v>
      </c>
      <c r="I9" s="50" t="str">
        <f>IFERROR(__xludf.DUMMYFUNCTION("""COMPUTED_VALUE"""),"India")</f>
        <v>India</v>
      </c>
      <c r="J9" s="50" t="str">
        <f>IFERROR(__xludf.DUMMYFUNCTION("""COMPUTED_VALUE"""),"Service")</f>
        <v>Service</v>
      </c>
      <c r="K9" s="50" t="str">
        <f>IFERROR(__xludf.DUMMYFUNCTION("""COMPUTED_VALUE"""),"Other Products")</f>
        <v>Other Products</v>
      </c>
      <c r="L9" s="50" t="str">
        <f>IFERROR(__xludf.DUMMYFUNCTION("""COMPUTED_VALUE"""),"Other")</f>
        <v>Other</v>
      </c>
      <c r="M9" s="50"/>
      <c r="N9" s="50" t="str">
        <f>IFERROR(__xludf.DUMMYFUNCTION("""COMPUTED_VALUE"""),"Event/Expo")</f>
        <v>Event/Expo</v>
      </c>
      <c r="O9" s="50" t="str">
        <f>IFERROR(__xludf.DUMMYFUNCTION("""COMPUTED_VALUE"""),"Aastha")</f>
        <v>Aastha</v>
      </c>
      <c r="P9" s="50" t="str">
        <f>IFERROR(__xludf.DUMMYFUNCTION("""COMPUTED_VALUE"""),"Cold")</f>
        <v>Cold</v>
      </c>
      <c r="Q9" s="50" t="str">
        <f>IFERROR(__xludf.DUMMYFUNCTION("""COMPUTED_VALUE"""),"New")</f>
        <v>New</v>
      </c>
      <c r="R9" s="50" t="str">
        <f>IFERROR(__xludf.DUMMYFUNCTION("""COMPUTED_VALUE"""),"Follow-Up Complete")</f>
        <v>Follow-Up Complete</v>
      </c>
      <c r="S9" s="50"/>
      <c r="T9" s="50"/>
      <c r="U9" s="50" t="str">
        <f>IFERROR(__xludf.DUMMYFUNCTION("""COMPUTED_VALUE"""),"Completed")</f>
        <v>Completed</v>
      </c>
      <c r="V9" s="50"/>
      <c r="W9" s="50"/>
      <c r="X9" s="50"/>
      <c r="Y9" s="50"/>
      <c r="Z9" s="50"/>
      <c r="AA9" s="50">
        <f>IFERROR(__xludf.DUMMYFUNCTION("""COMPUTED_VALUE"""),0.0)</f>
        <v>0</v>
      </c>
      <c r="AB9" s="50"/>
      <c r="AC9" s="50"/>
      <c r="AD9" s="50"/>
    </row>
    <row r="10">
      <c r="A10" s="50">
        <f>IFERROR(__xludf.DUMMYFUNCTION("""COMPUTED_VALUE"""),130.0)</f>
        <v>130</v>
      </c>
      <c r="B10" s="51">
        <f>IFERROR(__xludf.DUMMYFUNCTION("""COMPUTED_VALUE"""),46296.0)</f>
        <v>46296</v>
      </c>
      <c r="C10" s="50" t="str">
        <f>IFERROR(__xludf.DUMMYFUNCTION("""COMPUTED_VALUE"""),"Furniture")</f>
        <v>Furniture</v>
      </c>
      <c r="D10" s="50" t="str">
        <f>IFERROR(__xludf.DUMMYFUNCTION("""COMPUTED_VALUE"""),"Manish")</f>
        <v>Manish</v>
      </c>
      <c r="E10" s="50" t="str">
        <f>IFERROR(__xludf.DUMMYFUNCTION("""COMPUTED_VALUE"""),"9924958891")</f>
        <v>9924958891</v>
      </c>
      <c r="F10" s="50"/>
      <c r="G10" s="50" t="str">
        <f>IFERROR(__xludf.DUMMYFUNCTION("""COMPUTED_VALUE"""),"Gandhinagar")</f>
        <v>Gandhinagar</v>
      </c>
      <c r="H10" s="50" t="str">
        <f>IFERROR(__xludf.DUMMYFUNCTION("""COMPUTED_VALUE"""),"India")</f>
        <v>India</v>
      </c>
      <c r="I10" s="50" t="str">
        <f>IFERROR(__xludf.DUMMYFUNCTION("""COMPUTED_VALUE"""),"India")</f>
        <v>India</v>
      </c>
      <c r="J10" s="50" t="str">
        <f>IFERROR(__xludf.DUMMYFUNCTION("""COMPUTED_VALUE"""),"Service")</f>
        <v>Service</v>
      </c>
      <c r="K10" s="50" t="str">
        <f>IFERROR(__xludf.DUMMYFUNCTION("""COMPUTED_VALUE"""),"Other Products")</f>
        <v>Other Products</v>
      </c>
      <c r="L10" s="50" t="str">
        <f>IFERROR(__xludf.DUMMYFUNCTION("""COMPUTED_VALUE"""),"General Services")</f>
        <v>General Services</v>
      </c>
      <c r="M10" s="50"/>
      <c r="N10" s="50" t="str">
        <f>IFERROR(__xludf.DUMMYFUNCTION("""COMPUTED_VALUE"""),"Referral")</f>
        <v>Referral</v>
      </c>
      <c r="O10" s="50"/>
      <c r="P10" s="50" t="str">
        <f>IFERROR(__xludf.DUMMYFUNCTION("""COMPUTED_VALUE"""),"Hot")</f>
        <v>Hot</v>
      </c>
      <c r="Q10" s="50" t="str">
        <f>IFERROR(__xludf.DUMMYFUNCTION("""COMPUTED_VALUE"""),"Demo/Meeting")</f>
        <v>Demo/Meeting</v>
      </c>
      <c r="R10" s="50" t="str">
        <f>IFERROR(__xludf.DUMMYFUNCTION("""COMPUTED_VALUE"""),"2nd Follow-Up")</f>
        <v>2nd Follow-Up</v>
      </c>
      <c r="S10" s="50"/>
      <c r="T10" s="50"/>
      <c r="U10" s="50" t="str">
        <f>IFERROR(__xludf.DUMMYFUNCTION("""COMPUTED_VALUE"""),"Not Scheduled")</f>
        <v>Not Scheduled</v>
      </c>
      <c r="V10" s="50"/>
      <c r="W10" s="50"/>
      <c r="X10" s="50"/>
      <c r="Y10" s="50"/>
      <c r="Z10" s="50"/>
      <c r="AA10" s="50">
        <f>IFERROR(__xludf.DUMMYFUNCTION("""COMPUTED_VALUE"""),0.0)</f>
        <v>0</v>
      </c>
      <c r="AB10" s="50"/>
      <c r="AC10" s="50"/>
      <c r="AD10" s="50"/>
    </row>
    <row r="11">
      <c r="A11" s="50">
        <f>IFERROR(__xludf.DUMMYFUNCTION("""COMPUTED_VALUE"""),132.0)</f>
        <v>132</v>
      </c>
      <c r="B11" s="51">
        <f>IFERROR(__xludf.DUMMYFUNCTION("""COMPUTED_VALUE"""),46296.0)</f>
        <v>46296</v>
      </c>
      <c r="C11" s="50" t="str">
        <f>IFERROR(__xludf.DUMMYFUNCTION("""COMPUTED_VALUE"""),"KES Security")</f>
        <v>KES Security</v>
      </c>
      <c r="D11" s="50" t="str">
        <f>IFERROR(__xludf.DUMMYFUNCTION("""COMPUTED_VALUE"""),"Jivesh Khanna")</f>
        <v>Jivesh Khanna</v>
      </c>
      <c r="E11" s="50" t="str">
        <f>IFERROR(__xludf.DUMMYFUNCTION("""COMPUTED_VALUE"""),"8728955559")</f>
        <v>8728955559</v>
      </c>
      <c r="F11" s="50"/>
      <c r="G11" s="50" t="str">
        <f>IFERROR(__xludf.DUMMYFUNCTION("""COMPUTED_VALUE"""),"Ludhiana")</f>
        <v>Ludhiana</v>
      </c>
      <c r="H11" s="50" t="str">
        <f>IFERROR(__xludf.DUMMYFUNCTION("""COMPUTED_VALUE"""),"India")</f>
        <v>India</v>
      </c>
      <c r="I11" s="50" t="str">
        <f>IFERROR(__xludf.DUMMYFUNCTION("""COMPUTED_VALUE"""),"India")</f>
        <v>India</v>
      </c>
      <c r="J11" s="50" t="str">
        <f>IFERROR(__xludf.DUMMYFUNCTION("""COMPUTED_VALUE"""),"Service")</f>
        <v>Service</v>
      </c>
      <c r="K11" s="50" t="str">
        <f>IFERROR(__xludf.DUMMYFUNCTION("""COMPUTED_VALUE"""),"Other Products")</f>
        <v>Other Products</v>
      </c>
      <c r="L11" s="50" t="str">
        <f>IFERROR(__xludf.DUMMYFUNCTION("""COMPUTED_VALUE"""),"Security &amp; Safety")</f>
        <v>Security &amp; Safety</v>
      </c>
      <c r="M11" s="50"/>
      <c r="N11" s="50" t="str">
        <f>IFERROR(__xludf.DUMMYFUNCTION("""COMPUTED_VALUE"""),"LinkedIn")</f>
        <v>LinkedIn</v>
      </c>
      <c r="O11" s="50"/>
      <c r="P11" s="50" t="str">
        <f>IFERROR(__xludf.DUMMYFUNCTION("""COMPUTED_VALUE"""),"Hot")</f>
        <v>Hot</v>
      </c>
      <c r="Q11" s="50" t="str">
        <f>IFERROR(__xludf.DUMMYFUNCTION("""COMPUTED_VALUE"""),"Proposal Sent")</f>
        <v>Proposal Sent</v>
      </c>
      <c r="R11" s="50" t="str">
        <f>IFERROR(__xludf.DUMMYFUNCTION("""COMPUTED_VALUE"""),"Follow-Up Complete")</f>
        <v>Follow-Up Complete</v>
      </c>
      <c r="S11" s="50"/>
      <c r="T11" s="50"/>
      <c r="U11" s="50" t="str">
        <f>IFERROR(__xludf.DUMMYFUNCTION("""COMPUTED_VALUE"""),"Not Scheduled")</f>
        <v>Not Scheduled</v>
      </c>
      <c r="V11" s="50"/>
      <c r="W11" s="50"/>
      <c r="X11" s="50"/>
      <c r="Y11" s="50"/>
      <c r="Z11" s="50"/>
      <c r="AA11" s="50">
        <f>IFERROR(__xludf.DUMMYFUNCTION("""COMPUTED_VALUE"""),0.0)</f>
        <v>0</v>
      </c>
      <c r="AB11" s="50"/>
      <c r="AC11" s="50"/>
      <c r="AD11" s="50"/>
    </row>
    <row r="12">
      <c r="A12" s="50">
        <f>IFERROR(__xludf.DUMMYFUNCTION("""COMPUTED_VALUE"""),133.0)</f>
        <v>133</v>
      </c>
      <c r="B12" s="51">
        <f>IFERROR(__xludf.DUMMYFUNCTION("""COMPUTED_VALUE"""),46296.0)</f>
        <v>46296</v>
      </c>
      <c r="C12" s="50" t="str">
        <f>IFERROR(__xludf.DUMMYFUNCTION("""COMPUTED_VALUE"""),"Calcite Learning")</f>
        <v>Calcite Learning</v>
      </c>
      <c r="D12" s="50" t="str">
        <f>IFERROR(__xludf.DUMMYFUNCTION("""COMPUTED_VALUE"""),"Parth Kakkad")</f>
        <v>Parth Kakkad</v>
      </c>
      <c r="E12" s="50" t="str">
        <f>IFERROR(__xludf.DUMMYFUNCTION("""COMPUTED_VALUE"""),"9512212391")</f>
        <v>9512212391</v>
      </c>
      <c r="F12" s="50"/>
      <c r="G12" s="50" t="str">
        <f>IFERROR(__xludf.DUMMYFUNCTION("""COMPUTED_VALUE"""),"Ahmedabad")</f>
        <v>Ahmedabad</v>
      </c>
      <c r="H12" s="50" t="str">
        <f>IFERROR(__xludf.DUMMYFUNCTION("""COMPUTED_VALUE"""),"India")</f>
        <v>India</v>
      </c>
      <c r="I12" s="50" t="str">
        <f>IFERROR(__xludf.DUMMYFUNCTION("""COMPUTED_VALUE"""),"India")</f>
        <v>India</v>
      </c>
      <c r="J12" s="50" t="str">
        <f>IFERROR(__xludf.DUMMYFUNCTION("""COMPUTED_VALUE"""),"Service")</f>
        <v>Service</v>
      </c>
      <c r="K12" s="50" t="str">
        <f>IFERROR(__xludf.DUMMYFUNCTION("""COMPUTED_VALUE"""),"Other Products")</f>
        <v>Other Products</v>
      </c>
      <c r="L12" s="50" t="str">
        <f>IFERROR(__xludf.DUMMYFUNCTION("""COMPUTED_VALUE"""),"General Services")</f>
        <v>General Services</v>
      </c>
      <c r="M12" s="50"/>
      <c r="N12" s="50" t="str">
        <f>IFERROR(__xludf.DUMMYFUNCTION("""COMPUTED_VALUE"""),"LinkedIn")</f>
        <v>LinkedIn</v>
      </c>
      <c r="O12" s="50"/>
      <c r="P12" s="50" t="str">
        <f>IFERROR(__xludf.DUMMYFUNCTION("""COMPUTED_VALUE"""),"Hot")</f>
        <v>Hot</v>
      </c>
      <c r="Q12" s="50" t="str">
        <f>IFERROR(__xludf.DUMMYFUNCTION("""COMPUTED_VALUE"""),"Proposal Sent")</f>
        <v>Proposal Sent</v>
      </c>
      <c r="R12" s="50" t="str">
        <f>IFERROR(__xludf.DUMMYFUNCTION("""COMPUTED_VALUE"""),"3rd Follow-Up")</f>
        <v>3rd Follow-Up</v>
      </c>
      <c r="S12" s="50"/>
      <c r="T12" s="50"/>
      <c r="U12" s="50" t="str">
        <f>IFERROR(__xludf.DUMMYFUNCTION("""COMPUTED_VALUE"""),"Not Scheduled")</f>
        <v>Not Scheduled</v>
      </c>
      <c r="V12" s="50"/>
      <c r="W12" s="50"/>
      <c r="X12" s="50"/>
      <c r="Y12" s="50"/>
      <c r="Z12" s="50"/>
      <c r="AA12" s="50">
        <f>IFERROR(__xludf.DUMMYFUNCTION("""COMPUTED_VALUE"""),0.0)</f>
        <v>0</v>
      </c>
      <c r="AB12" s="50"/>
      <c r="AC12" s="50"/>
      <c r="AD12" s="50"/>
    </row>
    <row r="13">
      <c r="B13" s="51"/>
    </row>
    <row r="14">
      <c r="B14" s="51"/>
    </row>
    <row r="15">
      <c r="B15" s="51"/>
    </row>
    <row r="16">
      <c r="B16" s="51"/>
    </row>
    <row r="17">
      <c r="B17" s="51"/>
    </row>
    <row r="18">
      <c r="B18" s="51"/>
    </row>
    <row r="19">
      <c r="B19" s="51"/>
    </row>
    <row r="20">
      <c r="B20" s="51"/>
    </row>
    <row r="21" ht="15.75" customHeight="1">
      <c r="B21" s="51"/>
    </row>
    <row r="22" ht="15.75" customHeight="1">
      <c r="B22" s="51"/>
    </row>
    <row r="23" ht="15.75" customHeight="1">
      <c r="B23" s="51"/>
    </row>
    <row r="24" ht="15.75" customHeight="1">
      <c r="B24" s="51"/>
    </row>
    <row r="25" ht="15.75" customHeight="1">
      <c r="B25" s="51"/>
    </row>
    <row r="26" ht="15.75" customHeight="1">
      <c r="B26" s="51"/>
    </row>
    <row r="27" ht="15.75" customHeight="1">
      <c r="B27" s="51"/>
    </row>
    <row r="28" ht="15.75" customHeight="1">
      <c r="B28" s="51"/>
    </row>
    <row r="29" ht="15.75" customHeight="1">
      <c r="B29" s="51"/>
    </row>
    <row r="30" ht="15.75" customHeight="1">
      <c r="B30" s="51"/>
    </row>
    <row r="31" ht="15.75" customHeight="1">
      <c r="B31" s="51"/>
    </row>
    <row r="32" ht="15.75" customHeight="1">
      <c r="B32" s="51"/>
    </row>
    <row r="33" ht="15.75" customHeight="1">
      <c r="B33" s="51"/>
    </row>
    <row r="34" ht="15.75" customHeight="1">
      <c r="B34" s="51"/>
    </row>
    <row r="35" ht="15.75" customHeight="1">
      <c r="B35" s="51"/>
    </row>
    <row r="36" ht="15.75" customHeight="1">
      <c r="B36" s="51"/>
    </row>
    <row r="37" ht="15.75" customHeight="1">
      <c r="B37" s="51"/>
    </row>
    <row r="38" ht="15.75" customHeight="1">
      <c r="B38" s="51"/>
    </row>
    <row r="39" ht="15.75" customHeight="1">
      <c r="B39" s="51"/>
    </row>
    <row r="40" ht="15.75" customHeight="1">
      <c r="B40" s="51"/>
    </row>
    <row r="41" ht="15.75" customHeight="1">
      <c r="B41" s="51"/>
    </row>
    <row r="42" ht="15.75" customHeight="1">
      <c r="B42" s="51"/>
    </row>
    <row r="43" ht="15.75" customHeight="1">
      <c r="B43" s="51"/>
    </row>
    <row r="44" ht="15.75" customHeight="1">
      <c r="B44" s="51"/>
    </row>
    <row r="45" ht="15.75" customHeight="1">
      <c r="B45" s="51"/>
    </row>
    <row r="46" ht="15.75" customHeight="1">
      <c r="B46" s="51"/>
    </row>
    <row r="47" ht="15.75" customHeight="1">
      <c r="B47" s="51"/>
    </row>
    <row r="48" ht="15.75" customHeight="1">
      <c r="B48" s="51"/>
    </row>
    <row r="49" ht="15.75" customHeight="1">
      <c r="B49" s="51"/>
    </row>
    <row r="50" ht="15.75" customHeight="1">
      <c r="B50" s="51"/>
    </row>
    <row r="51" ht="15.75" customHeight="1">
      <c r="B51" s="51"/>
    </row>
    <row r="52" ht="15.75" customHeight="1">
      <c r="B52" s="51"/>
    </row>
    <row r="53" ht="15.75" customHeight="1">
      <c r="B53" s="51"/>
    </row>
    <row r="54" ht="15.75" customHeight="1">
      <c r="B54" s="51"/>
    </row>
    <row r="55" ht="15.75" customHeight="1">
      <c r="B55" s="51"/>
    </row>
    <row r="56" ht="15.75" customHeight="1">
      <c r="B56" s="51"/>
    </row>
    <row r="57" ht="15.75" customHeight="1">
      <c r="B57" s="51"/>
    </row>
    <row r="58" ht="15.75" customHeight="1">
      <c r="B58" s="51"/>
    </row>
    <row r="59" ht="15.75" customHeight="1">
      <c r="B59" s="51"/>
    </row>
    <row r="60" ht="15.75" customHeight="1">
      <c r="B60" s="51"/>
    </row>
    <row r="61" ht="15.75" customHeight="1">
      <c r="B61" s="51"/>
    </row>
    <row r="62" ht="15.75" customHeight="1">
      <c r="B62" s="51"/>
    </row>
    <row r="63" ht="15.75" customHeight="1">
      <c r="B63" s="51"/>
    </row>
    <row r="64" ht="15.75" customHeight="1">
      <c r="B64" s="51"/>
    </row>
    <row r="65" ht="15.75" customHeight="1">
      <c r="B65" s="51"/>
    </row>
    <row r="66" ht="15.75" customHeight="1">
      <c r="B66" s="51"/>
    </row>
    <row r="67" ht="15.75" customHeight="1">
      <c r="B67" s="51"/>
    </row>
    <row r="68" ht="15.75" customHeight="1">
      <c r="B68" s="51"/>
    </row>
    <row r="69" ht="15.75" customHeight="1">
      <c r="B69" s="51"/>
    </row>
    <row r="70" ht="15.75" customHeight="1">
      <c r="B70" s="51"/>
    </row>
    <row r="71" ht="15.75" customHeight="1">
      <c r="B71" s="51"/>
    </row>
    <row r="72" ht="15.75" customHeight="1">
      <c r="B72" s="51"/>
    </row>
    <row r="73" ht="15.75" customHeight="1">
      <c r="B73" s="51"/>
    </row>
    <row r="74" ht="15.75" customHeight="1">
      <c r="B74" s="51"/>
    </row>
    <row r="75" ht="15.75" customHeight="1">
      <c r="B75" s="51"/>
    </row>
    <row r="76" ht="15.75" customHeight="1">
      <c r="B76" s="51"/>
    </row>
    <row r="77" ht="15.75" customHeight="1">
      <c r="B77" s="51"/>
    </row>
    <row r="78" ht="15.75" customHeight="1">
      <c r="B78" s="51"/>
    </row>
    <row r="79" ht="15.75" customHeight="1">
      <c r="B79" s="51"/>
    </row>
    <row r="80" ht="15.75" customHeight="1">
      <c r="B80" s="51"/>
    </row>
    <row r="81" ht="15.75" customHeight="1">
      <c r="B81" s="51"/>
    </row>
    <row r="82" ht="15.75" customHeight="1">
      <c r="B82" s="51"/>
    </row>
    <row r="83" ht="15.75" customHeight="1">
      <c r="B83" s="51"/>
    </row>
    <row r="84" ht="15.75" customHeight="1">
      <c r="B84" s="51"/>
    </row>
    <row r="85" ht="15.75" customHeight="1">
      <c r="B85" s="51"/>
    </row>
    <row r="86" ht="15.75" customHeight="1">
      <c r="B86" s="51"/>
    </row>
    <row r="87" ht="15.75" customHeight="1">
      <c r="B87" s="51"/>
    </row>
    <row r="88" ht="15.75" customHeight="1">
      <c r="B88" s="51"/>
    </row>
    <row r="89" ht="15.75" customHeight="1">
      <c r="B89" s="51"/>
    </row>
    <row r="90" ht="15.75" customHeight="1">
      <c r="B90" s="51"/>
    </row>
    <row r="91" ht="15.75" customHeight="1">
      <c r="B91" s="51"/>
    </row>
    <row r="92" ht="15.75" customHeight="1">
      <c r="B92" s="51"/>
    </row>
    <row r="93" ht="15.75" customHeight="1">
      <c r="B93" s="51"/>
    </row>
    <row r="94" ht="15.75" customHeight="1">
      <c r="B94" s="51"/>
    </row>
    <row r="95" ht="15.75" customHeight="1">
      <c r="B95" s="51"/>
    </row>
    <row r="96" ht="15.75" customHeight="1">
      <c r="B96" s="51"/>
    </row>
    <row r="97" ht="15.75" customHeight="1">
      <c r="B97" s="51"/>
    </row>
    <row r="98" ht="15.75" customHeight="1">
      <c r="B98" s="51"/>
    </row>
    <row r="99" ht="15.75" customHeight="1">
      <c r="B99" s="51"/>
    </row>
    <row r="100" ht="15.75" customHeight="1">
      <c r="B100" s="51"/>
    </row>
    <row r="101" ht="15.75" customHeight="1">
      <c r="B101" s="51"/>
    </row>
    <row r="102" ht="15.75" customHeight="1">
      <c r="B102" s="51"/>
    </row>
    <row r="103" ht="15.75" customHeight="1">
      <c r="B103" s="51"/>
    </row>
    <row r="104" ht="15.75" customHeight="1">
      <c r="B104" s="51"/>
    </row>
    <row r="105" ht="15.75" customHeight="1">
      <c r="B105" s="51"/>
    </row>
    <row r="106" ht="15.75" customHeight="1">
      <c r="B106" s="51"/>
    </row>
    <row r="107" ht="15.75" customHeight="1">
      <c r="B107" s="51"/>
    </row>
    <row r="108" ht="15.75" customHeight="1">
      <c r="B108" s="51"/>
    </row>
    <row r="109" ht="15.75" customHeight="1">
      <c r="B109" s="51"/>
    </row>
    <row r="110" ht="15.75" customHeight="1">
      <c r="B110" s="51"/>
    </row>
    <row r="111" ht="15.75" customHeight="1">
      <c r="B111" s="51"/>
    </row>
    <row r="112" ht="15.75" customHeight="1">
      <c r="B112" s="51"/>
    </row>
    <row r="113" ht="15.75" customHeight="1">
      <c r="B113" s="51"/>
    </row>
    <row r="114" ht="15.75" customHeight="1">
      <c r="B114" s="51"/>
    </row>
    <row r="115" ht="15.75" customHeight="1">
      <c r="B115" s="51"/>
    </row>
    <row r="116" ht="15.75" customHeight="1">
      <c r="B116" s="51"/>
    </row>
    <row r="117" ht="15.75" customHeight="1">
      <c r="B117" s="51"/>
    </row>
    <row r="118" ht="15.75" customHeight="1">
      <c r="B118" s="51"/>
    </row>
    <row r="119" ht="15.75" customHeight="1">
      <c r="B119" s="51"/>
    </row>
    <row r="120" ht="15.75" customHeight="1">
      <c r="B120" s="51"/>
    </row>
    <row r="121" ht="15.75" customHeight="1">
      <c r="B121" s="51"/>
    </row>
    <row r="122" ht="15.75" customHeight="1">
      <c r="B122" s="51"/>
    </row>
    <row r="123" ht="15.75" customHeight="1">
      <c r="B123" s="51"/>
    </row>
    <row r="124" ht="15.75" customHeight="1">
      <c r="B124" s="51"/>
    </row>
    <row r="125" ht="15.75" customHeight="1">
      <c r="B125" s="51"/>
    </row>
    <row r="126" ht="15.75" customHeight="1">
      <c r="B126" s="51"/>
    </row>
    <row r="127" ht="15.75" customHeight="1">
      <c r="B127" s="51"/>
    </row>
    <row r="128" ht="15.75" customHeight="1">
      <c r="B128" s="51"/>
    </row>
    <row r="129" ht="15.75" customHeight="1">
      <c r="B129" s="51"/>
    </row>
    <row r="130" ht="15.75" customHeight="1">
      <c r="B130" s="51"/>
    </row>
    <row r="131" ht="15.75" customHeight="1">
      <c r="B131" s="51"/>
    </row>
    <row r="132" ht="15.75" customHeight="1">
      <c r="B132" s="51"/>
    </row>
    <row r="133" ht="15.75" customHeight="1">
      <c r="B133" s="51"/>
    </row>
    <row r="134" ht="15.75" customHeight="1">
      <c r="B134" s="51"/>
    </row>
    <row r="135" ht="15.75" customHeight="1">
      <c r="B135" s="51"/>
    </row>
    <row r="136" ht="15.75" customHeight="1">
      <c r="B136" s="51"/>
    </row>
    <row r="137" ht="15.75" customHeight="1">
      <c r="B137" s="51"/>
    </row>
    <row r="138" ht="15.75" customHeight="1">
      <c r="B138" s="51"/>
    </row>
    <row r="139" ht="15.75" customHeight="1">
      <c r="B139" s="51"/>
    </row>
    <row r="140" ht="15.75" customHeight="1">
      <c r="B140" s="51"/>
    </row>
    <row r="141" ht="15.75" customHeight="1">
      <c r="B141" s="51"/>
    </row>
    <row r="142" ht="15.75" customHeight="1">
      <c r="B142" s="51"/>
    </row>
    <row r="143" ht="15.75" customHeight="1">
      <c r="B143" s="51"/>
    </row>
    <row r="144" ht="15.75" customHeight="1">
      <c r="B144" s="51"/>
    </row>
    <row r="145" ht="15.75" customHeight="1">
      <c r="B145" s="51"/>
    </row>
    <row r="146" ht="15.75" customHeight="1">
      <c r="B146" s="51"/>
    </row>
    <row r="147" ht="15.75" customHeight="1">
      <c r="B147" s="51"/>
    </row>
    <row r="148" ht="15.75" customHeight="1">
      <c r="B148" s="51"/>
    </row>
    <row r="149" ht="15.75" customHeight="1">
      <c r="B149" s="51"/>
    </row>
    <row r="150" ht="15.75" customHeight="1">
      <c r="B150" s="51"/>
    </row>
    <row r="151" ht="15.75" customHeight="1">
      <c r="B151" s="51"/>
    </row>
    <row r="152" ht="15.75" customHeight="1">
      <c r="B152" s="51"/>
    </row>
    <row r="153" ht="15.75" customHeight="1">
      <c r="B153" s="51"/>
    </row>
    <row r="154" ht="15.75" customHeight="1">
      <c r="B154" s="51"/>
    </row>
    <row r="155" ht="15.75" customHeight="1">
      <c r="B155" s="51"/>
    </row>
    <row r="156" ht="15.75" customHeight="1">
      <c r="B156" s="51"/>
    </row>
    <row r="157" ht="15.75" customHeight="1">
      <c r="B157" s="51"/>
    </row>
    <row r="158" ht="15.75" customHeight="1">
      <c r="B158" s="51"/>
    </row>
    <row r="159" ht="15.75" customHeight="1">
      <c r="B159" s="51"/>
    </row>
    <row r="160" ht="15.75" customHeight="1">
      <c r="B160" s="51"/>
    </row>
    <row r="161" ht="15.75" customHeight="1">
      <c r="B161" s="51"/>
    </row>
    <row r="162" ht="15.75" customHeight="1">
      <c r="B162" s="51"/>
    </row>
    <row r="163" ht="15.75" customHeight="1">
      <c r="B163" s="51"/>
    </row>
    <row r="164" ht="15.75" customHeight="1">
      <c r="B164" s="51"/>
    </row>
    <row r="165" ht="15.75" customHeight="1">
      <c r="B165" s="51"/>
    </row>
    <row r="166" ht="15.75" customHeight="1">
      <c r="B166" s="51"/>
    </row>
    <row r="167" ht="15.75" customHeight="1">
      <c r="B167" s="51"/>
    </row>
    <row r="168" ht="15.75" customHeight="1">
      <c r="B168" s="51"/>
    </row>
    <row r="169" ht="15.75" customHeight="1">
      <c r="B169" s="51"/>
    </row>
    <row r="170" ht="15.75" customHeight="1">
      <c r="B170" s="51"/>
    </row>
    <row r="171" ht="15.75" customHeight="1">
      <c r="B171" s="51"/>
    </row>
    <row r="172" ht="15.75" customHeight="1">
      <c r="B172" s="51"/>
    </row>
    <row r="173" ht="15.75" customHeight="1">
      <c r="B173" s="51"/>
    </row>
    <row r="174" ht="15.75" customHeight="1">
      <c r="B174" s="51"/>
    </row>
    <row r="175" ht="15.75" customHeight="1">
      <c r="B175" s="51"/>
    </row>
    <row r="176" ht="15.75" customHeight="1">
      <c r="B176" s="51"/>
    </row>
    <row r="177" ht="15.75" customHeight="1">
      <c r="B177" s="51"/>
    </row>
    <row r="178" ht="15.75" customHeight="1">
      <c r="B178" s="51"/>
    </row>
    <row r="179" ht="15.75" customHeight="1">
      <c r="B179" s="51"/>
    </row>
    <row r="180" ht="15.75" customHeight="1">
      <c r="B180" s="51"/>
    </row>
    <row r="181" ht="15.75" customHeight="1">
      <c r="B181" s="51"/>
    </row>
    <row r="182" ht="15.75" customHeight="1">
      <c r="B182" s="51"/>
    </row>
    <row r="183" ht="15.75" customHeight="1">
      <c r="B183" s="51"/>
    </row>
    <row r="184" ht="15.75" customHeight="1">
      <c r="B184" s="51"/>
    </row>
    <row r="185" ht="15.75" customHeight="1">
      <c r="B185" s="51"/>
    </row>
    <row r="186" ht="15.75" customHeight="1">
      <c r="B186" s="51"/>
    </row>
    <row r="187" ht="15.75" customHeight="1">
      <c r="B187" s="51"/>
    </row>
    <row r="188" ht="15.75" customHeight="1">
      <c r="B188" s="51"/>
    </row>
    <row r="189" ht="15.75" customHeight="1">
      <c r="B189" s="51"/>
    </row>
    <row r="190" ht="15.75" customHeight="1">
      <c r="B190" s="51"/>
    </row>
    <row r="191" ht="15.75" customHeight="1">
      <c r="B191" s="51"/>
    </row>
    <row r="192" ht="15.75" customHeight="1">
      <c r="B192" s="51"/>
    </row>
    <row r="193" ht="15.75" customHeight="1">
      <c r="B193" s="51"/>
    </row>
    <row r="194" ht="15.75" customHeight="1">
      <c r="B194" s="51"/>
    </row>
    <row r="195" ht="15.75" customHeight="1">
      <c r="B195" s="51"/>
    </row>
    <row r="196" ht="15.75" customHeight="1">
      <c r="B196" s="51"/>
    </row>
    <row r="197" ht="15.75" customHeight="1">
      <c r="B197" s="51"/>
    </row>
    <row r="198" ht="15.75" customHeight="1">
      <c r="B198" s="51"/>
    </row>
    <row r="199" ht="15.75" customHeight="1">
      <c r="B199" s="51"/>
    </row>
    <row r="200" ht="15.75" customHeight="1">
      <c r="B200" s="51"/>
    </row>
    <row r="201" ht="15.75" customHeight="1">
      <c r="B201" s="51"/>
    </row>
    <row r="202" ht="15.75" customHeight="1">
      <c r="B202" s="51"/>
    </row>
    <row r="203" ht="15.75" customHeight="1">
      <c r="B203" s="51"/>
    </row>
    <row r="204" ht="15.75" customHeight="1">
      <c r="B204" s="51"/>
    </row>
    <row r="205" ht="15.75" customHeight="1">
      <c r="B205" s="51"/>
    </row>
    <row r="206" ht="15.75" customHeight="1">
      <c r="B206" s="51"/>
    </row>
    <row r="207" ht="15.75" customHeight="1">
      <c r="B207" s="51"/>
    </row>
    <row r="208" ht="15.75" customHeight="1">
      <c r="B208" s="51"/>
    </row>
    <row r="209" ht="15.75" customHeight="1">
      <c r="B209" s="51"/>
    </row>
    <row r="210" ht="15.75" customHeight="1">
      <c r="B210" s="51"/>
    </row>
    <row r="211" ht="15.75" customHeight="1">
      <c r="B211" s="51"/>
    </row>
    <row r="212" ht="15.75" customHeight="1">
      <c r="B212" s="51"/>
    </row>
    <row r="213" ht="15.75" customHeight="1">
      <c r="B213" s="51"/>
    </row>
    <row r="214" ht="15.75" customHeight="1">
      <c r="B214" s="51"/>
    </row>
    <row r="215" ht="15.75" customHeight="1">
      <c r="B215" s="51"/>
    </row>
    <row r="216" ht="15.75" customHeight="1">
      <c r="B216" s="51"/>
    </row>
    <row r="217" ht="15.75" customHeight="1">
      <c r="B217" s="51"/>
    </row>
    <row r="218" ht="15.75" customHeight="1">
      <c r="B218" s="51"/>
    </row>
    <row r="219" ht="15.75" customHeight="1">
      <c r="B219" s="51"/>
    </row>
    <row r="220" ht="15.75" customHeight="1">
      <c r="B220" s="51"/>
    </row>
    <row r="221" ht="15.75" customHeight="1">
      <c r="B221" s="51"/>
    </row>
    <row r="222" ht="15.75" customHeight="1">
      <c r="B222" s="51"/>
    </row>
    <row r="223" ht="15.75" customHeight="1">
      <c r="B223" s="51"/>
    </row>
    <row r="224" ht="15.75" customHeight="1">
      <c r="B224" s="51"/>
    </row>
    <row r="225" ht="15.75" customHeight="1">
      <c r="B225" s="51"/>
    </row>
    <row r="226" ht="15.75" customHeight="1">
      <c r="B226" s="51"/>
    </row>
    <row r="227" ht="15.75" customHeight="1">
      <c r="B227" s="51"/>
    </row>
    <row r="228" ht="15.75" customHeight="1">
      <c r="B228" s="51"/>
    </row>
    <row r="229" ht="15.75" customHeight="1">
      <c r="B229" s="51"/>
    </row>
    <row r="230" ht="15.75" customHeight="1">
      <c r="B230" s="51"/>
    </row>
    <row r="231" ht="15.75" customHeight="1">
      <c r="B231" s="51"/>
    </row>
    <row r="232" ht="15.75" customHeight="1">
      <c r="B232" s="51"/>
    </row>
    <row r="233" ht="15.75" customHeight="1">
      <c r="B233" s="51"/>
    </row>
    <row r="234" ht="15.75" customHeight="1">
      <c r="B234" s="51"/>
    </row>
    <row r="235" ht="15.75" customHeight="1">
      <c r="B235" s="51"/>
    </row>
    <row r="236" ht="15.75" customHeight="1">
      <c r="B236" s="51"/>
    </row>
    <row r="237" ht="15.75" customHeight="1">
      <c r="B237" s="51"/>
    </row>
    <row r="238" ht="15.75" customHeight="1">
      <c r="B238" s="51"/>
    </row>
    <row r="239" ht="15.75" customHeight="1">
      <c r="B239" s="51"/>
    </row>
    <row r="240" ht="15.75" customHeight="1">
      <c r="B240" s="51"/>
    </row>
    <row r="241" ht="15.75" customHeight="1">
      <c r="B241" s="51"/>
    </row>
    <row r="242" ht="15.75" customHeight="1">
      <c r="B242" s="51"/>
    </row>
    <row r="243" ht="15.75" customHeight="1">
      <c r="B243" s="51"/>
    </row>
    <row r="244" ht="15.75" customHeight="1">
      <c r="B244" s="51"/>
    </row>
    <row r="245" ht="15.75" customHeight="1">
      <c r="B245" s="51"/>
    </row>
    <row r="246" ht="15.75" customHeight="1">
      <c r="B246" s="51"/>
    </row>
    <row r="247" ht="15.75" customHeight="1">
      <c r="B247" s="51"/>
    </row>
    <row r="248" ht="15.75" customHeight="1">
      <c r="B248" s="51"/>
    </row>
    <row r="249" ht="15.75" customHeight="1">
      <c r="B249" s="51"/>
    </row>
    <row r="250" ht="15.75" customHeight="1">
      <c r="B250" s="51"/>
    </row>
    <row r="251" ht="15.75" customHeight="1">
      <c r="B251" s="51"/>
    </row>
    <row r="252" ht="15.75" customHeight="1">
      <c r="B252" s="51"/>
    </row>
    <row r="253" ht="15.75" customHeight="1">
      <c r="B253" s="51"/>
    </row>
    <row r="254" ht="15.75" customHeight="1">
      <c r="B254" s="51"/>
    </row>
    <row r="255" ht="15.75" customHeight="1">
      <c r="B255" s="51"/>
    </row>
    <row r="256" ht="15.75" customHeight="1">
      <c r="B256" s="51"/>
    </row>
    <row r="257" ht="15.75" customHeight="1">
      <c r="B257" s="51"/>
    </row>
    <row r="258" ht="15.75" customHeight="1">
      <c r="B258" s="51"/>
    </row>
    <row r="259" ht="15.75" customHeight="1">
      <c r="B259" s="51"/>
    </row>
    <row r="260" ht="15.75" customHeight="1">
      <c r="B260" s="51"/>
    </row>
    <row r="261" ht="15.75" customHeight="1">
      <c r="B261" s="51"/>
    </row>
    <row r="262" ht="15.75" customHeight="1">
      <c r="B262" s="51"/>
    </row>
    <row r="263" ht="15.75" customHeight="1">
      <c r="B263" s="51"/>
    </row>
    <row r="264" ht="15.75" customHeight="1">
      <c r="B264" s="51"/>
    </row>
    <row r="265" ht="15.75" customHeight="1">
      <c r="B265" s="51"/>
    </row>
    <row r="266" ht="15.75" customHeight="1">
      <c r="B266" s="51"/>
    </row>
    <row r="267" ht="15.75" customHeight="1">
      <c r="B267" s="51"/>
    </row>
    <row r="268" ht="15.75" customHeight="1">
      <c r="B268" s="51"/>
    </row>
    <row r="269" ht="15.75" customHeight="1">
      <c r="B269" s="51"/>
    </row>
    <row r="270" ht="15.75" customHeight="1">
      <c r="B270" s="51"/>
    </row>
    <row r="271" ht="15.75" customHeight="1">
      <c r="B271" s="51"/>
    </row>
    <row r="272" ht="15.75" customHeight="1">
      <c r="B272" s="51"/>
    </row>
    <row r="273" ht="15.75" customHeight="1">
      <c r="B273" s="51"/>
    </row>
    <row r="274" ht="15.75" customHeight="1">
      <c r="B274" s="51"/>
    </row>
    <row r="275" ht="15.75" customHeight="1">
      <c r="B275" s="51"/>
    </row>
    <row r="276" ht="15.75" customHeight="1">
      <c r="B276" s="51"/>
    </row>
    <row r="277" ht="15.75" customHeight="1">
      <c r="B277" s="51"/>
    </row>
    <row r="278" ht="15.75" customHeight="1">
      <c r="B278" s="51"/>
    </row>
    <row r="279" ht="15.75" customHeight="1">
      <c r="B279" s="51"/>
    </row>
    <row r="280" ht="15.75" customHeight="1">
      <c r="B280" s="51"/>
    </row>
    <row r="281" ht="15.75" customHeight="1">
      <c r="B281" s="51"/>
    </row>
    <row r="282" ht="15.75" customHeight="1">
      <c r="B282" s="51"/>
    </row>
    <row r="283" ht="15.75" customHeight="1">
      <c r="B283" s="51"/>
    </row>
    <row r="284" ht="15.75" customHeight="1">
      <c r="B284" s="51"/>
    </row>
    <row r="285" ht="15.75" customHeight="1">
      <c r="B285" s="51"/>
    </row>
    <row r="286" ht="15.75" customHeight="1">
      <c r="B286" s="51"/>
    </row>
    <row r="287" ht="15.75" customHeight="1">
      <c r="B287" s="51"/>
    </row>
    <row r="288" ht="15.75" customHeight="1">
      <c r="B288" s="51"/>
    </row>
    <row r="289" ht="15.75" customHeight="1">
      <c r="B289" s="51"/>
    </row>
    <row r="290" ht="15.75" customHeight="1">
      <c r="B290" s="51"/>
    </row>
    <row r="291" ht="15.75" customHeight="1">
      <c r="B291" s="51"/>
    </row>
    <row r="292" ht="15.75" customHeight="1">
      <c r="B292" s="51"/>
    </row>
    <row r="293" ht="15.75" customHeight="1">
      <c r="B293" s="51"/>
    </row>
    <row r="294" ht="15.75" customHeight="1">
      <c r="B294" s="51"/>
    </row>
    <row r="295" ht="15.75" customHeight="1">
      <c r="B295" s="51"/>
    </row>
    <row r="296" ht="15.75" customHeight="1">
      <c r="B296" s="51"/>
    </row>
    <row r="297" ht="15.75" customHeight="1">
      <c r="B297" s="51"/>
    </row>
    <row r="298" ht="15.75" customHeight="1">
      <c r="B298" s="51"/>
    </row>
    <row r="299" ht="15.75" customHeight="1">
      <c r="B299" s="51"/>
    </row>
    <row r="300" ht="15.75" customHeight="1">
      <c r="B300" s="51"/>
    </row>
    <row r="301" ht="15.75" customHeight="1">
      <c r="B301" s="51"/>
    </row>
    <row r="302" ht="15.75" customHeight="1">
      <c r="B302" s="51"/>
    </row>
    <row r="303" ht="15.75" customHeight="1">
      <c r="B303" s="51"/>
    </row>
    <row r="304" ht="15.75" customHeight="1">
      <c r="B304" s="51"/>
    </row>
    <row r="305" ht="15.75" customHeight="1">
      <c r="B305" s="51"/>
    </row>
    <row r="306" ht="15.75" customHeight="1">
      <c r="B306" s="51"/>
    </row>
    <row r="307" ht="15.75" customHeight="1">
      <c r="B307" s="51"/>
    </row>
    <row r="308" ht="15.75" customHeight="1">
      <c r="B308" s="51"/>
    </row>
    <row r="309" ht="15.75" customHeight="1">
      <c r="B309" s="51"/>
    </row>
    <row r="310" ht="15.75" customHeight="1">
      <c r="B310" s="51"/>
    </row>
    <row r="311" ht="15.75" customHeight="1">
      <c r="B311" s="51"/>
    </row>
    <row r="312" ht="15.75" customHeight="1">
      <c r="B312" s="51"/>
    </row>
    <row r="313" ht="15.75" customHeight="1">
      <c r="B313" s="51"/>
    </row>
    <row r="314" ht="15.75" customHeight="1">
      <c r="B314" s="51"/>
    </row>
    <row r="315" ht="15.75" customHeight="1">
      <c r="B315" s="51"/>
    </row>
    <row r="316" ht="15.75" customHeight="1">
      <c r="B316" s="51"/>
    </row>
    <row r="317" ht="15.75" customHeight="1">
      <c r="B317" s="51"/>
    </row>
    <row r="318" ht="15.75" customHeight="1">
      <c r="B318" s="51"/>
    </row>
    <row r="319" ht="15.75" customHeight="1">
      <c r="B319" s="51"/>
    </row>
    <row r="320" ht="15.75" customHeight="1">
      <c r="B320" s="51"/>
    </row>
    <row r="321" ht="15.75" customHeight="1">
      <c r="B321" s="51"/>
    </row>
    <row r="322" ht="15.75" customHeight="1">
      <c r="B322" s="51"/>
    </row>
    <row r="323" ht="15.75" customHeight="1">
      <c r="B323" s="51"/>
    </row>
    <row r="324" ht="15.75" customHeight="1">
      <c r="B324" s="51"/>
    </row>
    <row r="325" ht="15.75" customHeight="1">
      <c r="B325" s="51"/>
    </row>
    <row r="326" ht="15.75" customHeight="1">
      <c r="B326" s="51"/>
    </row>
    <row r="327" ht="15.75" customHeight="1">
      <c r="B327" s="51"/>
    </row>
    <row r="328" ht="15.75" customHeight="1">
      <c r="B328" s="51"/>
    </row>
    <row r="329" ht="15.75" customHeight="1">
      <c r="B329" s="51"/>
    </row>
    <row r="330" ht="15.75" customHeight="1">
      <c r="B330" s="51"/>
    </row>
    <row r="331" ht="15.75" customHeight="1">
      <c r="B331" s="51"/>
    </row>
    <row r="332" ht="15.75" customHeight="1">
      <c r="B332" s="51"/>
    </row>
    <row r="333" ht="15.75" customHeight="1">
      <c r="B333" s="51"/>
    </row>
    <row r="334" ht="15.75" customHeight="1">
      <c r="B334" s="51"/>
    </row>
    <row r="335" ht="15.75" customHeight="1">
      <c r="B335" s="51"/>
    </row>
    <row r="336" ht="15.75" customHeight="1">
      <c r="B336" s="51"/>
    </row>
    <row r="337" ht="15.75" customHeight="1">
      <c r="B337" s="51"/>
    </row>
    <row r="338" ht="15.75" customHeight="1">
      <c r="B338" s="51"/>
    </row>
    <row r="339" ht="15.75" customHeight="1">
      <c r="B339" s="51"/>
    </row>
    <row r="340" ht="15.75" customHeight="1">
      <c r="B340" s="51"/>
    </row>
    <row r="341" ht="15.75" customHeight="1">
      <c r="B341" s="51"/>
    </row>
    <row r="342" ht="15.75" customHeight="1">
      <c r="B342" s="51"/>
    </row>
    <row r="343" ht="15.75" customHeight="1">
      <c r="B343" s="51"/>
    </row>
    <row r="344" ht="15.75" customHeight="1">
      <c r="B344" s="51"/>
    </row>
    <row r="345" ht="15.75" customHeight="1">
      <c r="B345" s="51"/>
    </row>
    <row r="346" ht="15.75" customHeight="1">
      <c r="B346" s="51"/>
    </row>
    <row r="347" ht="15.75" customHeight="1">
      <c r="B347" s="51"/>
    </row>
    <row r="348" ht="15.75" customHeight="1">
      <c r="B348" s="51"/>
    </row>
    <row r="349" ht="15.75" customHeight="1">
      <c r="B349" s="51"/>
    </row>
    <row r="350" ht="15.75" customHeight="1">
      <c r="B350" s="51"/>
    </row>
    <row r="351" ht="15.75" customHeight="1">
      <c r="B351" s="51"/>
    </row>
    <row r="352" ht="15.75" customHeight="1">
      <c r="B352" s="51"/>
    </row>
    <row r="353" ht="15.75" customHeight="1">
      <c r="B353" s="51"/>
    </row>
    <row r="354" ht="15.75" customHeight="1">
      <c r="B354" s="51"/>
    </row>
    <row r="355" ht="15.75" customHeight="1">
      <c r="B355" s="51"/>
    </row>
    <row r="356" ht="15.75" customHeight="1">
      <c r="B356" s="51"/>
    </row>
    <row r="357" ht="15.75" customHeight="1">
      <c r="B357" s="51"/>
    </row>
    <row r="358" ht="15.75" customHeight="1">
      <c r="B358" s="51"/>
    </row>
    <row r="359" ht="15.75" customHeight="1">
      <c r="B359" s="51"/>
    </row>
    <row r="360" ht="15.75" customHeight="1">
      <c r="B360" s="51"/>
    </row>
    <row r="361" ht="15.75" customHeight="1">
      <c r="B361" s="51"/>
    </row>
    <row r="362" ht="15.75" customHeight="1">
      <c r="B362" s="51"/>
    </row>
    <row r="363" ht="15.75" customHeight="1">
      <c r="B363" s="51"/>
    </row>
    <row r="364" ht="15.75" customHeight="1">
      <c r="B364" s="51"/>
    </row>
    <row r="365" ht="15.75" customHeight="1">
      <c r="B365" s="51"/>
    </row>
    <row r="366" ht="15.75" customHeight="1">
      <c r="B366" s="51"/>
    </row>
    <row r="367" ht="15.75" customHeight="1">
      <c r="B367" s="51"/>
    </row>
    <row r="368" ht="15.75" customHeight="1">
      <c r="B368" s="51"/>
    </row>
    <row r="369" ht="15.75" customHeight="1">
      <c r="B369" s="51"/>
    </row>
    <row r="370" ht="15.75" customHeight="1">
      <c r="B370" s="51"/>
    </row>
    <row r="371" ht="15.75" customHeight="1">
      <c r="B371" s="51"/>
    </row>
    <row r="372" ht="15.75" customHeight="1">
      <c r="B372" s="51"/>
    </row>
    <row r="373" ht="15.75" customHeight="1">
      <c r="B373" s="51"/>
    </row>
    <row r="374" ht="15.75" customHeight="1">
      <c r="B374" s="51"/>
    </row>
    <row r="375" ht="15.75" customHeight="1">
      <c r="B375" s="51"/>
    </row>
    <row r="376" ht="15.75" customHeight="1">
      <c r="B376" s="51"/>
    </row>
    <row r="377" ht="15.75" customHeight="1">
      <c r="B377" s="51"/>
    </row>
    <row r="378" ht="15.75" customHeight="1">
      <c r="B378" s="51"/>
    </row>
    <row r="379" ht="15.75" customHeight="1">
      <c r="B379" s="51"/>
    </row>
    <row r="380" ht="15.75" customHeight="1">
      <c r="B380" s="51"/>
    </row>
    <row r="381" ht="15.75" customHeight="1">
      <c r="B381" s="51"/>
    </row>
    <row r="382" ht="15.75" customHeight="1">
      <c r="B382" s="51"/>
    </row>
    <row r="383" ht="15.75" customHeight="1">
      <c r="B383" s="51"/>
    </row>
    <row r="384" ht="15.75" customHeight="1">
      <c r="B384" s="51"/>
    </row>
    <row r="385" ht="15.75" customHeight="1">
      <c r="B385" s="51"/>
    </row>
    <row r="386" ht="15.75" customHeight="1">
      <c r="B386" s="51"/>
    </row>
    <row r="387" ht="15.75" customHeight="1">
      <c r="B387" s="51"/>
    </row>
    <row r="388" ht="15.75" customHeight="1">
      <c r="B388" s="51"/>
    </row>
    <row r="389" ht="15.75" customHeight="1">
      <c r="B389" s="51"/>
    </row>
    <row r="390" ht="15.75" customHeight="1">
      <c r="B390" s="51"/>
    </row>
    <row r="391" ht="15.75" customHeight="1">
      <c r="B391" s="51"/>
    </row>
    <row r="392" ht="15.75" customHeight="1">
      <c r="B392" s="51"/>
    </row>
    <row r="393" ht="15.75" customHeight="1">
      <c r="B393" s="51"/>
    </row>
    <row r="394" ht="15.75" customHeight="1">
      <c r="B394" s="51"/>
    </row>
    <row r="395" ht="15.75" customHeight="1">
      <c r="B395" s="51"/>
    </row>
    <row r="396" ht="15.75" customHeight="1">
      <c r="B396" s="51"/>
    </row>
    <row r="397" ht="15.75" customHeight="1">
      <c r="B397" s="51"/>
    </row>
    <row r="398" ht="15.75" customHeight="1">
      <c r="B398" s="51"/>
    </row>
    <row r="399" ht="15.75" customHeight="1">
      <c r="B399" s="51"/>
    </row>
    <row r="400" ht="15.75" customHeight="1">
      <c r="B400" s="51"/>
    </row>
    <row r="401" ht="15.75" customHeight="1">
      <c r="B401" s="51"/>
    </row>
    <row r="402" ht="15.75" customHeight="1">
      <c r="B402" s="51"/>
    </row>
    <row r="403" ht="15.75" customHeight="1">
      <c r="B403" s="51"/>
    </row>
    <row r="404" ht="15.75" customHeight="1">
      <c r="B404" s="51"/>
    </row>
    <row r="405" ht="15.75" customHeight="1">
      <c r="B405" s="51"/>
    </row>
    <row r="406" ht="15.75" customHeight="1">
      <c r="B406" s="51"/>
    </row>
    <row r="407" ht="15.75" customHeight="1">
      <c r="B407" s="51"/>
    </row>
    <row r="408" ht="15.75" customHeight="1">
      <c r="B408" s="51"/>
    </row>
    <row r="409" ht="15.75" customHeight="1">
      <c r="B409" s="51"/>
    </row>
    <row r="410" ht="15.75" customHeight="1">
      <c r="B410" s="51"/>
    </row>
    <row r="411" ht="15.75" customHeight="1">
      <c r="B411" s="51"/>
    </row>
    <row r="412" ht="15.75" customHeight="1">
      <c r="B412" s="51"/>
    </row>
    <row r="413" ht="15.75" customHeight="1">
      <c r="B413" s="51"/>
    </row>
    <row r="414" ht="15.75" customHeight="1">
      <c r="B414" s="51"/>
    </row>
    <row r="415" ht="15.75" customHeight="1">
      <c r="B415" s="51"/>
    </row>
    <row r="416" ht="15.75" customHeight="1">
      <c r="B416" s="51"/>
    </row>
    <row r="417" ht="15.75" customHeight="1">
      <c r="B417" s="51"/>
    </row>
    <row r="418" ht="15.75" customHeight="1">
      <c r="B418" s="51"/>
    </row>
    <row r="419" ht="15.75" customHeight="1">
      <c r="B419" s="51"/>
    </row>
    <row r="420" ht="15.75" customHeight="1">
      <c r="B420" s="51"/>
    </row>
    <row r="421" ht="15.75" customHeight="1">
      <c r="B421" s="51"/>
    </row>
    <row r="422" ht="15.75" customHeight="1">
      <c r="B422" s="51"/>
    </row>
    <row r="423" ht="15.75" customHeight="1">
      <c r="B423" s="51"/>
    </row>
    <row r="424" ht="15.75" customHeight="1">
      <c r="B424" s="51"/>
    </row>
    <row r="425" ht="15.75" customHeight="1">
      <c r="B425" s="51"/>
    </row>
    <row r="426" ht="15.75" customHeight="1">
      <c r="B426" s="51"/>
    </row>
    <row r="427" ht="15.75" customHeight="1">
      <c r="B427" s="51"/>
    </row>
    <row r="428" ht="15.75" customHeight="1">
      <c r="B428" s="51"/>
    </row>
    <row r="429" ht="15.75" customHeight="1">
      <c r="B429" s="51"/>
    </row>
    <row r="430" ht="15.75" customHeight="1">
      <c r="B430" s="51"/>
    </row>
    <row r="431" ht="15.75" customHeight="1">
      <c r="B431" s="51"/>
    </row>
    <row r="432" ht="15.75" customHeight="1">
      <c r="B432" s="51"/>
    </row>
    <row r="433" ht="15.75" customHeight="1">
      <c r="B433" s="51"/>
    </row>
    <row r="434" ht="15.75" customHeight="1">
      <c r="B434" s="51"/>
    </row>
    <row r="435" ht="15.75" customHeight="1">
      <c r="B435" s="51"/>
    </row>
    <row r="436" ht="15.75" customHeight="1">
      <c r="B436" s="51"/>
    </row>
    <row r="437" ht="15.75" customHeight="1">
      <c r="B437" s="51"/>
    </row>
    <row r="438" ht="15.75" customHeight="1">
      <c r="B438" s="51"/>
    </row>
    <row r="439" ht="15.75" customHeight="1">
      <c r="B439" s="51"/>
    </row>
    <row r="440" ht="15.75" customHeight="1">
      <c r="B440" s="51"/>
    </row>
    <row r="441" ht="15.75" customHeight="1">
      <c r="B441" s="51"/>
    </row>
    <row r="442" ht="15.75" customHeight="1">
      <c r="B442" s="51"/>
    </row>
    <row r="443" ht="15.75" customHeight="1">
      <c r="B443" s="51"/>
    </row>
    <row r="444" ht="15.75" customHeight="1">
      <c r="B444" s="51"/>
    </row>
    <row r="445" ht="15.75" customHeight="1">
      <c r="B445" s="51"/>
    </row>
    <row r="446" ht="15.75" customHeight="1">
      <c r="B446" s="51"/>
    </row>
    <row r="447" ht="15.75" customHeight="1">
      <c r="B447" s="51"/>
    </row>
    <row r="448" ht="15.75" customHeight="1">
      <c r="B448" s="51"/>
    </row>
    <row r="449" ht="15.75" customHeight="1">
      <c r="B449" s="51"/>
    </row>
    <row r="450" ht="15.75" customHeight="1">
      <c r="B450" s="51"/>
    </row>
    <row r="451" ht="15.75" customHeight="1">
      <c r="B451" s="51"/>
    </row>
    <row r="452" ht="15.75" customHeight="1">
      <c r="B452" s="51"/>
    </row>
    <row r="453" ht="15.75" customHeight="1">
      <c r="B453" s="51"/>
    </row>
    <row r="454" ht="15.75" customHeight="1">
      <c r="B454" s="51"/>
    </row>
    <row r="455" ht="15.75" customHeight="1">
      <c r="B455" s="51"/>
    </row>
    <row r="456" ht="15.75" customHeight="1">
      <c r="B456" s="51"/>
    </row>
    <row r="457" ht="15.75" customHeight="1">
      <c r="B457" s="51"/>
    </row>
    <row r="458" ht="15.75" customHeight="1">
      <c r="B458" s="51"/>
    </row>
    <row r="459" ht="15.75" customHeight="1">
      <c r="B459" s="51"/>
    </row>
    <row r="460" ht="15.75" customHeight="1">
      <c r="B460" s="51"/>
    </row>
    <row r="461" ht="15.75" customHeight="1">
      <c r="B461" s="51"/>
    </row>
    <row r="462" ht="15.75" customHeight="1">
      <c r="B462" s="51"/>
    </row>
    <row r="463" ht="15.75" customHeight="1">
      <c r="B463" s="51"/>
    </row>
    <row r="464" ht="15.75" customHeight="1">
      <c r="B464" s="51"/>
    </row>
    <row r="465" ht="15.75" customHeight="1">
      <c r="B465" s="51"/>
    </row>
    <row r="466" ht="15.75" customHeight="1">
      <c r="B466" s="51"/>
    </row>
    <row r="467" ht="15.75" customHeight="1">
      <c r="B467" s="51"/>
    </row>
    <row r="468" ht="15.75" customHeight="1">
      <c r="B468" s="51"/>
    </row>
    <row r="469" ht="15.75" customHeight="1">
      <c r="B469" s="51"/>
    </row>
    <row r="470" ht="15.75" customHeight="1">
      <c r="B470" s="51"/>
    </row>
    <row r="471" ht="15.75" customHeight="1">
      <c r="B471" s="51"/>
    </row>
    <row r="472" ht="15.75" customHeight="1">
      <c r="B472" s="51"/>
    </row>
    <row r="473" ht="15.75" customHeight="1">
      <c r="B473" s="51"/>
    </row>
    <row r="474" ht="15.75" customHeight="1">
      <c r="B474" s="51"/>
    </row>
    <row r="475" ht="15.75" customHeight="1">
      <c r="B475" s="51"/>
    </row>
    <row r="476" ht="15.75" customHeight="1">
      <c r="B476" s="51"/>
    </row>
    <row r="477" ht="15.75" customHeight="1">
      <c r="B477" s="51"/>
    </row>
    <row r="478" ht="15.75" customHeight="1">
      <c r="B478" s="51"/>
    </row>
    <row r="479" ht="15.75" customHeight="1">
      <c r="B479" s="51"/>
    </row>
    <row r="480" ht="15.75" customHeight="1">
      <c r="B480" s="51"/>
    </row>
    <row r="481" ht="15.75" customHeight="1">
      <c r="B481" s="51"/>
    </row>
    <row r="482" ht="15.75" customHeight="1">
      <c r="B482" s="51"/>
    </row>
    <row r="483" ht="15.75" customHeight="1">
      <c r="B483" s="51"/>
    </row>
    <row r="484" ht="15.75" customHeight="1">
      <c r="B484" s="51"/>
    </row>
    <row r="485" ht="15.75" customHeight="1">
      <c r="B485" s="51"/>
    </row>
    <row r="486" ht="15.75" customHeight="1">
      <c r="B486" s="51"/>
    </row>
    <row r="487" ht="15.75" customHeight="1">
      <c r="B487" s="51"/>
    </row>
    <row r="488" ht="15.75" customHeight="1">
      <c r="B488" s="51"/>
    </row>
    <row r="489" ht="15.75" customHeight="1">
      <c r="B489" s="51"/>
    </row>
    <row r="490" ht="15.75" customHeight="1">
      <c r="B490" s="51"/>
    </row>
    <row r="491" ht="15.75" customHeight="1">
      <c r="B491" s="51"/>
    </row>
    <row r="492" ht="15.75" customHeight="1">
      <c r="B492" s="51"/>
    </row>
    <row r="493" ht="15.75" customHeight="1">
      <c r="B493" s="51"/>
    </row>
    <row r="494" ht="15.75" customHeight="1">
      <c r="B494" s="51"/>
    </row>
    <row r="495" ht="15.75" customHeight="1">
      <c r="B495" s="51"/>
    </row>
    <row r="496" ht="15.75" customHeight="1">
      <c r="B496" s="51"/>
    </row>
    <row r="497" ht="15.75" customHeight="1">
      <c r="B497" s="51"/>
    </row>
    <row r="498" ht="15.75" customHeight="1">
      <c r="B498" s="51"/>
    </row>
    <row r="499" ht="15.75" customHeight="1">
      <c r="B499" s="51"/>
    </row>
    <row r="500" ht="15.75" customHeight="1">
      <c r="B500" s="51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V1"/>
    <mergeCell ref="A2:V2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75"/>
    <col customWidth="1" min="2" max="3" width="11.88"/>
    <col customWidth="1" min="4" max="4" width="14.38"/>
    <col customWidth="1" min="5" max="5" width="15.0"/>
    <col customWidth="1" min="6" max="6" width="13.13"/>
    <col customWidth="1" min="7" max="7" width="15.63"/>
    <col customWidth="1" min="8" max="8" width="17.5"/>
    <col customWidth="1" min="9" max="9" width="15.63"/>
    <col customWidth="1" min="10" max="10" width="11.88"/>
    <col customWidth="1" min="11" max="26" width="8.63"/>
  </cols>
  <sheetData>
    <row r="1" ht="27.0" customHeight="1">
      <c r="A1" s="1" t="s">
        <v>339</v>
      </c>
    </row>
    <row r="2" ht="25.5" customHeight="1">
      <c r="A2" s="2" t="s">
        <v>340</v>
      </c>
    </row>
    <row r="3">
      <c r="A3" s="81" t="s">
        <v>341</v>
      </c>
      <c r="B3" s="82">
        <v>2026.0</v>
      </c>
    </row>
    <row r="5">
      <c r="A5" s="3" t="s">
        <v>342</v>
      </c>
      <c r="B5" s="8" t="s">
        <v>343</v>
      </c>
      <c r="C5" s="8" t="s">
        <v>32</v>
      </c>
      <c r="D5" s="8" t="s">
        <v>104</v>
      </c>
      <c r="E5" s="8" t="s">
        <v>107</v>
      </c>
      <c r="F5" s="8" t="s">
        <v>98</v>
      </c>
      <c r="G5" s="8" t="s">
        <v>344</v>
      </c>
      <c r="H5" s="8" t="s">
        <v>345</v>
      </c>
      <c r="I5" s="8" t="s">
        <v>346</v>
      </c>
      <c r="J5" s="9" t="s">
        <v>347</v>
      </c>
    </row>
    <row r="6">
      <c r="A6" s="83">
        <f t="shared" ref="A6:A17" si="1">DATE($B$3,ROW()-5,1)</f>
        <v>46023</v>
      </c>
      <c r="B6" s="50">
        <f>COUNTIFS('Master Leads'!$A$6:$A$495,"&lt;&gt;",'Master Leads'!$B$6:$B$495,"&gt;="&amp;$A6,'Master Leads'!$B$6:$B$495,"&lt;"&amp;DATE(YEAR($A6),MONTH($A6)+1,1))</f>
        <v>0</v>
      </c>
      <c r="C6" s="50">
        <f>COUNTIFS('Master Leads'!$A$6:$A$495,"&lt;&gt;",'Master Leads'!$Q$6:$Q$495,"Converted",'Master Leads'!$AB$6:$AB$495,"&gt;="&amp;$A6,'Master Leads'!$AB$6:$AB$495,"&lt;"&amp;DATE(YEAR($A6),MONTH($A6)+1,1))</f>
        <v>0</v>
      </c>
      <c r="D6" s="50">
        <f>COUNTIFS('Master Leads'!$A$6:$A$495,"&lt;&gt;",'Master Leads'!$Q$6:$Q$495,"Converted",'Master Leads'!$I$6:$I$495,"India",'Master Leads'!$AB$6:$AB$495,"&gt;="&amp;$A6,'Master Leads'!$AB$6:$AB$495,"&lt;"&amp;DATE(YEAR($A6),MONTH($A6)+1,1))</f>
        <v>0</v>
      </c>
      <c r="E6" s="50">
        <f>COUNTIFS('Master Leads'!$A$6:$A$495,"&lt;&gt;",'Master Leads'!$Q$6:$Q$495,"Converted",'Master Leads'!$I$6:$I$495,"Foreign",'Master Leads'!$AB$6:$AB$495,"&gt;="&amp;$A6,'Master Leads'!$AB$6:$AB$495,"&lt;"&amp;DATE(YEAR($A6),MONTH($A6)+1,1))</f>
        <v>0</v>
      </c>
      <c r="F6" s="84">
        <f t="shared" ref="F6:F17" si="2">IFERROR($C6/$B6,0)</f>
        <v>0</v>
      </c>
      <c r="G6" s="85">
        <f>SUMIFS('Master Leads'!$Y$6:$Y$495,'Master Leads'!$A$6:$A$495,"&lt;&gt;",'Master Leads'!$B$6:$B$495,"&gt;="&amp;$A6,'Master Leads'!$B$6:$B$495,"&lt;"&amp;DATE(YEAR($A6),MONTH($A6)+1,1))</f>
        <v>0</v>
      </c>
      <c r="H6" s="50">
        <f>COUNTIFS('Master Leads'!$A$6:$A$495,"&lt;&gt;",'Master Leads'!$T$6:$T$495,"&gt;="&amp;$A6,'Master Leads'!$T$6:$T$495,"&lt;"&amp;DATE(YEAR($A6),MONTH($A6)+1,1))</f>
        <v>0</v>
      </c>
      <c r="I6" s="50">
        <f>COUNTIFS('Master Leads'!$A$6:$A$495,"&lt;&gt;",'Master Leads'!$U$6:$U$495,"Overdue",'Master Leads'!$T$6:$T$495,"&gt;="&amp;$A6,'Master Leads'!$T$6:$T$495,"&lt;"&amp;DATE(YEAR($A6),MONTH($A6)+1,1))</f>
        <v>0</v>
      </c>
      <c r="J6" s="50" t="str">
        <f t="shared" ref="J6:J17" si="3">TEXT($A6,"mmm")</f>
        <v>Jan</v>
      </c>
    </row>
    <row r="7">
      <c r="A7" s="83">
        <f t="shared" si="1"/>
        <v>46054</v>
      </c>
      <c r="B7" s="50">
        <f>COUNTIFS('Master Leads'!$A$6:$A$495,"&lt;&gt;",'Master Leads'!$B$6:$B$495,"&gt;="&amp;$A7,'Master Leads'!$B$6:$B$495,"&lt;"&amp;DATE(YEAR($A7),MONTH($A7)+1,1))</f>
        <v>0</v>
      </c>
      <c r="C7" s="50">
        <f>COUNTIFS('Master Leads'!$A$6:$A$495,"&lt;&gt;",'Master Leads'!$Q$6:$Q$495,"Converted",'Master Leads'!$AB$6:$AB$495,"&gt;="&amp;$A7,'Master Leads'!$AB$6:$AB$495,"&lt;"&amp;DATE(YEAR($A7),MONTH($A7)+1,1))</f>
        <v>0</v>
      </c>
      <c r="D7" s="50">
        <f>COUNTIFS('Master Leads'!$A$6:$A$495,"&lt;&gt;",'Master Leads'!$Q$6:$Q$495,"Converted",'Master Leads'!$I$6:$I$495,"India",'Master Leads'!$AB$6:$AB$495,"&gt;="&amp;$A7,'Master Leads'!$AB$6:$AB$495,"&lt;"&amp;DATE(YEAR($A7),MONTH($A7)+1,1))</f>
        <v>0</v>
      </c>
      <c r="E7" s="50">
        <f>COUNTIFS('Master Leads'!$A$6:$A$495,"&lt;&gt;",'Master Leads'!$Q$6:$Q$495,"Converted",'Master Leads'!$I$6:$I$495,"Foreign",'Master Leads'!$AB$6:$AB$495,"&gt;="&amp;$A7,'Master Leads'!$AB$6:$AB$495,"&lt;"&amp;DATE(YEAR($A7),MONTH($A7)+1,1))</f>
        <v>0</v>
      </c>
      <c r="F7" s="84">
        <f t="shared" si="2"/>
        <v>0</v>
      </c>
      <c r="G7" s="85">
        <f>SUMIFS('Master Leads'!$Y$6:$Y$495,'Master Leads'!$A$6:$A$495,"&lt;&gt;",'Master Leads'!$B$6:$B$495,"&gt;="&amp;$A7,'Master Leads'!$B$6:$B$495,"&lt;"&amp;DATE(YEAR($A7),MONTH($A7)+1,1))</f>
        <v>0</v>
      </c>
      <c r="H7" s="50">
        <f>COUNTIFS('Master Leads'!$A$6:$A$495,"&lt;&gt;",'Master Leads'!$T$6:$T$495,"&gt;="&amp;$A7,'Master Leads'!$T$6:$T$495,"&lt;"&amp;DATE(YEAR($A7),MONTH($A7)+1,1))</f>
        <v>0</v>
      </c>
      <c r="I7" s="50">
        <f>COUNTIFS('Master Leads'!$A$6:$A$495,"&lt;&gt;",'Master Leads'!$U$6:$U$495,"Overdue",'Master Leads'!$T$6:$T$495,"&gt;="&amp;$A7,'Master Leads'!$T$6:$T$495,"&lt;"&amp;DATE(YEAR($A7),MONTH($A7)+1,1))</f>
        <v>0</v>
      </c>
      <c r="J7" s="50" t="str">
        <f t="shared" si="3"/>
        <v>Feb</v>
      </c>
    </row>
    <row r="8">
      <c r="A8" s="83">
        <f t="shared" si="1"/>
        <v>46082</v>
      </c>
      <c r="B8" s="50">
        <f>COUNTIFS('Master Leads'!$A$6:$A$495,"&lt;&gt;",'Master Leads'!$B$6:$B$495,"&gt;="&amp;$A8,'Master Leads'!$B$6:$B$495,"&lt;"&amp;DATE(YEAR($A8),MONTH($A8)+1,1))</f>
        <v>0</v>
      </c>
      <c r="C8" s="50">
        <f>COUNTIFS('Master Leads'!$A$6:$A$495,"&lt;&gt;",'Master Leads'!$Q$6:$Q$495,"Converted",'Master Leads'!$AB$6:$AB$495,"&gt;="&amp;$A8,'Master Leads'!$AB$6:$AB$495,"&lt;"&amp;DATE(YEAR($A8),MONTH($A8)+1,1))</f>
        <v>0</v>
      </c>
      <c r="D8" s="50">
        <f>COUNTIFS('Master Leads'!$A$6:$A$495,"&lt;&gt;",'Master Leads'!$Q$6:$Q$495,"Converted",'Master Leads'!$I$6:$I$495,"India",'Master Leads'!$AB$6:$AB$495,"&gt;="&amp;$A8,'Master Leads'!$AB$6:$AB$495,"&lt;"&amp;DATE(YEAR($A8),MONTH($A8)+1,1))</f>
        <v>0</v>
      </c>
      <c r="E8" s="50">
        <f>COUNTIFS('Master Leads'!$A$6:$A$495,"&lt;&gt;",'Master Leads'!$Q$6:$Q$495,"Converted",'Master Leads'!$I$6:$I$495,"Foreign",'Master Leads'!$AB$6:$AB$495,"&gt;="&amp;$A8,'Master Leads'!$AB$6:$AB$495,"&lt;"&amp;DATE(YEAR($A8),MONTH($A8)+1,1))</f>
        <v>0</v>
      </c>
      <c r="F8" s="84">
        <f t="shared" si="2"/>
        <v>0</v>
      </c>
      <c r="G8" s="85">
        <f>SUMIFS('Master Leads'!$Y$6:$Y$495,'Master Leads'!$A$6:$A$495,"&lt;&gt;",'Master Leads'!$B$6:$B$495,"&gt;="&amp;$A8,'Master Leads'!$B$6:$B$495,"&lt;"&amp;DATE(YEAR($A8),MONTH($A8)+1,1))</f>
        <v>0</v>
      </c>
      <c r="H8" s="50">
        <f>COUNTIFS('Master Leads'!$A$6:$A$495,"&lt;&gt;",'Master Leads'!$T$6:$T$495,"&gt;="&amp;$A8,'Master Leads'!$T$6:$T$495,"&lt;"&amp;DATE(YEAR($A8),MONTH($A8)+1,1))</f>
        <v>0</v>
      </c>
      <c r="I8" s="50">
        <f>COUNTIFS('Master Leads'!$A$6:$A$495,"&lt;&gt;",'Master Leads'!$U$6:$U$495,"Overdue",'Master Leads'!$T$6:$T$495,"&gt;="&amp;$A8,'Master Leads'!$T$6:$T$495,"&lt;"&amp;DATE(YEAR($A8),MONTH($A8)+1,1))</f>
        <v>0</v>
      </c>
      <c r="J8" s="50" t="str">
        <f t="shared" si="3"/>
        <v>Mar</v>
      </c>
    </row>
    <row r="9">
      <c r="A9" s="83">
        <f t="shared" si="1"/>
        <v>46113</v>
      </c>
      <c r="B9" s="50">
        <f>COUNTIFS('Master Leads'!$A$6:$A$495,"&lt;&gt;",'Master Leads'!$B$6:$B$495,"&gt;="&amp;$A9,'Master Leads'!$B$6:$B$495,"&lt;"&amp;DATE(YEAR($A9),MONTH($A9)+1,1))</f>
        <v>0</v>
      </c>
      <c r="C9" s="50">
        <f>COUNTIFS('Master Leads'!$A$6:$A$495,"&lt;&gt;",'Master Leads'!$Q$6:$Q$495,"Converted",'Master Leads'!$AB$6:$AB$495,"&gt;="&amp;$A9,'Master Leads'!$AB$6:$AB$495,"&lt;"&amp;DATE(YEAR($A9),MONTH($A9)+1,1))</f>
        <v>0</v>
      </c>
      <c r="D9" s="50">
        <f>COUNTIFS('Master Leads'!$A$6:$A$495,"&lt;&gt;",'Master Leads'!$Q$6:$Q$495,"Converted",'Master Leads'!$I$6:$I$495,"India",'Master Leads'!$AB$6:$AB$495,"&gt;="&amp;$A9,'Master Leads'!$AB$6:$AB$495,"&lt;"&amp;DATE(YEAR($A9),MONTH($A9)+1,1))</f>
        <v>0</v>
      </c>
      <c r="E9" s="50">
        <f>COUNTIFS('Master Leads'!$A$6:$A$495,"&lt;&gt;",'Master Leads'!$Q$6:$Q$495,"Converted",'Master Leads'!$I$6:$I$495,"Foreign",'Master Leads'!$AB$6:$AB$495,"&gt;="&amp;$A9,'Master Leads'!$AB$6:$AB$495,"&lt;"&amp;DATE(YEAR($A9),MONTH($A9)+1,1))</f>
        <v>0</v>
      </c>
      <c r="F9" s="84">
        <f t="shared" si="2"/>
        <v>0</v>
      </c>
      <c r="G9" s="85">
        <f>SUMIFS('Master Leads'!$Y$6:$Y$495,'Master Leads'!$A$6:$A$495,"&lt;&gt;",'Master Leads'!$B$6:$B$495,"&gt;="&amp;$A9,'Master Leads'!$B$6:$B$495,"&lt;"&amp;DATE(YEAR($A9),MONTH($A9)+1,1))</f>
        <v>0</v>
      </c>
      <c r="H9" s="50">
        <f>COUNTIFS('Master Leads'!$A$6:$A$495,"&lt;&gt;",'Master Leads'!$T$6:$T$495,"&gt;="&amp;$A9,'Master Leads'!$T$6:$T$495,"&lt;"&amp;DATE(YEAR($A9),MONTH($A9)+1,1))</f>
        <v>0</v>
      </c>
      <c r="I9" s="50">
        <f>COUNTIFS('Master Leads'!$A$6:$A$495,"&lt;&gt;",'Master Leads'!$U$6:$U$495,"Overdue",'Master Leads'!$T$6:$T$495,"&gt;="&amp;$A9,'Master Leads'!$T$6:$T$495,"&lt;"&amp;DATE(YEAR($A9),MONTH($A9)+1,1))</f>
        <v>0</v>
      </c>
      <c r="J9" s="50" t="str">
        <f t="shared" si="3"/>
        <v>Apr</v>
      </c>
    </row>
    <row r="10">
      <c r="A10" s="83">
        <f t="shared" si="1"/>
        <v>46143</v>
      </c>
      <c r="B10" s="50">
        <f>COUNTIFS('Master Leads'!$A$6:$A$495,"&lt;&gt;",'Master Leads'!$B$6:$B$495,"&gt;="&amp;$A10,'Master Leads'!$B$6:$B$495,"&lt;"&amp;DATE(YEAR($A10),MONTH($A10)+1,1))</f>
        <v>0</v>
      </c>
      <c r="C10" s="50">
        <f>COUNTIFS('Master Leads'!$A$6:$A$495,"&lt;&gt;",'Master Leads'!$Q$6:$Q$495,"Converted",'Master Leads'!$AB$6:$AB$495,"&gt;="&amp;$A10,'Master Leads'!$AB$6:$AB$495,"&lt;"&amp;DATE(YEAR($A10),MONTH($A10)+1,1))</f>
        <v>0</v>
      </c>
      <c r="D10" s="50">
        <f>COUNTIFS('Master Leads'!$A$6:$A$495,"&lt;&gt;",'Master Leads'!$Q$6:$Q$495,"Converted",'Master Leads'!$I$6:$I$495,"India",'Master Leads'!$AB$6:$AB$495,"&gt;="&amp;$A10,'Master Leads'!$AB$6:$AB$495,"&lt;"&amp;DATE(YEAR($A10),MONTH($A10)+1,1))</f>
        <v>0</v>
      </c>
      <c r="E10" s="50">
        <f>COUNTIFS('Master Leads'!$A$6:$A$495,"&lt;&gt;",'Master Leads'!$Q$6:$Q$495,"Converted",'Master Leads'!$I$6:$I$495,"Foreign",'Master Leads'!$AB$6:$AB$495,"&gt;="&amp;$A10,'Master Leads'!$AB$6:$AB$495,"&lt;"&amp;DATE(YEAR($A10),MONTH($A10)+1,1))</f>
        <v>0</v>
      </c>
      <c r="F10" s="84">
        <f t="shared" si="2"/>
        <v>0</v>
      </c>
      <c r="G10" s="85">
        <f>SUMIFS('Master Leads'!$Y$6:$Y$495,'Master Leads'!$A$6:$A$495,"&lt;&gt;",'Master Leads'!$B$6:$B$495,"&gt;="&amp;$A10,'Master Leads'!$B$6:$B$495,"&lt;"&amp;DATE(YEAR($A10),MONTH($A10)+1,1))</f>
        <v>0</v>
      </c>
      <c r="H10" s="50">
        <f>COUNTIFS('Master Leads'!$A$6:$A$495,"&lt;&gt;",'Master Leads'!$T$6:$T$495,"&gt;="&amp;$A10,'Master Leads'!$T$6:$T$495,"&lt;"&amp;DATE(YEAR($A10),MONTH($A10)+1,1))</f>
        <v>0</v>
      </c>
      <c r="I10" s="50">
        <f>COUNTIFS('Master Leads'!$A$6:$A$495,"&lt;&gt;",'Master Leads'!$U$6:$U$495,"Overdue",'Master Leads'!$T$6:$T$495,"&gt;="&amp;$A10,'Master Leads'!$T$6:$T$495,"&lt;"&amp;DATE(YEAR($A10),MONTH($A10)+1,1))</f>
        <v>0</v>
      </c>
      <c r="J10" s="50" t="str">
        <f t="shared" si="3"/>
        <v>May</v>
      </c>
    </row>
    <row r="11">
      <c r="A11" s="83">
        <f t="shared" si="1"/>
        <v>46174</v>
      </c>
      <c r="B11" s="50">
        <f>COUNTIFS('Master Leads'!$A$6:$A$495,"&lt;&gt;",'Master Leads'!$B$6:$B$495,"&gt;="&amp;$A11,'Master Leads'!$B$6:$B$495,"&lt;"&amp;DATE(YEAR($A11),MONTH($A11)+1,1))</f>
        <v>0</v>
      </c>
      <c r="C11" s="50">
        <f>COUNTIFS('Master Leads'!$A$6:$A$495,"&lt;&gt;",'Master Leads'!$Q$6:$Q$495,"Converted",'Master Leads'!$AB$6:$AB$495,"&gt;="&amp;$A11,'Master Leads'!$AB$6:$AB$495,"&lt;"&amp;DATE(YEAR($A11),MONTH($A11)+1,1))</f>
        <v>0</v>
      </c>
      <c r="D11" s="50">
        <f>COUNTIFS('Master Leads'!$A$6:$A$495,"&lt;&gt;",'Master Leads'!$Q$6:$Q$495,"Converted",'Master Leads'!$I$6:$I$495,"India",'Master Leads'!$AB$6:$AB$495,"&gt;="&amp;$A11,'Master Leads'!$AB$6:$AB$495,"&lt;"&amp;DATE(YEAR($A11),MONTH($A11)+1,1))</f>
        <v>0</v>
      </c>
      <c r="E11" s="50">
        <f>COUNTIFS('Master Leads'!$A$6:$A$495,"&lt;&gt;",'Master Leads'!$Q$6:$Q$495,"Converted",'Master Leads'!$I$6:$I$495,"Foreign",'Master Leads'!$AB$6:$AB$495,"&gt;="&amp;$A11,'Master Leads'!$AB$6:$AB$495,"&lt;"&amp;DATE(YEAR($A11),MONTH($A11)+1,1))</f>
        <v>0</v>
      </c>
      <c r="F11" s="84">
        <f t="shared" si="2"/>
        <v>0</v>
      </c>
      <c r="G11" s="85">
        <f>SUMIFS('Master Leads'!$Y$6:$Y$495,'Master Leads'!$A$6:$A$495,"&lt;&gt;",'Master Leads'!$B$6:$B$495,"&gt;="&amp;$A11,'Master Leads'!$B$6:$B$495,"&lt;"&amp;DATE(YEAR($A11),MONTH($A11)+1,1))</f>
        <v>0</v>
      </c>
      <c r="H11" s="50">
        <f>COUNTIFS('Master Leads'!$A$6:$A$495,"&lt;&gt;",'Master Leads'!$T$6:$T$495,"&gt;="&amp;$A11,'Master Leads'!$T$6:$T$495,"&lt;"&amp;DATE(YEAR($A11),MONTH($A11)+1,1))</f>
        <v>0</v>
      </c>
      <c r="I11" s="50">
        <f>COUNTIFS('Master Leads'!$A$6:$A$495,"&lt;&gt;",'Master Leads'!$U$6:$U$495,"Overdue",'Master Leads'!$T$6:$T$495,"&gt;="&amp;$A11,'Master Leads'!$T$6:$T$495,"&lt;"&amp;DATE(YEAR($A11),MONTH($A11)+1,1))</f>
        <v>0</v>
      </c>
      <c r="J11" s="50" t="str">
        <f t="shared" si="3"/>
        <v>Jun</v>
      </c>
    </row>
    <row r="12">
      <c r="A12" s="83">
        <f t="shared" si="1"/>
        <v>46204</v>
      </c>
      <c r="B12" s="50">
        <f>COUNTIFS('Master Leads'!$A$6:$A$495,"&lt;&gt;",'Master Leads'!$B$6:$B$495,"&gt;="&amp;$A12,'Master Leads'!$B$6:$B$495,"&lt;"&amp;DATE(YEAR($A12),MONTH($A12)+1,1))</f>
        <v>0</v>
      </c>
      <c r="C12" s="50">
        <f>COUNTIFS('Master Leads'!$A$6:$A$495,"&lt;&gt;",'Master Leads'!$Q$6:$Q$495,"Converted",'Master Leads'!$AB$6:$AB$495,"&gt;="&amp;$A12,'Master Leads'!$AB$6:$AB$495,"&lt;"&amp;DATE(YEAR($A12),MONTH($A12)+1,1))</f>
        <v>0</v>
      </c>
      <c r="D12" s="50">
        <f>COUNTIFS('Master Leads'!$A$6:$A$495,"&lt;&gt;",'Master Leads'!$Q$6:$Q$495,"Converted",'Master Leads'!$I$6:$I$495,"India",'Master Leads'!$AB$6:$AB$495,"&gt;="&amp;$A12,'Master Leads'!$AB$6:$AB$495,"&lt;"&amp;DATE(YEAR($A12),MONTH($A12)+1,1))</f>
        <v>0</v>
      </c>
      <c r="E12" s="50">
        <f>COUNTIFS('Master Leads'!$A$6:$A$495,"&lt;&gt;",'Master Leads'!$Q$6:$Q$495,"Converted",'Master Leads'!$I$6:$I$495,"Foreign",'Master Leads'!$AB$6:$AB$495,"&gt;="&amp;$A12,'Master Leads'!$AB$6:$AB$495,"&lt;"&amp;DATE(YEAR($A12),MONTH($A12)+1,1))</f>
        <v>0</v>
      </c>
      <c r="F12" s="84">
        <f t="shared" si="2"/>
        <v>0</v>
      </c>
      <c r="G12" s="85">
        <f>SUMIFS('Master Leads'!$Y$6:$Y$495,'Master Leads'!$A$6:$A$495,"&lt;&gt;",'Master Leads'!$B$6:$B$495,"&gt;="&amp;$A12,'Master Leads'!$B$6:$B$495,"&lt;"&amp;DATE(YEAR($A12),MONTH($A12)+1,1))</f>
        <v>0</v>
      </c>
      <c r="H12" s="50">
        <f>COUNTIFS('Master Leads'!$A$6:$A$495,"&lt;&gt;",'Master Leads'!$T$6:$T$495,"&gt;="&amp;$A12,'Master Leads'!$T$6:$T$495,"&lt;"&amp;DATE(YEAR($A12),MONTH($A12)+1,1))</f>
        <v>0</v>
      </c>
      <c r="I12" s="50">
        <f>COUNTIFS('Master Leads'!$A$6:$A$495,"&lt;&gt;",'Master Leads'!$U$6:$U$495,"Overdue",'Master Leads'!$T$6:$T$495,"&gt;="&amp;$A12,'Master Leads'!$T$6:$T$495,"&lt;"&amp;DATE(YEAR($A12),MONTH($A12)+1,1))</f>
        <v>0</v>
      </c>
      <c r="J12" s="50" t="str">
        <f t="shared" si="3"/>
        <v>Jul</v>
      </c>
    </row>
    <row r="13">
      <c r="A13" s="83">
        <f t="shared" si="1"/>
        <v>46235</v>
      </c>
      <c r="B13" s="50">
        <f>COUNTIFS('Master Leads'!$A$6:$A$495,"&lt;&gt;",'Master Leads'!$B$6:$B$495,"&gt;="&amp;$A13,'Master Leads'!$B$6:$B$495,"&lt;"&amp;DATE(YEAR($A13),MONTH($A13)+1,1))</f>
        <v>48</v>
      </c>
      <c r="C13" s="50">
        <f>COUNTIFS('Master Leads'!$A$6:$A$495,"&lt;&gt;",'Master Leads'!$Q$6:$Q$495,"Converted",'Master Leads'!$AB$6:$AB$495,"&gt;="&amp;$A13,'Master Leads'!$AB$6:$AB$495,"&lt;"&amp;DATE(YEAR($A13),MONTH($A13)+1,1))</f>
        <v>1</v>
      </c>
      <c r="D13" s="50">
        <f>COUNTIFS('Master Leads'!$A$6:$A$495,"&lt;&gt;",'Master Leads'!$Q$6:$Q$495,"Converted",'Master Leads'!$I$6:$I$495,"India",'Master Leads'!$AB$6:$AB$495,"&gt;="&amp;$A13,'Master Leads'!$AB$6:$AB$495,"&lt;"&amp;DATE(YEAR($A13),MONTH($A13)+1,1))</f>
        <v>1</v>
      </c>
      <c r="E13" s="50">
        <f>COUNTIFS('Master Leads'!$A$6:$A$495,"&lt;&gt;",'Master Leads'!$Q$6:$Q$495,"Converted",'Master Leads'!$I$6:$I$495,"Foreign",'Master Leads'!$AB$6:$AB$495,"&gt;="&amp;$A13,'Master Leads'!$AB$6:$AB$495,"&lt;"&amp;DATE(YEAR($A13),MONTH($A13)+1,1))</f>
        <v>0</v>
      </c>
      <c r="F13" s="84">
        <f t="shared" si="2"/>
        <v>0.02083333333</v>
      </c>
      <c r="G13" s="85">
        <f>SUMIFS('Master Leads'!$Y$6:$Y$495,'Master Leads'!$A$6:$A$495,"&lt;&gt;",'Master Leads'!$B$6:$B$495,"&gt;="&amp;$A13,'Master Leads'!$B$6:$B$495,"&lt;"&amp;DATE(YEAR($A13),MONTH($A13)+1,1))</f>
        <v>0</v>
      </c>
      <c r="H13" s="50">
        <f>COUNTIFS('Master Leads'!$A$6:$A$495,"&lt;&gt;",'Master Leads'!$T$6:$T$495,"&gt;="&amp;$A13,'Master Leads'!$T$6:$T$495,"&lt;"&amp;DATE(YEAR($A13),MONTH($A13)+1,1))</f>
        <v>0</v>
      </c>
      <c r="I13" s="50">
        <f>COUNTIFS('Master Leads'!$A$6:$A$495,"&lt;&gt;",'Master Leads'!$U$6:$U$495,"Overdue",'Master Leads'!$T$6:$T$495,"&gt;="&amp;$A13,'Master Leads'!$T$6:$T$495,"&lt;"&amp;DATE(YEAR($A13),MONTH($A13)+1,1))</f>
        <v>0</v>
      </c>
      <c r="J13" s="50" t="str">
        <f t="shared" si="3"/>
        <v>Aug</v>
      </c>
    </row>
    <row r="14">
      <c r="A14" s="83">
        <f t="shared" si="1"/>
        <v>46266</v>
      </c>
      <c r="B14" s="50">
        <f>COUNTIFS('Master Leads'!$A$6:$A$495,"&lt;&gt;",'Master Leads'!$B$6:$B$495,"&gt;="&amp;$A14,'Master Leads'!$B$6:$B$495,"&lt;"&amp;DATE(YEAR($A14),MONTH($A14)+1,1))</f>
        <v>68</v>
      </c>
      <c r="C14" s="50">
        <f>COUNTIFS('Master Leads'!$A$6:$A$495,"&lt;&gt;",'Master Leads'!$Q$6:$Q$495,"Converted",'Master Leads'!$AB$6:$AB$495,"&gt;="&amp;$A14,'Master Leads'!$AB$6:$AB$495,"&lt;"&amp;DATE(YEAR($A14),MONTH($A14)+1,1))</f>
        <v>0</v>
      </c>
      <c r="D14" s="50">
        <f>COUNTIFS('Master Leads'!$A$6:$A$495,"&lt;&gt;",'Master Leads'!$Q$6:$Q$495,"Converted",'Master Leads'!$I$6:$I$495,"India",'Master Leads'!$AB$6:$AB$495,"&gt;="&amp;$A14,'Master Leads'!$AB$6:$AB$495,"&lt;"&amp;DATE(YEAR($A14),MONTH($A14)+1,1))</f>
        <v>0</v>
      </c>
      <c r="E14" s="50">
        <f>COUNTIFS('Master Leads'!$A$6:$A$495,"&lt;&gt;",'Master Leads'!$Q$6:$Q$495,"Converted",'Master Leads'!$I$6:$I$495,"Foreign",'Master Leads'!$AB$6:$AB$495,"&gt;="&amp;$A14,'Master Leads'!$AB$6:$AB$495,"&lt;"&amp;DATE(YEAR($A14),MONTH($A14)+1,1))</f>
        <v>0</v>
      </c>
      <c r="F14" s="84">
        <f t="shared" si="2"/>
        <v>0</v>
      </c>
      <c r="G14" s="85">
        <f>SUMIFS('Master Leads'!$Y$6:$Y$495,'Master Leads'!$A$6:$A$495,"&lt;&gt;",'Master Leads'!$B$6:$B$495,"&gt;="&amp;$A14,'Master Leads'!$B$6:$B$495,"&lt;"&amp;DATE(YEAR($A14),MONTH($A14)+1,1))</f>
        <v>0</v>
      </c>
      <c r="H14" s="50">
        <f>COUNTIFS('Master Leads'!$A$6:$A$495,"&lt;&gt;",'Master Leads'!$T$6:$T$495,"&gt;="&amp;$A14,'Master Leads'!$T$6:$T$495,"&lt;"&amp;DATE(YEAR($A14),MONTH($A14)+1,1))</f>
        <v>0</v>
      </c>
      <c r="I14" s="50">
        <f>COUNTIFS('Master Leads'!$A$6:$A$495,"&lt;&gt;",'Master Leads'!$U$6:$U$495,"Overdue",'Master Leads'!$T$6:$T$495,"&gt;="&amp;$A14,'Master Leads'!$T$6:$T$495,"&lt;"&amp;DATE(YEAR($A14),MONTH($A14)+1,1))</f>
        <v>0</v>
      </c>
      <c r="J14" s="50" t="str">
        <f t="shared" si="3"/>
        <v>Sep</v>
      </c>
    </row>
    <row r="15">
      <c r="A15" s="83">
        <f t="shared" si="1"/>
        <v>46296</v>
      </c>
      <c r="B15" s="50">
        <f>COUNTIFS('Master Leads'!$A$6:$A$495,"&lt;&gt;",'Master Leads'!$B$6:$B$495,"&gt;="&amp;$A15,'Master Leads'!$B$6:$B$495,"&lt;"&amp;DATE(YEAR($A15),MONTH($A15)+1,1))</f>
        <v>5</v>
      </c>
      <c r="C15" s="50">
        <f>COUNTIFS('Master Leads'!$A$6:$A$495,"&lt;&gt;",'Master Leads'!$Q$6:$Q$495,"Converted",'Master Leads'!$AB$6:$AB$495,"&gt;="&amp;$A15,'Master Leads'!$AB$6:$AB$495,"&lt;"&amp;DATE(YEAR($A15),MONTH($A15)+1,1))</f>
        <v>0</v>
      </c>
      <c r="D15" s="50">
        <f>COUNTIFS('Master Leads'!$A$6:$A$495,"&lt;&gt;",'Master Leads'!$Q$6:$Q$495,"Converted",'Master Leads'!$I$6:$I$495,"India",'Master Leads'!$AB$6:$AB$495,"&gt;="&amp;$A15,'Master Leads'!$AB$6:$AB$495,"&lt;"&amp;DATE(YEAR($A15),MONTH($A15)+1,1))</f>
        <v>0</v>
      </c>
      <c r="E15" s="50">
        <f>COUNTIFS('Master Leads'!$A$6:$A$495,"&lt;&gt;",'Master Leads'!$Q$6:$Q$495,"Converted",'Master Leads'!$I$6:$I$495,"Foreign",'Master Leads'!$AB$6:$AB$495,"&gt;="&amp;$A15,'Master Leads'!$AB$6:$AB$495,"&lt;"&amp;DATE(YEAR($A15),MONTH($A15)+1,1))</f>
        <v>0</v>
      </c>
      <c r="F15" s="84">
        <f t="shared" si="2"/>
        <v>0</v>
      </c>
      <c r="G15" s="85">
        <f>SUMIFS('Master Leads'!$Y$6:$Y$495,'Master Leads'!$A$6:$A$495,"&lt;&gt;",'Master Leads'!$B$6:$B$495,"&gt;="&amp;$A15,'Master Leads'!$B$6:$B$495,"&lt;"&amp;DATE(YEAR($A15),MONTH($A15)+1,1))</f>
        <v>0</v>
      </c>
      <c r="H15" s="50">
        <f>COUNTIFS('Master Leads'!$A$6:$A$495,"&lt;&gt;",'Master Leads'!$T$6:$T$495,"&gt;="&amp;$A15,'Master Leads'!$T$6:$T$495,"&lt;"&amp;DATE(YEAR($A15),MONTH($A15)+1,1))</f>
        <v>0</v>
      </c>
      <c r="I15" s="50">
        <f>COUNTIFS('Master Leads'!$A$6:$A$495,"&lt;&gt;",'Master Leads'!$U$6:$U$495,"Overdue",'Master Leads'!$T$6:$T$495,"&gt;="&amp;$A15,'Master Leads'!$T$6:$T$495,"&lt;"&amp;DATE(YEAR($A15),MONTH($A15)+1,1))</f>
        <v>0</v>
      </c>
      <c r="J15" s="50" t="str">
        <f t="shared" si="3"/>
        <v>Oct</v>
      </c>
    </row>
    <row r="16">
      <c r="A16" s="83">
        <f t="shared" si="1"/>
        <v>46327</v>
      </c>
      <c r="B16" s="50">
        <f>COUNTIFS('Master Leads'!$A$6:$A$495,"&lt;&gt;",'Master Leads'!$B$6:$B$495,"&gt;="&amp;$A16,'Master Leads'!$B$6:$B$495,"&lt;"&amp;DATE(YEAR($A16),MONTH($A16)+1,1))</f>
        <v>0</v>
      </c>
      <c r="C16" s="50">
        <f>COUNTIFS('Master Leads'!$A$6:$A$495,"&lt;&gt;",'Master Leads'!$Q$6:$Q$495,"Converted",'Master Leads'!$AB$6:$AB$495,"&gt;="&amp;$A16,'Master Leads'!$AB$6:$AB$495,"&lt;"&amp;DATE(YEAR($A16),MONTH($A16)+1,1))</f>
        <v>0</v>
      </c>
      <c r="D16" s="50">
        <f>COUNTIFS('Master Leads'!$A$6:$A$495,"&lt;&gt;",'Master Leads'!$Q$6:$Q$495,"Converted",'Master Leads'!$I$6:$I$495,"India",'Master Leads'!$AB$6:$AB$495,"&gt;="&amp;$A16,'Master Leads'!$AB$6:$AB$495,"&lt;"&amp;DATE(YEAR($A16),MONTH($A16)+1,1))</f>
        <v>0</v>
      </c>
      <c r="E16" s="50">
        <f>COUNTIFS('Master Leads'!$A$6:$A$495,"&lt;&gt;",'Master Leads'!$Q$6:$Q$495,"Converted",'Master Leads'!$I$6:$I$495,"Foreign",'Master Leads'!$AB$6:$AB$495,"&gt;="&amp;$A16,'Master Leads'!$AB$6:$AB$495,"&lt;"&amp;DATE(YEAR($A16),MONTH($A16)+1,1))</f>
        <v>0</v>
      </c>
      <c r="F16" s="84">
        <f t="shared" si="2"/>
        <v>0</v>
      </c>
      <c r="G16" s="85">
        <f>SUMIFS('Master Leads'!$Y$6:$Y$495,'Master Leads'!$A$6:$A$495,"&lt;&gt;",'Master Leads'!$B$6:$B$495,"&gt;="&amp;$A16,'Master Leads'!$B$6:$B$495,"&lt;"&amp;DATE(YEAR($A16),MONTH($A16)+1,1))</f>
        <v>0</v>
      </c>
      <c r="H16" s="50">
        <f>COUNTIFS('Master Leads'!$A$6:$A$495,"&lt;&gt;",'Master Leads'!$T$6:$T$495,"&gt;="&amp;$A16,'Master Leads'!$T$6:$T$495,"&lt;"&amp;DATE(YEAR($A16),MONTH($A16)+1,1))</f>
        <v>0</v>
      </c>
      <c r="I16" s="50">
        <f>COUNTIFS('Master Leads'!$A$6:$A$495,"&lt;&gt;",'Master Leads'!$U$6:$U$495,"Overdue",'Master Leads'!$T$6:$T$495,"&gt;="&amp;$A16,'Master Leads'!$T$6:$T$495,"&lt;"&amp;DATE(YEAR($A16),MONTH($A16)+1,1))</f>
        <v>0</v>
      </c>
      <c r="J16" s="50" t="str">
        <f t="shared" si="3"/>
        <v>Nov</v>
      </c>
    </row>
    <row r="17">
      <c r="A17" s="83">
        <f t="shared" si="1"/>
        <v>46357</v>
      </c>
      <c r="B17" s="50">
        <f>COUNTIFS('Master Leads'!$A$6:$A$495,"&lt;&gt;",'Master Leads'!$B$6:$B$495,"&gt;="&amp;$A17,'Master Leads'!$B$6:$B$495,"&lt;"&amp;DATE(YEAR($A17),MONTH($A17)+1,1))</f>
        <v>0</v>
      </c>
      <c r="C17" s="50">
        <f>COUNTIFS('Master Leads'!$A$6:$A$495,"&lt;&gt;",'Master Leads'!$Q$6:$Q$495,"Converted",'Master Leads'!$AB$6:$AB$495,"&gt;="&amp;$A17,'Master Leads'!$AB$6:$AB$495,"&lt;"&amp;DATE(YEAR($A17),MONTH($A17)+1,1))</f>
        <v>0</v>
      </c>
      <c r="D17" s="50">
        <f>COUNTIFS('Master Leads'!$A$6:$A$495,"&lt;&gt;",'Master Leads'!$Q$6:$Q$495,"Converted",'Master Leads'!$I$6:$I$495,"India",'Master Leads'!$AB$6:$AB$495,"&gt;="&amp;$A17,'Master Leads'!$AB$6:$AB$495,"&lt;"&amp;DATE(YEAR($A17),MONTH($A17)+1,1))</f>
        <v>0</v>
      </c>
      <c r="E17" s="50">
        <f>COUNTIFS('Master Leads'!$A$6:$A$495,"&lt;&gt;",'Master Leads'!$Q$6:$Q$495,"Converted",'Master Leads'!$I$6:$I$495,"Foreign",'Master Leads'!$AB$6:$AB$495,"&gt;="&amp;$A17,'Master Leads'!$AB$6:$AB$495,"&lt;"&amp;DATE(YEAR($A17),MONTH($A17)+1,1))</f>
        <v>0</v>
      </c>
      <c r="F17" s="84">
        <f t="shared" si="2"/>
        <v>0</v>
      </c>
      <c r="G17" s="85">
        <f>SUMIFS('Master Leads'!$Y$6:$Y$495,'Master Leads'!$A$6:$A$495,"&lt;&gt;",'Master Leads'!$B$6:$B$495,"&gt;="&amp;$A17,'Master Leads'!$B$6:$B$495,"&lt;"&amp;DATE(YEAR($A17),MONTH($A17)+1,1))</f>
        <v>0</v>
      </c>
      <c r="H17" s="50">
        <f>COUNTIFS('Master Leads'!$A$6:$A$495,"&lt;&gt;",'Master Leads'!$T$6:$T$495,"&gt;="&amp;$A17,'Master Leads'!$T$6:$T$495,"&lt;"&amp;DATE(YEAR($A17),MONTH($A17)+1,1))</f>
        <v>0</v>
      </c>
      <c r="I17" s="50">
        <f>COUNTIFS('Master Leads'!$A$6:$A$495,"&lt;&gt;",'Master Leads'!$U$6:$U$495,"Overdue",'Master Leads'!$T$6:$T$495,"&gt;="&amp;$A17,'Master Leads'!$T$6:$T$495,"&lt;"&amp;DATE(YEAR($A17),MONTH($A17)+1,1))</f>
        <v>0</v>
      </c>
      <c r="J17" s="50" t="str">
        <f t="shared" si="3"/>
        <v>Dec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dataValidations>
    <dataValidation type="decimal" allowBlank="1" sqref="B3">
      <formula1>2024.0</formula1>
      <formula2>2035.0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1.25"/>
    <col customWidth="1" min="2" max="2" width="13.13"/>
    <col customWidth="1" min="3" max="4" width="11.25"/>
    <col customWidth="1" min="5" max="5" width="10.63"/>
    <col customWidth="1" min="6" max="6" width="11.25"/>
    <col customWidth="1" min="7" max="7" width="13.75"/>
    <col customWidth="1" min="8" max="8" width="13.13"/>
    <col customWidth="1" min="9" max="9" width="15.63"/>
    <col customWidth="1" min="10" max="10" width="16.25"/>
    <col customWidth="1" min="11" max="11" width="11.25"/>
    <col customWidth="1" min="12" max="26" width="8.63"/>
  </cols>
  <sheetData>
    <row r="1" ht="27.0" customHeight="1">
      <c r="A1" s="1" t="s">
        <v>363</v>
      </c>
    </row>
    <row r="2" ht="25.5" customHeight="1">
      <c r="A2" s="2" t="s">
        <v>364</v>
      </c>
    </row>
    <row r="5">
      <c r="A5" s="3" t="s">
        <v>60</v>
      </c>
      <c r="B5" s="8" t="s">
        <v>59</v>
      </c>
      <c r="C5" s="8" t="s">
        <v>85</v>
      </c>
      <c r="D5" s="8" t="s">
        <v>93</v>
      </c>
      <c r="E5" s="8" t="s">
        <v>365</v>
      </c>
      <c r="F5" s="8" t="s">
        <v>32</v>
      </c>
      <c r="G5" s="8" t="s">
        <v>35</v>
      </c>
      <c r="H5" s="8" t="s">
        <v>98</v>
      </c>
      <c r="I5" s="8" t="s">
        <v>99</v>
      </c>
      <c r="J5" s="8" t="s">
        <v>73</v>
      </c>
      <c r="K5" s="9" t="s">
        <v>101</v>
      </c>
    </row>
    <row r="6">
      <c r="A6" s="50" t="s">
        <v>91</v>
      </c>
      <c r="B6" s="50" t="s">
        <v>90</v>
      </c>
      <c r="C6" s="50">
        <f>COUNTIFS('Master Leads'!$A$6:$A$495,"&lt;&gt;",'Master Leads'!$K$6:$K$495,$A6)</f>
        <v>35</v>
      </c>
      <c r="D6" s="50">
        <f>COUNTIFS('Master Leads'!$A$6:$A$495,"&lt;&gt;",'Master Leads'!$K$6:$K$495,$A6,'Master Leads'!$AG$6:$AG$495,"Yes")</f>
        <v>32</v>
      </c>
      <c r="E6" s="50">
        <f>COUNTIFS('Master Leads'!$A$6:$A$495,"&lt;&gt;",'Master Leads'!$K$6:$K$495,$A6,'Master Leads'!$AG$6:$AG$495,"Yes",'Master Leads'!$P$6:$P$495,"Hot")</f>
        <v>7</v>
      </c>
      <c r="F6" s="50">
        <f>COUNTIFS('Master Leads'!$A$6:$A$495,"&lt;&gt;",'Master Leads'!$K$6:$K$495,$A6,'Master Leads'!$Q$6:$Q$495,"Converted")</f>
        <v>2</v>
      </c>
      <c r="G6" s="50">
        <f>COUNTIFS('Master Leads'!$A$6:$A$495,"&lt;&gt;",'Master Leads'!$K$6:$K$495,$A6,'Master Leads'!$Q$6:$Q$495,"Closed")+COUNTIFS('Master Leads'!$A$6:$A$495,"&lt;&gt;",'Master Leads'!$K$6:$K$495,$A6,'Master Leads'!$Q$6:$Q$495,"Lost")</f>
        <v>1</v>
      </c>
      <c r="H6" s="84">
        <f t="shared" ref="H6:H14" si="1">IFERROR($F6/$C6,0)</f>
        <v>0.05714285714</v>
      </c>
      <c r="I6" s="85">
        <f>SUMIFS('Master Leads'!$Y$6:$Y$495,'Master Leads'!$A$6:$A$495,"&lt;&gt;",'Master Leads'!$K$6:$K$495,$A6,'Master Leads'!$AG$6:$AG$495,"Yes")</f>
        <v>0</v>
      </c>
      <c r="J6" s="85">
        <f>SUMIFS('Master Leads'!$AA$6:$AA$495,'Master Leads'!$A$6:$A$495,"&lt;&gt;",'Master Leads'!$K$6:$K$495,$A6,'Master Leads'!$AG$6:$AG$495,"Yes")</f>
        <v>0</v>
      </c>
      <c r="K6" s="50">
        <f>COUNTIFS('Master Leads'!$A$6:$A$495,"&lt;&gt;",'Master Leads'!$K$6:$K$495,$A6,'Master Leads'!$U$6:$U$495,"Overdue")</f>
        <v>0</v>
      </c>
    </row>
    <row r="7">
      <c r="A7" s="50" t="s">
        <v>115</v>
      </c>
      <c r="B7" s="50" t="s">
        <v>90</v>
      </c>
      <c r="C7" s="50">
        <f>COUNTIFS('Master Leads'!$A$6:$A$495,"&lt;&gt;",'Master Leads'!$K$6:$K$495,$A7)</f>
        <v>26</v>
      </c>
      <c r="D7" s="50">
        <f>COUNTIFS('Master Leads'!$A$6:$A$495,"&lt;&gt;",'Master Leads'!$K$6:$K$495,$A7,'Master Leads'!$AG$6:$AG$495,"Yes")</f>
        <v>24</v>
      </c>
      <c r="E7" s="50">
        <f>COUNTIFS('Master Leads'!$A$6:$A$495,"&lt;&gt;",'Master Leads'!$K$6:$K$495,$A7,'Master Leads'!$AG$6:$AG$495,"Yes",'Master Leads'!$P$6:$P$495,"Hot")</f>
        <v>2</v>
      </c>
      <c r="F7" s="50">
        <f>COUNTIFS('Master Leads'!$A$6:$A$495,"&lt;&gt;",'Master Leads'!$K$6:$K$495,$A7,'Master Leads'!$Q$6:$Q$495,"Converted")</f>
        <v>1</v>
      </c>
      <c r="G7" s="50">
        <f>COUNTIFS('Master Leads'!$A$6:$A$495,"&lt;&gt;",'Master Leads'!$K$6:$K$495,$A7,'Master Leads'!$Q$6:$Q$495,"Closed")+COUNTIFS('Master Leads'!$A$6:$A$495,"&lt;&gt;",'Master Leads'!$K$6:$K$495,$A7,'Master Leads'!$Q$6:$Q$495,"Lost")</f>
        <v>1</v>
      </c>
      <c r="H7" s="84">
        <f t="shared" si="1"/>
        <v>0.03846153846</v>
      </c>
      <c r="I7" s="85">
        <f>SUMIFS('Master Leads'!$Y$6:$Y$495,'Master Leads'!$A$6:$A$495,"&lt;&gt;",'Master Leads'!$K$6:$K$495,$A7,'Master Leads'!$AG$6:$AG$495,"Yes")</f>
        <v>0</v>
      </c>
      <c r="J7" s="85">
        <f>SUMIFS('Master Leads'!$AA$6:$AA$495,'Master Leads'!$A$6:$A$495,"&lt;&gt;",'Master Leads'!$K$6:$K$495,$A7,'Master Leads'!$AG$6:$AG$495,"Yes")</f>
        <v>0</v>
      </c>
      <c r="K7" s="50">
        <f>COUNTIFS('Master Leads'!$A$6:$A$495,"&lt;&gt;",'Master Leads'!$K$6:$K$495,$A7,'Master Leads'!$U$6:$U$495,"Overdue")</f>
        <v>0</v>
      </c>
    </row>
    <row r="8">
      <c r="A8" s="50" t="s">
        <v>129</v>
      </c>
      <c r="B8" s="50" t="s">
        <v>90</v>
      </c>
      <c r="C8" s="50">
        <f>COUNTIFS('Master Leads'!$A$6:$A$495,"&lt;&gt;",'Master Leads'!$K$6:$K$495,$A8)</f>
        <v>22</v>
      </c>
      <c r="D8" s="50">
        <f>COUNTIFS('Master Leads'!$A$6:$A$495,"&lt;&gt;",'Master Leads'!$K$6:$K$495,$A8,'Master Leads'!$AG$6:$AG$495,"Yes")</f>
        <v>19</v>
      </c>
      <c r="E8" s="50">
        <f>COUNTIFS('Master Leads'!$A$6:$A$495,"&lt;&gt;",'Master Leads'!$K$6:$K$495,$A8,'Master Leads'!$AG$6:$AG$495,"Yes",'Master Leads'!$P$6:$P$495,"Hot")</f>
        <v>3</v>
      </c>
      <c r="F8" s="50">
        <f>COUNTIFS('Master Leads'!$A$6:$A$495,"&lt;&gt;",'Master Leads'!$K$6:$K$495,$A8,'Master Leads'!$Q$6:$Q$495,"Converted")</f>
        <v>2</v>
      </c>
      <c r="G8" s="50">
        <f>COUNTIFS('Master Leads'!$A$6:$A$495,"&lt;&gt;",'Master Leads'!$K$6:$K$495,$A8,'Master Leads'!$Q$6:$Q$495,"Closed")+COUNTIFS('Master Leads'!$A$6:$A$495,"&lt;&gt;",'Master Leads'!$K$6:$K$495,$A8,'Master Leads'!$Q$6:$Q$495,"Lost")</f>
        <v>1</v>
      </c>
      <c r="H8" s="84">
        <f t="shared" si="1"/>
        <v>0.09090909091</v>
      </c>
      <c r="I8" s="85">
        <f>SUMIFS('Master Leads'!$Y$6:$Y$495,'Master Leads'!$A$6:$A$495,"&lt;&gt;",'Master Leads'!$K$6:$K$495,$A8,'Master Leads'!$AG$6:$AG$495,"Yes")</f>
        <v>0</v>
      </c>
      <c r="J8" s="85">
        <f>SUMIFS('Master Leads'!$AA$6:$AA$495,'Master Leads'!$A$6:$A$495,"&lt;&gt;",'Master Leads'!$K$6:$K$495,$A8,'Master Leads'!$AG$6:$AG$495,"Yes")</f>
        <v>0</v>
      </c>
      <c r="K8" s="50">
        <f>COUNTIFS('Master Leads'!$A$6:$A$495,"&lt;&gt;",'Master Leads'!$K$6:$K$495,$A8,'Master Leads'!$U$6:$U$495,"Overdue")</f>
        <v>0</v>
      </c>
    </row>
    <row r="9">
      <c r="A9" s="50" t="s">
        <v>161</v>
      </c>
      <c r="B9" s="50" t="s">
        <v>90</v>
      </c>
      <c r="C9" s="50">
        <f>COUNTIFS('Master Leads'!$A$6:$A$495,"&lt;&gt;",'Master Leads'!$K$6:$K$495,$A9)</f>
        <v>28</v>
      </c>
      <c r="D9" s="50">
        <f>COUNTIFS('Master Leads'!$A$6:$A$495,"&lt;&gt;",'Master Leads'!$K$6:$K$495,$A9,'Master Leads'!$AG$6:$AG$495,"Yes")</f>
        <v>27</v>
      </c>
      <c r="E9" s="50">
        <f>COUNTIFS('Master Leads'!$A$6:$A$495,"&lt;&gt;",'Master Leads'!$K$6:$K$495,$A9,'Master Leads'!$AG$6:$AG$495,"Yes",'Master Leads'!$P$6:$P$495,"Hot")</f>
        <v>3</v>
      </c>
      <c r="F9" s="50">
        <f>COUNTIFS('Master Leads'!$A$6:$A$495,"&lt;&gt;",'Master Leads'!$K$6:$K$495,$A9,'Master Leads'!$Q$6:$Q$495,"Converted")</f>
        <v>0</v>
      </c>
      <c r="G9" s="50">
        <f>COUNTIFS('Master Leads'!$A$6:$A$495,"&lt;&gt;",'Master Leads'!$K$6:$K$495,$A9,'Master Leads'!$Q$6:$Q$495,"Closed")+COUNTIFS('Master Leads'!$A$6:$A$495,"&lt;&gt;",'Master Leads'!$K$6:$K$495,$A9,'Master Leads'!$Q$6:$Q$495,"Lost")</f>
        <v>1</v>
      </c>
      <c r="H9" s="84">
        <f t="shared" si="1"/>
        <v>0</v>
      </c>
      <c r="I9" s="85">
        <f>SUMIFS('Master Leads'!$Y$6:$Y$495,'Master Leads'!$A$6:$A$495,"&lt;&gt;",'Master Leads'!$K$6:$K$495,$A9,'Master Leads'!$AG$6:$AG$495,"Yes")</f>
        <v>0</v>
      </c>
      <c r="J9" s="85">
        <f>SUMIFS('Master Leads'!$AA$6:$AA$495,'Master Leads'!$A$6:$A$495,"&lt;&gt;",'Master Leads'!$K$6:$K$495,$A9,'Master Leads'!$AG$6:$AG$495,"Yes")</f>
        <v>0</v>
      </c>
      <c r="K9" s="50">
        <f>COUNTIFS('Master Leads'!$A$6:$A$495,"&lt;&gt;",'Master Leads'!$K$6:$K$495,$A9,'Master Leads'!$U$6:$U$495,"Overdue")</f>
        <v>0</v>
      </c>
    </row>
    <row r="10">
      <c r="A10" s="50" t="s">
        <v>384</v>
      </c>
      <c r="B10" s="50" t="s">
        <v>385</v>
      </c>
      <c r="C10" s="50">
        <f>COUNTIFS('Master Leads'!$A$6:$A$495,"&lt;&gt;",'Master Leads'!$K$6:$K$495,$A10)</f>
        <v>0</v>
      </c>
      <c r="D10" s="50">
        <f>COUNTIFS('Master Leads'!$A$6:$A$495,"&lt;&gt;",'Master Leads'!$K$6:$K$495,$A10,'Master Leads'!$AG$6:$AG$495,"Yes")</f>
        <v>0</v>
      </c>
      <c r="E10" s="50">
        <f>COUNTIFS('Master Leads'!$A$6:$A$495,"&lt;&gt;",'Master Leads'!$K$6:$K$495,$A10,'Master Leads'!$AG$6:$AG$495,"Yes",'Master Leads'!$P$6:$P$495,"Hot")</f>
        <v>0</v>
      </c>
      <c r="F10" s="50">
        <f>COUNTIFS('Master Leads'!$A$6:$A$495,"&lt;&gt;",'Master Leads'!$K$6:$K$495,$A10,'Master Leads'!$Q$6:$Q$495,"Converted")</f>
        <v>0</v>
      </c>
      <c r="G10" s="50">
        <f>COUNTIFS('Master Leads'!$A$6:$A$495,"&lt;&gt;",'Master Leads'!$K$6:$K$495,$A10,'Master Leads'!$Q$6:$Q$495,"Closed")+COUNTIFS('Master Leads'!$A$6:$A$495,"&lt;&gt;",'Master Leads'!$K$6:$K$495,$A10,'Master Leads'!$Q$6:$Q$495,"Lost")</f>
        <v>0</v>
      </c>
      <c r="H10" s="84">
        <f t="shared" si="1"/>
        <v>0</v>
      </c>
      <c r="I10" s="85">
        <f>SUMIFS('Master Leads'!$Y$6:$Y$495,'Master Leads'!$A$6:$A$495,"&lt;&gt;",'Master Leads'!$K$6:$K$495,$A10,'Master Leads'!$AG$6:$AG$495,"Yes")</f>
        <v>0</v>
      </c>
      <c r="J10" s="85">
        <f>SUMIFS('Master Leads'!$AA$6:$AA$495,'Master Leads'!$A$6:$A$495,"&lt;&gt;",'Master Leads'!$K$6:$K$495,$A10,'Master Leads'!$AG$6:$AG$495,"Yes")</f>
        <v>0</v>
      </c>
      <c r="K10" s="50">
        <f>COUNTIFS('Master Leads'!$A$6:$A$495,"&lt;&gt;",'Master Leads'!$K$6:$K$495,$A10,'Master Leads'!$U$6:$U$495,"Overdue")</f>
        <v>0</v>
      </c>
    </row>
    <row r="11">
      <c r="A11" s="50" t="s">
        <v>389</v>
      </c>
      <c r="B11" s="50" t="s">
        <v>385</v>
      </c>
      <c r="C11" s="50">
        <f>COUNTIFS('Master Leads'!$A$6:$A$495,"&lt;&gt;",'Master Leads'!$K$6:$K$495,$A11)</f>
        <v>0</v>
      </c>
      <c r="D11" s="50">
        <f>COUNTIFS('Master Leads'!$A$6:$A$495,"&lt;&gt;",'Master Leads'!$K$6:$K$495,$A11,'Master Leads'!$AG$6:$AG$495,"Yes")</f>
        <v>0</v>
      </c>
      <c r="E11" s="50">
        <f>COUNTIFS('Master Leads'!$A$6:$A$495,"&lt;&gt;",'Master Leads'!$K$6:$K$495,$A11,'Master Leads'!$AG$6:$AG$495,"Yes",'Master Leads'!$P$6:$P$495,"Hot")</f>
        <v>0</v>
      </c>
      <c r="F11" s="50">
        <f>COUNTIFS('Master Leads'!$A$6:$A$495,"&lt;&gt;",'Master Leads'!$K$6:$K$495,$A11,'Master Leads'!$Q$6:$Q$495,"Converted")</f>
        <v>0</v>
      </c>
      <c r="G11" s="50">
        <f>COUNTIFS('Master Leads'!$A$6:$A$495,"&lt;&gt;",'Master Leads'!$K$6:$K$495,$A11,'Master Leads'!$Q$6:$Q$495,"Closed")+COUNTIFS('Master Leads'!$A$6:$A$495,"&lt;&gt;",'Master Leads'!$K$6:$K$495,$A11,'Master Leads'!$Q$6:$Q$495,"Lost")</f>
        <v>0</v>
      </c>
      <c r="H11" s="84">
        <f t="shared" si="1"/>
        <v>0</v>
      </c>
      <c r="I11" s="85">
        <f>SUMIFS('Master Leads'!$Y$6:$Y$495,'Master Leads'!$A$6:$A$495,"&lt;&gt;",'Master Leads'!$K$6:$K$495,$A11,'Master Leads'!$AG$6:$AG$495,"Yes")</f>
        <v>0</v>
      </c>
      <c r="J11" s="85">
        <f>SUMIFS('Master Leads'!$AA$6:$AA$495,'Master Leads'!$A$6:$A$495,"&lt;&gt;",'Master Leads'!$K$6:$K$495,$A11,'Master Leads'!$AG$6:$AG$495,"Yes")</f>
        <v>0</v>
      </c>
      <c r="K11" s="50">
        <f>COUNTIFS('Master Leads'!$A$6:$A$495,"&lt;&gt;",'Master Leads'!$K$6:$K$495,$A11,'Master Leads'!$U$6:$U$495,"Overdue")</f>
        <v>0</v>
      </c>
    </row>
    <row r="12">
      <c r="A12" s="50" t="s">
        <v>394</v>
      </c>
      <c r="B12" s="50" t="s">
        <v>385</v>
      </c>
      <c r="C12" s="50">
        <f>COUNTIFS('Master Leads'!$A$6:$A$495,"&lt;&gt;",'Master Leads'!$K$6:$K$495,$A12)</f>
        <v>0</v>
      </c>
      <c r="D12" s="50">
        <f>COUNTIFS('Master Leads'!$A$6:$A$495,"&lt;&gt;",'Master Leads'!$K$6:$K$495,$A12,'Master Leads'!$AG$6:$AG$495,"Yes")</f>
        <v>0</v>
      </c>
      <c r="E12" s="50">
        <f>COUNTIFS('Master Leads'!$A$6:$A$495,"&lt;&gt;",'Master Leads'!$K$6:$K$495,$A12,'Master Leads'!$AG$6:$AG$495,"Yes",'Master Leads'!$P$6:$P$495,"Hot")</f>
        <v>0</v>
      </c>
      <c r="F12" s="50">
        <f>COUNTIFS('Master Leads'!$A$6:$A$495,"&lt;&gt;",'Master Leads'!$K$6:$K$495,$A12,'Master Leads'!$Q$6:$Q$495,"Converted")</f>
        <v>0</v>
      </c>
      <c r="G12" s="50">
        <f>COUNTIFS('Master Leads'!$A$6:$A$495,"&lt;&gt;",'Master Leads'!$K$6:$K$495,$A12,'Master Leads'!$Q$6:$Q$495,"Closed")+COUNTIFS('Master Leads'!$A$6:$A$495,"&lt;&gt;",'Master Leads'!$K$6:$K$495,$A12,'Master Leads'!$Q$6:$Q$495,"Lost")</f>
        <v>0</v>
      </c>
      <c r="H12" s="84">
        <f t="shared" si="1"/>
        <v>0</v>
      </c>
      <c r="I12" s="85">
        <f>SUMIFS('Master Leads'!$Y$6:$Y$495,'Master Leads'!$A$6:$A$495,"&lt;&gt;",'Master Leads'!$K$6:$K$495,$A12,'Master Leads'!$AG$6:$AG$495,"Yes")</f>
        <v>0</v>
      </c>
      <c r="J12" s="85">
        <f>SUMIFS('Master Leads'!$AA$6:$AA$495,'Master Leads'!$A$6:$A$495,"&lt;&gt;",'Master Leads'!$K$6:$K$495,$A12,'Master Leads'!$AG$6:$AG$495,"Yes")</f>
        <v>0</v>
      </c>
      <c r="K12" s="50">
        <f>COUNTIFS('Master Leads'!$A$6:$A$495,"&lt;&gt;",'Master Leads'!$K$6:$K$495,$A12,'Master Leads'!$U$6:$U$495,"Overdue")</f>
        <v>0</v>
      </c>
    </row>
    <row r="13">
      <c r="A13" s="50" t="s">
        <v>145</v>
      </c>
      <c r="B13" s="50" t="s">
        <v>385</v>
      </c>
      <c r="C13" s="50">
        <f>COUNTIFS('Master Leads'!$A$6:$A$495,"&lt;&gt;",'Master Leads'!$K$6:$K$495,$A13)</f>
        <v>2</v>
      </c>
      <c r="D13" s="50">
        <f>COUNTIFS('Master Leads'!$A$6:$A$495,"&lt;&gt;",'Master Leads'!$K$6:$K$495,$A13,'Master Leads'!$AG$6:$AG$495,"Yes")</f>
        <v>2</v>
      </c>
      <c r="E13" s="50">
        <f>COUNTIFS('Master Leads'!$A$6:$A$495,"&lt;&gt;",'Master Leads'!$K$6:$K$495,$A13,'Master Leads'!$AG$6:$AG$495,"Yes",'Master Leads'!$P$6:$P$495,"Hot")</f>
        <v>1</v>
      </c>
      <c r="F13" s="50">
        <f>COUNTIFS('Master Leads'!$A$6:$A$495,"&lt;&gt;",'Master Leads'!$K$6:$K$495,$A13,'Master Leads'!$Q$6:$Q$495,"Converted")</f>
        <v>0</v>
      </c>
      <c r="G13" s="50">
        <f>COUNTIFS('Master Leads'!$A$6:$A$495,"&lt;&gt;",'Master Leads'!$K$6:$K$495,$A13,'Master Leads'!$Q$6:$Q$495,"Closed")+COUNTIFS('Master Leads'!$A$6:$A$495,"&lt;&gt;",'Master Leads'!$K$6:$K$495,$A13,'Master Leads'!$Q$6:$Q$495,"Lost")</f>
        <v>0</v>
      </c>
      <c r="H13" s="84">
        <f t="shared" si="1"/>
        <v>0</v>
      </c>
      <c r="I13" s="85">
        <f>SUMIFS('Master Leads'!$Y$6:$Y$495,'Master Leads'!$A$6:$A$495,"&lt;&gt;",'Master Leads'!$K$6:$K$495,$A13,'Master Leads'!$AG$6:$AG$495,"Yes")</f>
        <v>0</v>
      </c>
      <c r="J13" s="85">
        <f>SUMIFS('Master Leads'!$AA$6:$AA$495,'Master Leads'!$A$6:$A$495,"&lt;&gt;",'Master Leads'!$K$6:$K$495,$A13,'Master Leads'!$AG$6:$AG$495,"Yes")</f>
        <v>0</v>
      </c>
      <c r="K13" s="50">
        <f>COUNTIFS('Master Leads'!$A$6:$A$495,"&lt;&gt;",'Master Leads'!$K$6:$K$495,$A13,'Master Leads'!$U$6:$U$495,"Overdue")</f>
        <v>0</v>
      </c>
    </row>
    <row r="14">
      <c r="A14" s="50" t="s">
        <v>233</v>
      </c>
      <c r="B14" s="50" t="s">
        <v>385</v>
      </c>
      <c r="C14" s="50">
        <f>COUNTIFS('Master Leads'!$A$6:$A$495,"&lt;&gt;",'Master Leads'!$K$6:$K$495,$A14)</f>
        <v>7</v>
      </c>
      <c r="D14" s="50">
        <f>COUNTIFS('Master Leads'!$A$6:$A$495,"&lt;&gt;",'Master Leads'!$K$6:$K$495,$A14,'Master Leads'!$AG$6:$AG$495,"Yes")</f>
        <v>7</v>
      </c>
      <c r="E14" s="50">
        <f>COUNTIFS('Master Leads'!$A$6:$A$495,"&lt;&gt;",'Master Leads'!$K$6:$K$495,$A14,'Master Leads'!$AG$6:$AG$495,"Yes",'Master Leads'!$P$6:$P$495,"Hot")</f>
        <v>3</v>
      </c>
      <c r="F14" s="50">
        <f>COUNTIFS('Master Leads'!$A$6:$A$495,"&lt;&gt;",'Master Leads'!$K$6:$K$495,$A14,'Master Leads'!$Q$6:$Q$495,"Converted")</f>
        <v>0</v>
      </c>
      <c r="G14" s="50">
        <f>COUNTIFS('Master Leads'!$A$6:$A$495,"&lt;&gt;",'Master Leads'!$K$6:$K$495,$A14,'Master Leads'!$Q$6:$Q$495,"Closed")+COUNTIFS('Master Leads'!$A$6:$A$495,"&lt;&gt;",'Master Leads'!$K$6:$K$495,$A14,'Master Leads'!$Q$6:$Q$495,"Lost")</f>
        <v>0</v>
      </c>
      <c r="H14" s="84">
        <f t="shared" si="1"/>
        <v>0</v>
      </c>
      <c r="I14" s="85">
        <f>SUMIFS('Master Leads'!$Y$6:$Y$495,'Master Leads'!$A$6:$A$495,"&lt;&gt;",'Master Leads'!$K$6:$K$495,$A14,'Master Leads'!$AG$6:$AG$495,"Yes")</f>
        <v>0</v>
      </c>
      <c r="J14" s="85">
        <f>SUMIFS('Master Leads'!$AA$6:$AA$495,'Master Leads'!$A$6:$A$495,"&lt;&gt;",'Master Leads'!$K$6:$K$495,$A14,'Master Leads'!$AG$6:$AG$495,"Yes")</f>
        <v>0</v>
      </c>
      <c r="K14" s="50">
        <f>COUNTIFS('Master Leads'!$A$6:$A$495,"&lt;&gt;",'Master Leads'!$K$6:$K$495,$A14,'Master Leads'!$U$6:$U$495,"Overdue")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88"/>
    <col customWidth="1" min="2" max="4" width="11.25"/>
    <col customWidth="1" min="5" max="5" width="13.13"/>
    <col customWidth="1" min="6" max="6" width="15.63"/>
    <col customWidth="1" min="7" max="7" width="16.25"/>
    <col customWidth="1" min="8" max="8" width="11.25"/>
    <col customWidth="1" min="9" max="10" width="10.0"/>
    <col customWidth="1" min="11" max="11" width="11.25"/>
    <col customWidth="1" min="12" max="26" width="8.63"/>
  </cols>
  <sheetData>
    <row r="1" ht="27.0" customHeight="1">
      <c r="A1" s="1" t="s">
        <v>407</v>
      </c>
    </row>
    <row r="2" ht="25.5" customHeight="1">
      <c r="A2" s="2" t="s">
        <v>410</v>
      </c>
    </row>
    <row r="5">
      <c r="A5" s="3" t="s">
        <v>63</v>
      </c>
      <c r="B5" s="8" t="s">
        <v>85</v>
      </c>
      <c r="C5" s="8" t="s">
        <v>93</v>
      </c>
      <c r="D5" s="8" t="s">
        <v>32</v>
      </c>
      <c r="E5" s="8" t="s">
        <v>98</v>
      </c>
      <c r="F5" s="8" t="s">
        <v>99</v>
      </c>
      <c r="G5" s="8" t="s">
        <v>73</v>
      </c>
      <c r="H5" s="8" t="s">
        <v>414</v>
      </c>
      <c r="I5" s="8" t="s">
        <v>89</v>
      </c>
      <c r="J5" s="8" t="s">
        <v>415</v>
      </c>
      <c r="K5" s="9" t="s">
        <v>101</v>
      </c>
    </row>
    <row r="6">
      <c r="A6" s="50" t="s">
        <v>163</v>
      </c>
      <c r="B6" s="50">
        <f>COUNTIFS('Master Leads'!$A$6:$A$495,"&lt;&gt;",'Master Leads'!$N$6:$N$495,$A6)</f>
        <v>4</v>
      </c>
      <c r="C6" s="50">
        <f>COUNTIFS('Master Leads'!$A$6:$A$495,"&lt;&gt;",'Master Leads'!$N$6:$N$495,$A6,'Master Leads'!$AG$6:$AG$495,"Yes")</f>
        <v>4</v>
      </c>
      <c r="D6" s="50">
        <f>COUNTIFS('Master Leads'!$A$6:$A$495,"&lt;&gt;",'Master Leads'!$N$6:$N$495,$A6,'Master Leads'!$Q$6:$Q$495,"Converted")</f>
        <v>0</v>
      </c>
      <c r="E6" s="84">
        <f t="shared" ref="E6:E18" si="1">IFERROR($D6/$B6,0)</f>
        <v>0</v>
      </c>
      <c r="F6" s="85">
        <f>SUMIFS('Master Leads'!$Y$6:$Y$495,'Master Leads'!$A$6:$A$495,"&lt;&gt;",'Master Leads'!$N$6:$N$495,$A6,'Master Leads'!$AG$6:$AG$495,"Yes")</f>
        <v>0</v>
      </c>
      <c r="G6" s="85">
        <f>SUMIFS('Master Leads'!$AA$6:$AA$495,'Master Leads'!$A$6:$A$495,"&lt;&gt;",'Master Leads'!$N$6:$N$495,$A6,'Master Leads'!$AG$6:$AG$495,"Yes")</f>
        <v>0</v>
      </c>
      <c r="H6" s="50">
        <f>COUNTIFS('Master Leads'!$A$6:$A$495,"&lt;&gt;",'Master Leads'!$N$6:$N$495,$A6,'Master Leads'!$P$6:$P$495,"Hot")</f>
        <v>4</v>
      </c>
      <c r="I6" s="50">
        <f>COUNTIFS('Master Leads'!$A$6:$A$495,"&lt;&gt;",'Master Leads'!$N$6:$N$495,$A6,'Master Leads'!$I$6:$I$495,"India")</f>
        <v>4</v>
      </c>
      <c r="J6" s="50">
        <f>COUNTIFS('Master Leads'!$A$6:$A$495,"&lt;&gt;",'Master Leads'!$N$6:$N$495,$A6,'Master Leads'!$I$6:$I$495,"Foreign")</f>
        <v>0</v>
      </c>
      <c r="K6" s="50">
        <f>COUNTIFS('Master Leads'!$A$6:$A$495,"&lt;&gt;",'Master Leads'!$N$6:$N$495,$A6,'Master Leads'!$U$6:$U$495,"Overdue")</f>
        <v>0</v>
      </c>
    </row>
    <row r="7">
      <c r="A7" s="50" t="s">
        <v>417</v>
      </c>
      <c r="B7" s="50">
        <f>COUNTIFS('Master Leads'!$A$6:$A$495,"&lt;&gt;",'Master Leads'!$N$6:$N$495,$A7)</f>
        <v>0</v>
      </c>
      <c r="C7" s="50">
        <f>COUNTIFS('Master Leads'!$A$6:$A$495,"&lt;&gt;",'Master Leads'!$N$6:$N$495,$A7,'Master Leads'!$AG$6:$AG$495,"Yes")</f>
        <v>0</v>
      </c>
      <c r="D7" s="50">
        <f>COUNTIFS('Master Leads'!$A$6:$A$495,"&lt;&gt;",'Master Leads'!$N$6:$N$495,$A7,'Master Leads'!$Q$6:$Q$495,"Converted")</f>
        <v>0</v>
      </c>
      <c r="E7" s="84">
        <f t="shared" si="1"/>
        <v>0</v>
      </c>
      <c r="F7" s="85">
        <f>SUMIFS('Master Leads'!$Y$6:$Y$495,'Master Leads'!$A$6:$A$495,"&lt;&gt;",'Master Leads'!$N$6:$N$495,$A7,'Master Leads'!$AG$6:$AG$495,"Yes")</f>
        <v>0</v>
      </c>
      <c r="G7" s="85">
        <f>SUMIFS('Master Leads'!$AA$6:$AA$495,'Master Leads'!$A$6:$A$495,"&lt;&gt;",'Master Leads'!$N$6:$N$495,$A7,'Master Leads'!$AG$6:$AG$495,"Yes")</f>
        <v>0</v>
      </c>
      <c r="H7" s="50">
        <f>COUNTIFS('Master Leads'!$A$6:$A$495,"&lt;&gt;",'Master Leads'!$N$6:$N$495,$A7,'Master Leads'!$P$6:$P$495,"Hot")</f>
        <v>0</v>
      </c>
      <c r="I7" s="50">
        <f>COUNTIFS('Master Leads'!$A$6:$A$495,"&lt;&gt;",'Master Leads'!$N$6:$N$495,$A7,'Master Leads'!$I$6:$I$495,"India")</f>
        <v>0</v>
      </c>
      <c r="J7" s="50">
        <f>COUNTIFS('Master Leads'!$A$6:$A$495,"&lt;&gt;",'Master Leads'!$N$6:$N$495,$A7,'Master Leads'!$I$6:$I$495,"Foreign")</f>
        <v>0</v>
      </c>
      <c r="K7" s="50">
        <f>COUNTIFS('Master Leads'!$A$6:$A$495,"&lt;&gt;",'Master Leads'!$N$6:$N$495,$A7,'Master Leads'!$U$6:$U$495,"Overdue")</f>
        <v>0</v>
      </c>
    </row>
    <row r="8">
      <c r="A8" s="50" t="s">
        <v>422</v>
      </c>
      <c r="B8" s="50">
        <f>COUNTIFS('Master Leads'!$A$6:$A$495,"&lt;&gt;",'Master Leads'!$N$6:$N$495,$A8)</f>
        <v>2</v>
      </c>
      <c r="C8" s="50">
        <f>COUNTIFS('Master Leads'!$A$6:$A$495,"&lt;&gt;",'Master Leads'!$N$6:$N$495,$A8,'Master Leads'!$AG$6:$AG$495,"Yes")</f>
        <v>2</v>
      </c>
      <c r="D8" s="50">
        <f>COUNTIFS('Master Leads'!$A$6:$A$495,"&lt;&gt;",'Master Leads'!$N$6:$N$495,$A8,'Master Leads'!$Q$6:$Q$495,"Converted")</f>
        <v>0</v>
      </c>
      <c r="E8" s="84">
        <f t="shared" si="1"/>
        <v>0</v>
      </c>
      <c r="F8" s="85">
        <f>SUMIFS('Master Leads'!$Y$6:$Y$495,'Master Leads'!$A$6:$A$495,"&lt;&gt;",'Master Leads'!$N$6:$N$495,$A8,'Master Leads'!$AG$6:$AG$495,"Yes")</f>
        <v>0</v>
      </c>
      <c r="G8" s="85">
        <f>SUMIFS('Master Leads'!$AA$6:$AA$495,'Master Leads'!$A$6:$A$495,"&lt;&gt;",'Master Leads'!$N$6:$N$495,$A8,'Master Leads'!$AG$6:$AG$495,"Yes")</f>
        <v>0</v>
      </c>
      <c r="H8" s="50">
        <f>COUNTIFS('Master Leads'!$A$6:$A$495,"&lt;&gt;",'Master Leads'!$N$6:$N$495,$A8,'Master Leads'!$P$6:$P$495,"Hot")</f>
        <v>2</v>
      </c>
      <c r="I8" s="50">
        <f>COUNTIFS('Master Leads'!$A$6:$A$495,"&lt;&gt;",'Master Leads'!$N$6:$N$495,$A8,'Master Leads'!$I$6:$I$495,"India")</f>
        <v>2</v>
      </c>
      <c r="J8" s="50">
        <f>COUNTIFS('Master Leads'!$A$6:$A$495,"&lt;&gt;",'Master Leads'!$N$6:$N$495,$A8,'Master Leads'!$I$6:$I$495,"Foreign")</f>
        <v>0</v>
      </c>
      <c r="K8" s="50">
        <f>COUNTIFS('Master Leads'!$A$6:$A$495,"&lt;&gt;",'Master Leads'!$N$6:$N$495,$A8,'Master Leads'!$U$6:$U$495,"Overdue")</f>
        <v>0</v>
      </c>
    </row>
    <row r="9">
      <c r="A9" s="50" t="s">
        <v>427</v>
      </c>
      <c r="B9" s="50">
        <f>COUNTIFS('Master Leads'!$A$6:$A$495,"&lt;&gt;",'Master Leads'!$N$6:$N$495,$A9)</f>
        <v>0</v>
      </c>
      <c r="C9" s="50">
        <f>COUNTIFS('Master Leads'!$A$6:$A$495,"&lt;&gt;",'Master Leads'!$N$6:$N$495,$A9,'Master Leads'!$AG$6:$AG$495,"Yes")</f>
        <v>0</v>
      </c>
      <c r="D9" s="50">
        <f>COUNTIFS('Master Leads'!$A$6:$A$495,"&lt;&gt;",'Master Leads'!$N$6:$N$495,$A9,'Master Leads'!$Q$6:$Q$495,"Converted")</f>
        <v>0</v>
      </c>
      <c r="E9" s="84">
        <f t="shared" si="1"/>
        <v>0</v>
      </c>
      <c r="F9" s="85">
        <f>SUMIFS('Master Leads'!$Y$6:$Y$495,'Master Leads'!$A$6:$A$495,"&lt;&gt;",'Master Leads'!$N$6:$N$495,$A9,'Master Leads'!$AG$6:$AG$495,"Yes")</f>
        <v>0</v>
      </c>
      <c r="G9" s="85">
        <f>SUMIFS('Master Leads'!$AA$6:$AA$495,'Master Leads'!$A$6:$A$495,"&lt;&gt;",'Master Leads'!$N$6:$N$495,$A9,'Master Leads'!$AG$6:$AG$495,"Yes")</f>
        <v>0</v>
      </c>
      <c r="H9" s="50">
        <f>COUNTIFS('Master Leads'!$A$6:$A$495,"&lt;&gt;",'Master Leads'!$N$6:$N$495,$A9,'Master Leads'!$P$6:$P$495,"Hot")</f>
        <v>0</v>
      </c>
      <c r="I9" s="50">
        <f>COUNTIFS('Master Leads'!$A$6:$A$495,"&lt;&gt;",'Master Leads'!$N$6:$N$495,$A9,'Master Leads'!$I$6:$I$495,"India")</f>
        <v>0</v>
      </c>
      <c r="J9" s="50">
        <f>COUNTIFS('Master Leads'!$A$6:$A$495,"&lt;&gt;",'Master Leads'!$N$6:$N$495,$A9,'Master Leads'!$I$6:$I$495,"Foreign")</f>
        <v>0</v>
      </c>
      <c r="K9" s="50">
        <f>COUNTIFS('Master Leads'!$A$6:$A$495,"&lt;&gt;",'Master Leads'!$N$6:$N$495,$A9,'Master Leads'!$U$6:$U$495,"Overdue")</f>
        <v>0</v>
      </c>
    </row>
    <row r="10">
      <c r="A10" s="50" t="s">
        <v>55</v>
      </c>
      <c r="B10" s="50">
        <f>COUNTIFS('Master Leads'!$A$6:$A$495,"&lt;&gt;",'Master Leads'!$N$6:$N$495,$A10)</f>
        <v>0</v>
      </c>
      <c r="C10" s="50">
        <f>COUNTIFS('Master Leads'!$A$6:$A$495,"&lt;&gt;",'Master Leads'!$N$6:$N$495,$A10,'Master Leads'!$AG$6:$AG$495,"Yes")</f>
        <v>0</v>
      </c>
      <c r="D10" s="50">
        <f>COUNTIFS('Master Leads'!$A$6:$A$495,"&lt;&gt;",'Master Leads'!$N$6:$N$495,$A10,'Master Leads'!$Q$6:$Q$495,"Converted")</f>
        <v>0</v>
      </c>
      <c r="E10" s="84">
        <f t="shared" si="1"/>
        <v>0</v>
      </c>
      <c r="F10" s="85">
        <f>SUMIFS('Master Leads'!$Y$6:$Y$495,'Master Leads'!$A$6:$A$495,"&lt;&gt;",'Master Leads'!$N$6:$N$495,$A10,'Master Leads'!$AG$6:$AG$495,"Yes")</f>
        <v>0</v>
      </c>
      <c r="G10" s="85">
        <f>SUMIFS('Master Leads'!$AA$6:$AA$495,'Master Leads'!$A$6:$A$495,"&lt;&gt;",'Master Leads'!$N$6:$N$495,$A10,'Master Leads'!$AG$6:$AG$495,"Yes")</f>
        <v>0</v>
      </c>
      <c r="H10" s="50">
        <f>COUNTIFS('Master Leads'!$A$6:$A$495,"&lt;&gt;",'Master Leads'!$N$6:$N$495,$A10,'Master Leads'!$P$6:$P$495,"Hot")</f>
        <v>0</v>
      </c>
      <c r="I10" s="50">
        <f>COUNTIFS('Master Leads'!$A$6:$A$495,"&lt;&gt;",'Master Leads'!$N$6:$N$495,$A10,'Master Leads'!$I$6:$I$495,"India")</f>
        <v>0</v>
      </c>
      <c r="J10" s="50">
        <f>COUNTIFS('Master Leads'!$A$6:$A$495,"&lt;&gt;",'Master Leads'!$N$6:$N$495,$A10,'Master Leads'!$I$6:$I$495,"Foreign")</f>
        <v>0</v>
      </c>
      <c r="K10" s="50">
        <f>COUNTIFS('Master Leads'!$A$6:$A$495,"&lt;&gt;",'Master Leads'!$N$6:$N$495,$A10,'Master Leads'!$U$6:$U$495,"Overdue")</f>
        <v>0</v>
      </c>
    </row>
    <row r="11">
      <c r="A11" s="50" t="s">
        <v>435</v>
      </c>
      <c r="B11" s="50">
        <f>COUNTIFS('Master Leads'!$A$6:$A$495,"&lt;&gt;",'Master Leads'!$N$6:$N$495,$A11)</f>
        <v>0</v>
      </c>
      <c r="C11" s="50">
        <f>COUNTIFS('Master Leads'!$A$6:$A$495,"&lt;&gt;",'Master Leads'!$N$6:$N$495,$A11,'Master Leads'!$AG$6:$AG$495,"Yes")</f>
        <v>0</v>
      </c>
      <c r="D11" s="50">
        <f>COUNTIFS('Master Leads'!$A$6:$A$495,"&lt;&gt;",'Master Leads'!$N$6:$N$495,$A11,'Master Leads'!$Q$6:$Q$495,"Converted")</f>
        <v>0</v>
      </c>
      <c r="E11" s="84">
        <f t="shared" si="1"/>
        <v>0</v>
      </c>
      <c r="F11" s="85">
        <f>SUMIFS('Master Leads'!$Y$6:$Y$495,'Master Leads'!$A$6:$A$495,"&lt;&gt;",'Master Leads'!$N$6:$N$495,$A11,'Master Leads'!$AG$6:$AG$495,"Yes")</f>
        <v>0</v>
      </c>
      <c r="G11" s="85">
        <f>SUMIFS('Master Leads'!$AA$6:$AA$495,'Master Leads'!$A$6:$A$495,"&lt;&gt;",'Master Leads'!$N$6:$N$495,$A11,'Master Leads'!$AG$6:$AG$495,"Yes")</f>
        <v>0</v>
      </c>
      <c r="H11" s="50">
        <f>COUNTIFS('Master Leads'!$A$6:$A$495,"&lt;&gt;",'Master Leads'!$N$6:$N$495,$A11,'Master Leads'!$P$6:$P$495,"Hot")</f>
        <v>0</v>
      </c>
      <c r="I11" s="50">
        <f>COUNTIFS('Master Leads'!$A$6:$A$495,"&lt;&gt;",'Master Leads'!$N$6:$N$495,$A11,'Master Leads'!$I$6:$I$495,"India")</f>
        <v>0</v>
      </c>
      <c r="J11" s="50">
        <f>COUNTIFS('Master Leads'!$A$6:$A$495,"&lt;&gt;",'Master Leads'!$N$6:$N$495,$A11,'Master Leads'!$I$6:$I$495,"Foreign")</f>
        <v>0</v>
      </c>
      <c r="K11" s="50">
        <f>COUNTIFS('Master Leads'!$A$6:$A$495,"&lt;&gt;",'Master Leads'!$N$6:$N$495,$A11,'Master Leads'!$U$6:$U$495,"Overdue")</f>
        <v>0</v>
      </c>
    </row>
    <row r="12">
      <c r="A12" s="50" t="s">
        <v>94</v>
      </c>
      <c r="B12" s="50">
        <f>COUNTIFS('Master Leads'!$A$6:$A$495,"&lt;&gt;",'Master Leads'!$N$6:$N$495,$A12)</f>
        <v>82</v>
      </c>
      <c r="C12" s="50">
        <f>COUNTIFS('Master Leads'!$A$6:$A$495,"&lt;&gt;",'Master Leads'!$N$6:$N$495,$A12,'Master Leads'!$AG$6:$AG$495,"Yes")</f>
        <v>78</v>
      </c>
      <c r="D12" s="50">
        <f>COUNTIFS('Master Leads'!$A$6:$A$495,"&lt;&gt;",'Master Leads'!$N$6:$N$495,$A12,'Master Leads'!$Q$6:$Q$495,"Converted")</f>
        <v>2</v>
      </c>
      <c r="E12" s="84">
        <f t="shared" si="1"/>
        <v>0.0243902439</v>
      </c>
      <c r="F12" s="85">
        <f>SUMIFS('Master Leads'!$Y$6:$Y$495,'Master Leads'!$A$6:$A$495,"&lt;&gt;",'Master Leads'!$N$6:$N$495,$A12,'Master Leads'!$AG$6:$AG$495,"Yes")</f>
        <v>0</v>
      </c>
      <c r="G12" s="85">
        <f>SUMIFS('Master Leads'!$AA$6:$AA$495,'Master Leads'!$A$6:$A$495,"&lt;&gt;",'Master Leads'!$N$6:$N$495,$A12,'Master Leads'!$AG$6:$AG$495,"Yes")</f>
        <v>0</v>
      </c>
      <c r="H12" s="50">
        <f>COUNTIFS('Master Leads'!$A$6:$A$495,"&lt;&gt;",'Master Leads'!$N$6:$N$495,$A12,'Master Leads'!$P$6:$P$495,"Hot")</f>
        <v>10</v>
      </c>
      <c r="I12" s="50">
        <f>COUNTIFS('Master Leads'!$A$6:$A$495,"&lt;&gt;",'Master Leads'!$N$6:$N$495,$A12,'Master Leads'!$I$6:$I$495,"India")</f>
        <v>82</v>
      </c>
      <c r="J12" s="50">
        <f>COUNTIFS('Master Leads'!$A$6:$A$495,"&lt;&gt;",'Master Leads'!$N$6:$N$495,$A12,'Master Leads'!$I$6:$I$495,"Foreign")</f>
        <v>0</v>
      </c>
      <c r="K12" s="50">
        <f>COUNTIFS('Master Leads'!$A$6:$A$495,"&lt;&gt;",'Master Leads'!$N$6:$N$495,$A12,'Master Leads'!$U$6:$U$495,"Overdue")</f>
        <v>0</v>
      </c>
    </row>
    <row r="13">
      <c r="A13" s="50" t="s">
        <v>437</v>
      </c>
      <c r="B13" s="50">
        <f>COUNTIFS('Master Leads'!$A$6:$A$495,"&lt;&gt;",'Master Leads'!$N$6:$N$495,$A13)</f>
        <v>0</v>
      </c>
      <c r="C13" s="50">
        <f>COUNTIFS('Master Leads'!$A$6:$A$495,"&lt;&gt;",'Master Leads'!$N$6:$N$495,$A13,'Master Leads'!$AG$6:$AG$495,"Yes")</f>
        <v>0</v>
      </c>
      <c r="D13" s="50">
        <f>COUNTIFS('Master Leads'!$A$6:$A$495,"&lt;&gt;",'Master Leads'!$N$6:$N$495,$A13,'Master Leads'!$Q$6:$Q$495,"Converted")</f>
        <v>0</v>
      </c>
      <c r="E13" s="84">
        <f t="shared" si="1"/>
        <v>0</v>
      </c>
      <c r="F13" s="85">
        <f>SUMIFS('Master Leads'!$Y$6:$Y$495,'Master Leads'!$A$6:$A$495,"&lt;&gt;",'Master Leads'!$N$6:$N$495,$A13,'Master Leads'!$AG$6:$AG$495,"Yes")</f>
        <v>0</v>
      </c>
      <c r="G13" s="85">
        <f>SUMIFS('Master Leads'!$AA$6:$AA$495,'Master Leads'!$A$6:$A$495,"&lt;&gt;",'Master Leads'!$N$6:$N$495,$A13,'Master Leads'!$AG$6:$AG$495,"Yes")</f>
        <v>0</v>
      </c>
      <c r="H13" s="50">
        <f>COUNTIFS('Master Leads'!$A$6:$A$495,"&lt;&gt;",'Master Leads'!$N$6:$N$495,$A13,'Master Leads'!$P$6:$P$495,"Hot")</f>
        <v>0</v>
      </c>
      <c r="I13" s="50">
        <f>COUNTIFS('Master Leads'!$A$6:$A$495,"&lt;&gt;",'Master Leads'!$N$6:$N$495,$A13,'Master Leads'!$I$6:$I$495,"India")</f>
        <v>0</v>
      </c>
      <c r="J13" s="50">
        <f>COUNTIFS('Master Leads'!$A$6:$A$495,"&lt;&gt;",'Master Leads'!$N$6:$N$495,$A13,'Master Leads'!$I$6:$I$495,"Foreign")</f>
        <v>0</v>
      </c>
      <c r="K13" s="50">
        <f>COUNTIFS('Master Leads'!$A$6:$A$495,"&lt;&gt;",'Master Leads'!$N$6:$N$495,$A13,'Master Leads'!$U$6:$U$495,"Overdue")</f>
        <v>0</v>
      </c>
    </row>
    <row r="14">
      <c r="A14" s="50" t="s">
        <v>116</v>
      </c>
      <c r="B14" s="50">
        <f>COUNTIFS('Master Leads'!$A$6:$A$495,"&lt;&gt;",'Master Leads'!$N$6:$N$495,$A14)</f>
        <v>1</v>
      </c>
      <c r="C14" s="50">
        <f>COUNTIFS('Master Leads'!$A$6:$A$495,"&lt;&gt;",'Master Leads'!$N$6:$N$495,$A14,'Master Leads'!$AG$6:$AG$495,"Yes")</f>
        <v>0</v>
      </c>
      <c r="D14" s="50">
        <f>COUNTIFS('Master Leads'!$A$6:$A$495,"&lt;&gt;",'Master Leads'!$N$6:$N$495,$A14,'Master Leads'!$Q$6:$Q$495,"Converted")</f>
        <v>1</v>
      </c>
      <c r="E14" s="84">
        <f t="shared" si="1"/>
        <v>1</v>
      </c>
      <c r="F14" s="85">
        <f>SUMIFS('Master Leads'!$Y$6:$Y$495,'Master Leads'!$A$6:$A$495,"&lt;&gt;",'Master Leads'!$N$6:$N$495,$A14,'Master Leads'!$AG$6:$AG$495,"Yes")</f>
        <v>0</v>
      </c>
      <c r="G14" s="85">
        <f>SUMIFS('Master Leads'!$AA$6:$AA$495,'Master Leads'!$A$6:$A$495,"&lt;&gt;",'Master Leads'!$N$6:$N$495,$A14,'Master Leads'!$AG$6:$AG$495,"Yes")</f>
        <v>0</v>
      </c>
      <c r="H14" s="50">
        <f>COUNTIFS('Master Leads'!$A$6:$A$495,"&lt;&gt;",'Master Leads'!$N$6:$N$495,$A14,'Master Leads'!$P$6:$P$495,"Hot")</f>
        <v>1</v>
      </c>
      <c r="I14" s="50">
        <f>COUNTIFS('Master Leads'!$A$6:$A$495,"&lt;&gt;",'Master Leads'!$N$6:$N$495,$A14,'Master Leads'!$I$6:$I$495,"India")</f>
        <v>1</v>
      </c>
      <c r="J14" s="50">
        <f>COUNTIFS('Master Leads'!$A$6:$A$495,"&lt;&gt;",'Master Leads'!$N$6:$N$495,$A14,'Master Leads'!$I$6:$I$495,"Foreign")</f>
        <v>0</v>
      </c>
      <c r="K14" s="50">
        <f>COUNTIFS('Master Leads'!$A$6:$A$495,"&lt;&gt;",'Master Leads'!$N$6:$N$495,$A14,'Master Leads'!$U$6:$U$495,"Overdue")</f>
        <v>0</v>
      </c>
    </row>
    <row r="15">
      <c r="A15" s="50" t="s">
        <v>122</v>
      </c>
      <c r="B15" s="50">
        <f>COUNTIFS('Master Leads'!$A$6:$A$495,"&lt;&gt;",'Master Leads'!$N$6:$N$495,$A15)</f>
        <v>29</v>
      </c>
      <c r="C15" s="50">
        <f>COUNTIFS('Master Leads'!$A$6:$A$495,"&lt;&gt;",'Master Leads'!$N$6:$N$495,$A15,'Master Leads'!$AG$6:$AG$495,"Yes")</f>
        <v>25</v>
      </c>
      <c r="D15" s="50">
        <f>COUNTIFS('Master Leads'!$A$6:$A$495,"&lt;&gt;",'Master Leads'!$N$6:$N$495,$A15,'Master Leads'!$Q$6:$Q$495,"Converted")</f>
        <v>2</v>
      </c>
      <c r="E15" s="84">
        <f t="shared" si="1"/>
        <v>0.06896551724</v>
      </c>
      <c r="F15" s="85">
        <f>SUMIFS('Master Leads'!$Y$6:$Y$495,'Master Leads'!$A$6:$A$495,"&lt;&gt;",'Master Leads'!$N$6:$N$495,$A15,'Master Leads'!$AG$6:$AG$495,"Yes")</f>
        <v>0</v>
      </c>
      <c r="G15" s="85">
        <f>SUMIFS('Master Leads'!$AA$6:$AA$495,'Master Leads'!$A$6:$A$495,"&lt;&gt;",'Master Leads'!$N$6:$N$495,$A15,'Master Leads'!$AG$6:$AG$495,"Yes")</f>
        <v>0</v>
      </c>
      <c r="H15" s="50">
        <f>COUNTIFS('Master Leads'!$A$6:$A$495,"&lt;&gt;",'Master Leads'!$N$6:$N$495,$A15,'Master Leads'!$P$6:$P$495,"Hot")</f>
        <v>6</v>
      </c>
      <c r="I15" s="50">
        <f>COUNTIFS('Master Leads'!$A$6:$A$495,"&lt;&gt;",'Master Leads'!$N$6:$N$495,$A15,'Master Leads'!$I$6:$I$495,"India")</f>
        <v>21</v>
      </c>
      <c r="J15" s="50">
        <f>COUNTIFS('Master Leads'!$A$6:$A$495,"&lt;&gt;",'Master Leads'!$N$6:$N$495,$A15,'Master Leads'!$I$6:$I$495,"Foreign")</f>
        <v>8</v>
      </c>
      <c r="K15" s="50">
        <f>COUNTIFS('Master Leads'!$A$6:$A$495,"&lt;&gt;",'Master Leads'!$N$6:$N$495,$A15,'Master Leads'!$U$6:$U$495,"Overdue")</f>
        <v>0</v>
      </c>
    </row>
    <row r="16">
      <c r="A16" s="50" t="s">
        <v>441</v>
      </c>
      <c r="B16" s="50">
        <f>COUNTIFS('Master Leads'!$A$6:$A$495,"&lt;&gt;",'Master Leads'!$N$6:$N$495,$A16)</f>
        <v>0</v>
      </c>
      <c r="C16" s="50">
        <f>COUNTIFS('Master Leads'!$A$6:$A$495,"&lt;&gt;",'Master Leads'!$N$6:$N$495,$A16,'Master Leads'!$AG$6:$AG$495,"Yes")</f>
        <v>0</v>
      </c>
      <c r="D16" s="50">
        <f>COUNTIFS('Master Leads'!$A$6:$A$495,"&lt;&gt;",'Master Leads'!$N$6:$N$495,$A16,'Master Leads'!$Q$6:$Q$495,"Converted")</f>
        <v>0</v>
      </c>
      <c r="E16" s="84">
        <f t="shared" si="1"/>
        <v>0</v>
      </c>
      <c r="F16" s="85">
        <f>SUMIFS('Master Leads'!$Y$6:$Y$495,'Master Leads'!$A$6:$A$495,"&lt;&gt;",'Master Leads'!$N$6:$N$495,$A16,'Master Leads'!$AG$6:$AG$495,"Yes")</f>
        <v>0</v>
      </c>
      <c r="G16" s="85">
        <f>SUMIFS('Master Leads'!$AA$6:$AA$495,'Master Leads'!$A$6:$A$495,"&lt;&gt;",'Master Leads'!$N$6:$N$495,$A16,'Master Leads'!$AG$6:$AG$495,"Yes")</f>
        <v>0</v>
      </c>
      <c r="H16" s="50">
        <f>COUNTIFS('Master Leads'!$A$6:$A$495,"&lt;&gt;",'Master Leads'!$N$6:$N$495,$A16,'Master Leads'!$P$6:$P$495,"Hot")</f>
        <v>0</v>
      </c>
      <c r="I16" s="50">
        <f>COUNTIFS('Master Leads'!$A$6:$A$495,"&lt;&gt;",'Master Leads'!$N$6:$N$495,$A16,'Master Leads'!$I$6:$I$495,"India")</f>
        <v>0</v>
      </c>
      <c r="J16" s="50">
        <f>COUNTIFS('Master Leads'!$A$6:$A$495,"&lt;&gt;",'Master Leads'!$N$6:$N$495,$A16,'Master Leads'!$I$6:$I$495,"Foreign")</f>
        <v>0</v>
      </c>
      <c r="K16" s="50">
        <f>COUNTIFS('Master Leads'!$A$6:$A$495,"&lt;&gt;",'Master Leads'!$N$6:$N$495,$A16,'Master Leads'!$U$6:$U$495,"Overdue")</f>
        <v>0</v>
      </c>
    </row>
    <row r="17">
      <c r="A17" s="50" t="s">
        <v>442</v>
      </c>
      <c r="B17" s="50">
        <f>COUNTIFS('Master Leads'!$A$6:$A$495,"&lt;&gt;",'Master Leads'!$N$6:$N$495,$A17)</f>
        <v>0</v>
      </c>
      <c r="C17" s="50">
        <f>COUNTIFS('Master Leads'!$A$6:$A$495,"&lt;&gt;",'Master Leads'!$N$6:$N$495,$A17,'Master Leads'!$AG$6:$AG$495,"Yes")</f>
        <v>0</v>
      </c>
      <c r="D17" s="50">
        <f>COUNTIFS('Master Leads'!$A$6:$A$495,"&lt;&gt;",'Master Leads'!$N$6:$N$495,$A17,'Master Leads'!$Q$6:$Q$495,"Converted")</f>
        <v>0</v>
      </c>
      <c r="E17" s="84">
        <f t="shared" si="1"/>
        <v>0</v>
      </c>
      <c r="F17" s="85">
        <f>SUMIFS('Master Leads'!$Y$6:$Y$495,'Master Leads'!$A$6:$A$495,"&lt;&gt;",'Master Leads'!$N$6:$N$495,$A17,'Master Leads'!$AG$6:$AG$495,"Yes")</f>
        <v>0</v>
      </c>
      <c r="G17" s="85">
        <f>SUMIFS('Master Leads'!$AA$6:$AA$495,'Master Leads'!$A$6:$A$495,"&lt;&gt;",'Master Leads'!$N$6:$N$495,$A17,'Master Leads'!$AG$6:$AG$495,"Yes")</f>
        <v>0</v>
      </c>
      <c r="H17" s="50">
        <f>COUNTIFS('Master Leads'!$A$6:$A$495,"&lt;&gt;",'Master Leads'!$N$6:$N$495,$A17,'Master Leads'!$P$6:$P$495,"Hot")</f>
        <v>0</v>
      </c>
      <c r="I17" s="50">
        <f>COUNTIFS('Master Leads'!$A$6:$A$495,"&lt;&gt;",'Master Leads'!$N$6:$N$495,$A17,'Master Leads'!$I$6:$I$495,"India")</f>
        <v>0</v>
      </c>
      <c r="J17" s="50">
        <f>COUNTIFS('Master Leads'!$A$6:$A$495,"&lt;&gt;",'Master Leads'!$N$6:$N$495,$A17,'Master Leads'!$I$6:$I$495,"Foreign")</f>
        <v>0</v>
      </c>
      <c r="K17" s="50">
        <f>COUNTIFS('Master Leads'!$A$6:$A$495,"&lt;&gt;",'Master Leads'!$N$6:$N$495,$A17,'Master Leads'!$U$6:$U$495,"Overdue")</f>
        <v>0</v>
      </c>
    </row>
    <row r="18">
      <c r="A18" s="50" t="s">
        <v>153</v>
      </c>
      <c r="B18" s="50">
        <f>COUNTIFS('Master Leads'!$A$6:$A$495,"&lt;&gt;",'Master Leads'!$N$6:$N$495,$A18)</f>
        <v>1</v>
      </c>
      <c r="C18" s="50">
        <f>COUNTIFS('Master Leads'!$A$6:$A$495,"&lt;&gt;",'Master Leads'!$N$6:$N$495,$A18,'Master Leads'!$AG$6:$AG$495,"Yes")</f>
        <v>1</v>
      </c>
      <c r="D18" s="50">
        <f>COUNTIFS('Master Leads'!$A$6:$A$495,"&lt;&gt;",'Master Leads'!$N$6:$N$495,$A18,'Master Leads'!$Q$6:$Q$495,"Converted")</f>
        <v>0</v>
      </c>
      <c r="E18" s="84">
        <f t="shared" si="1"/>
        <v>0</v>
      </c>
      <c r="F18" s="85">
        <f>SUMIFS('Master Leads'!$Y$6:$Y$495,'Master Leads'!$A$6:$A$495,"&lt;&gt;",'Master Leads'!$N$6:$N$495,$A18,'Master Leads'!$AG$6:$AG$495,"Yes")</f>
        <v>0</v>
      </c>
      <c r="G18" s="85">
        <f>SUMIFS('Master Leads'!$AA$6:$AA$495,'Master Leads'!$A$6:$A$495,"&lt;&gt;",'Master Leads'!$N$6:$N$495,$A18,'Master Leads'!$AG$6:$AG$495,"Yes")</f>
        <v>0</v>
      </c>
      <c r="H18" s="50">
        <f>COUNTIFS('Master Leads'!$A$6:$A$495,"&lt;&gt;",'Master Leads'!$N$6:$N$495,$A18,'Master Leads'!$P$6:$P$495,"Hot")</f>
        <v>1</v>
      </c>
      <c r="I18" s="50">
        <f>COUNTIFS('Master Leads'!$A$6:$A$495,"&lt;&gt;",'Master Leads'!$N$6:$N$495,$A18,'Master Leads'!$I$6:$I$495,"India")</f>
        <v>1</v>
      </c>
      <c r="J18" s="50">
        <f>COUNTIFS('Master Leads'!$A$6:$A$495,"&lt;&gt;",'Master Leads'!$N$6:$N$495,$A18,'Master Leads'!$I$6:$I$495,"Foreign")</f>
        <v>0</v>
      </c>
      <c r="K18" s="50">
        <f>COUNTIFS('Master Leads'!$A$6:$A$495,"&lt;&gt;",'Master Leads'!$N$6:$N$495,$A18,'Master Leads'!$U$6:$U$495,"Overdue")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13"/>
    <col customWidth="1" min="2" max="2" width="11.25"/>
    <col customWidth="1" min="3" max="3" width="16.88"/>
    <col customWidth="1" min="4" max="4" width="7.5"/>
    <col customWidth="1" min="5" max="5" width="16.88"/>
    <col customWidth="1" min="6" max="6" width="7.5"/>
    <col customWidth="1" min="7" max="7" width="11.25"/>
    <col customWidth="1" min="8" max="8" width="7.5"/>
    <col customWidth="1" min="9" max="9" width="12.5"/>
    <col customWidth="1" min="10" max="10" width="7.5"/>
    <col customWidth="1" min="11" max="11" width="20.0"/>
    <col customWidth="1" min="12" max="12" width="7.5"/>
    <col customWidth="1" min="13" max="13" width="18.75"/>
    <col customWidth="1" min="14" max="14" width="7.5"/>
    <col customWidth="1" min="15" max="15" width="16.88"/>
    <col customWidth="1" min="16" max="16" width="7.5"/>
    <col customWidth="1" min="17" max="17" width="14.38"/>
    <col customWidth="1" min="18" max="18" width="7.5"/>
    <col customWidth="1" min="19" max="19" width="20.0"/>
    <col customWidth="1" min="20" max="26" width="8.63"/>
  </cols>
  <sheetData>
    <row r="1" ht="27.0" customHeight="1">
      <c r="A1" s="1" t="s">
        <v>428</v>
      </c>
    </row>
    <row r="2" ht="25.5" customHeight="1">
      <c r="A2" s="2" t="s">
        <v>429</v>
      </c>
    </row>
    <row r="4">
      <c r="A4" s="86" t="s">
        <v>23</v>
      </c>
      <c r="C4" s="86" t="s">
        <v>29</v>
      </c>
      <c r="E4" s="86" t="s">
        <v>26</v>
      </c>
      <c r="G4" s="86" t="s">
        <v>58</v>
      </c>
      <c r="I4" s="86" t="s">
        <v>59</v>
      </c>
      <c r="K4" s="86" t="s">
        <v>60</v>
      </c>
      <c r="M4" s="86" t="s">
        <v>61</v>
      </c>
      <c r="O4" s="86" t="s">
        <v>63</v>
      </c>
      <c r="Q4" s="86" t="s">
        <v>50</v>
      </c>
    </row>
    <row r="5">
      <c r="A5" s="87" t="s">
        <v>117</v>
      </c>
      <c r="C5" s="87" t="s">
        <v>181</v>
      </c>
      <c r="E5" s="87" t="s">
        <v>182</v>
      </c>
      <c r="G5" s="87" t="s">
        <v>89</v>
      </c>
      <c r="I5" s="87" t="s">
        <v>90</v>
      </c>
      <c r="K5" s="87" t="s">
        <v>91</v>
      </c>
      <c r="M5" s="87" t="s">
        <v>92</v>
      </c>
      <c r="O5" s="87" t="s">
        <v>163</v>
      </c>
      <c r="Q5" s="87" t="s">
        <v>430</v>
      </c>
    </row>
    <row r="6">
      <c r="A6" s="88" t="s">
        <v>96</v>
      </c>
      <c r="C6" s="88" t="s">
        <v>173</v>
      </c>
      <c r="E6" s="88" t="s">
        <v>124</v>
      </c>
      <c r="G6" s="89" t="s">
        <v>415</v>
      </c>
      <c r="I6" s="89" t="s">
        <v>385</v>
      </c>
      <c r="K6" s="88" t="s">
        <v>115</v>
      </c>
      <c r="M6" s="88" t="s">
        <v>281</v>
      </c>
      <c r="O6" s="88" t="s">
        <v>417</v>
      </c>
      <c r="Q6" s="88" t="s">
        <v>431</v>
      </c>
    </row>
    <row r="7">
      <c r="A7" s="89" t="s">
        <v>136</v>
      </c>
      <c r="C7" s="88" t="s">
        <v>168</v>
      </c>
      <c r="E7" s="88" t="s">
        <v>432</v>
      </c>
      <c r="K7" s="88" t="s">
        <v>129</v>
      </c>
      <c r="M7" s="88" t="s">
        <v>141</v>
      </c>
      <c r="O7" s="88" t="s">
        <v>422</v>
      </c>
      <c r="Q7" s="88" t="s">
        <v>433</v>
      </c>
    </row>
    <row r="8">
      <c r="C8" s="88" t="s">
        <v>164</v>
      </c>
      <c r="E8" s="88" t="s">
        <v>177</v>
      </c>
      <c r="K8" s="88" t="s">
        <v>161</v>
      </c>
      <c r="M8" s="88" t="s">
        <v>115</v>
      </c>
      <c r="O8" s="88" t="s">
        <v>427</v>
      </c>
      <c r="Q8" s="88" t="s">
        <v>434</v>
      </c>
    </row>
    <row r="9">
      <c r="C9" s="88" t="s">
        <v>123</v>
      </c>
      <c r="E9" s="88" t="s">
        <v>148</v>
      </c>
      <c r="K9" s="88" t="s">
        <v>384</v>
      </c>
      <c r="M9" s="88" t="s">
        <v>130</v>
      </c>
      <c r="O9" s="88" t="s">
        <v>55</v>
      </c>
      <c r="Q9" s="89" t="s">
        <v>153</v>
      </c>
    </row>
    <row r="10">
      <c r="C10" s="88" t="s">
        <v>147</v>
      </c>
      <c r="E10" s="89" t="s">
        <v>97</v>
      </c>
      <c r="K10" s="88" t="s">
        <v>389</v>
      </c>
      <c r="M10" s="88" t="s">
        <v>152</v>
      </c>
      <c r="O10" s="88" t="s">
        <v>435</v>
      </c>
    </row>
    <row r="11">
      <c r="C11" s="88" t="s">
        <v>32</v>
      </c>
      <c r="K11" s="88" t="s">
        <v>394</v>
      </c>
      <c r="M11" s="88" t="s">
        <v>162</v>
      </c>
      <c r="O11" s="88" t="s">
        <v>94</v>
      </c>
    </row>
    <row r="12">
      <c r="C12" s="88" t="s">
        <v>421</v>
      </c>
      <c r="K12" s="88" t="s">
        <v>145</v>
      </c>
      <c r="M12" s="88" t="s">
        <v>436</v>
      </c>
      <c r="O12" s="88" t="s">
        <v>437</v>
      </c>
    </row>
    <row r="13">
      <c r="C13" s="88" t="s">
        <v>137</v>
      </c>
      <c r="K13" s="89" t="s">
        <v>233</v>
      </c>
      <c r="M13" s="88" t="s">
        <v>438</v>
      </c>
      <c r="O13" s="88" t="s">
        <v>116</v>
      </c>
    </row>
    <row r="14">
      <c r="C14" s="89" t="s">
        <v>439</v>
      </c>
      <c r="M14" s="88" t="s">
        <v>440</v>
      </c>
      <c r="O14" s="88" t="s">
        <v>122</v>
      </c>
    </row>
    <row r="15">
      <c r="M15" s="88" t="s">
        <v>146</v>
      </c>
      <c r="O15" s="88" t="s">
        <v>441</v>
      </c>
    </row>
    <row r="16">
      <c r="M16" s="89" t="s">
        <v>153</v>
      </c>
      <c r="O16" s="88" t="s">
        <v>442</v>
      </c>
    </row>
    <row r="17">
      <c r="O17" s="89" t="s">
        <v>153</v>
      </c>
    </row>
    <row r="21" ht="15.75" customHeight="1">
      <c r="A21" s="3" t="s">
        <v>443</v>
      </c>
      <c r="B21" s="4"/>
      <c r="C21" s="4"/>
      <c r="D21" s="4"/>
      <c r="E21" s="4"/>
      <c r="F21" s="5"/>
    </row>
    <row r="22" ht="15.75" customHeight="1">
      <c r="A22" s="3" t="s">
        <v>444</v>
      </c>
      <c r="B22" s="9" t="s">
        <v>445</v>
      </c>
      <c r="D22" s="90" t="s">
        <v>446</v>
      </c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2"/>
    </row>
    <row r="23" ht="15.75" customHeight="1">
      <c r="A23" s="50" t="s">
        <v>181</v>
      </c>
      <c r="B23" s="84">
        <v>0.1</v>
      </c>
      <c r="D23" s="93"/>
      <c r="S23" s="94"/>
    </row>
    <row r="24" ht="15.75" customHeight="1">
      <c r="A24" s="50" t="s">
        <v>173</v>
      </c>
      <c r="B24" s="84">
        <v>0.2</v>
      </c>
      <c r="D24" s="93"/>
      <c r="S24" s="94"/>
    </row>
    <row r="25" ht="15.75" customHeight="1">
      <c r="A25" s="50" t="s">
        <v>168</v>
      </c>
      <c r="B25" s="84">
        <v>0.35</v>
      </c>
      <c r="D25" s="93"/>
      <c r="S25" s="94"/>
    </row>
    <row r="26" ht="15.75" customHeight="1">
      <c r="A26" s="50" t="s">
        <v>164</v>
      </c>
      <c r="B26" s="84">
        <v>0.5</v>
      </c>
      <c r="D26" s="93"/>
      <c r="S26" s="94"/>
    </row>
    <row r="27" ht="15.75" customHeight="1">
      <c r="A27" s="50" t="s">
        <v>123</v>
      </c>
      <c r="B27" s="84">
        <v>0.65</v>
      </c>
      <c r="D27" s="93"/>
      <c r="S27" s="94"/>
    </row>
    <row r="28" ht="15.75" customHeight="1">
      <c r="A28" s="50" t="s">
        <v>147</v>
      </c>
      <c r="B28" s="84">
        <v>0.8</v>
      </c>
      <c r="D28" s="93"/>
      <c r="S28" s="94"/>
    </row>
    <row r="29" ht="15.75" customHeight="1">
      <c r="A29" s="50" t="s">
        <v>32</v>
      </c>
      <c r="B29" s="84">
        <v>1.0</v>
      </c>
      <c r="D29" s="93"/>
      <c r="S29" s="94"/>
    </row>
    <row r="30" ht="15.75" customHeight="1">
      <c r="A30" s="50" t="s">
        <v>421</v>
      </c>
      <c r="B30" s="84">
        <v>0.0</v>
      </c>
      <c r="D30" s="93"/>
      <c r="S30" s="94"/>
    </row>
    <row r="31" ht="15.75" customHeight="1">
      <c r="A31" s="50" t="s">
        <v>137</v>
      </c>
      <c r="B31" s="84">
        <v>0.0</v>
      </c>
      <c r="D31" s="95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S1"/>
    <mergeCell ref="A2:S2"/>
    <mergeCell ref="A21:F21"/>
    <mergeCell ref="D22:S31"/>
  </mergeCells>
  <printOptions/>
  <pageMargins bottom="0.75" footer="0.0" header="0.0" left="0.7" right="0.7" top="0.75"/>
  <pageSetup orientation="landscape"/>
  <drawing r:id="rId1"/>
</worksheet>
</file>