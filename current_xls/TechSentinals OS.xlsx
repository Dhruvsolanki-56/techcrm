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Income" sheetId="2" r:id="rId6"/>
    <sheet state="visible" name="Bank Transactions" sheetId="3" r:id="rId7"/>
    <sheet state="visible" name="Expenses" sheetId="4" r:id="rId8"/>
    <sheet state="visible" name="Clients" sheetId="5" r:id="rId9"/>
    <sheet state="visible" name="Projects" sheetId="6" r:id="rId10"/>
    <sheet state="visible" name="Assets" sheetId="7" r:id="rId11"/>
    <sheet state="visible" name="Subscriptions" sheetId="8" r:id="rId12"/>
    <sheet state="visible" name="Grants" sheetId="9" r:id="rId13"/>
    <sheet state="visible" name="Documents" sheetId="10" r:id="rId14"/>
    <sheet state="visible" name="Analytics" sheetId="11" r:id="rId15"/>
    <sheet state="visible" name="Settings" sheetId="12" r:id="rId16"/>
  </sheets>
  <definedNames/>
  <calcPr/>
</workbook>
</file>

<file path=xl/sharedStrings.xml><?xml version="1.0" encoding="utf-8"?>
<sst xmlns="http://schemas.openxmlformats.org/spreadsheetml/2006/main" count="509" uniqueCount="209">
  <si>
    <t>Date</t>
  </si>
  <si>
    <t>Description</t>
  </si>
  <si>
    <t>Reference No</t>
  </si>
  <si>
    <t>Withdrawal</t>
  </si>
  <si>
    <t>Deposit</t>
  </si>
  <si>
    <t>Balance</t>
  </si>
  <si>
    <t>Type</t>
  </si>
  <si>
    <t>Matched Status</t>
  </si>
  <si>
    <t>Match Note</t>
  </si>
  <si>
    <t>Expense ID</t>
  </si>
  <si>
    <t>Invoice ID</t>
  </si>
  <si>
    <t>Vendor</t>
  </si>
  <si>
    <t>Client</t>
  </si>
  <si>
    <t>Category</t>
  </si>
  <si>
    <t>Amount</t>
  </si>
  <si>
    <t>Project</t>
  </si>
  <si>
    <t>Payment Mode</t>
  </si>
  <si>
    <t>Status</t>
  </si>
  <si>
    <t>Receipt Link</t>
  </si>
  <si>
    <t>Notes</t>
  </si>
  <si>
    <t>14/12/2025</t>
  </si>
  <si>
    <t>Marketing</t>
  </si>
  <si>
    <t>TechSentinals</t>
  </si>
  <si>
    <t>Debit Card</t>
  </si>
  <si>
    <t>Completed</t>
  </si>
  <si>
    <t>Other</t>
  </si>
  <si>
    <t>Bank Transfer</t>
  </si>
  <si>
    <t>Combine Amount By All 4</t>
  </si>
  <si>
    <t>Bank Charges</t>
  </si>
  <si>
    <t>TechSentinals Founder OS</t>
  </si>
  <si>
    <t>CURRENT BALANCE</t>
  </si>
  <si>
    <t>TOTAL REVENUE</t>
  </si>
  <si>
    <t>TOTAL EXPENSES</t>
  </si>
  <si>
    <t>RUNWAY (MONTHS)</t>
  </si>
  <si>
    <t>GRANTS OVERVIEW</t>
  </si>
  <si>
    <t>Vansh Puts Amount to check</t>
  </si>
  <si>
    <t>18/02/2026</t>
  </si>
  <si>
    <t>27/01/2026</t>
  </si>
  <si>
    <t>For Monthly Recharge</t>
  </si>
  <si>
    <t>Hackhathon Money</t>
  </si>
  <si>
    <t>Total Requested</t>
  </si>
  <si>
    <t>27/03/2026</t>
  </si>
  <si>
    <t>Total Received</t>
  </si>
  <si>
    <t>Inventa Systems</t>
  </si>
  <si>
    <t>Invents Webiste</t>
  </si>
  <si>
    <t>Pending Amount</t>
  </si>
  <si>
    <t>Product Sales</t>
  </si>
  <si>
    <t>Grant Money Used</t>
  </si>
  <si>
    <t>Inventa Half Payment</t>
  </si>
  <si>
    <t>19/02/2026</t>
  </si>
  <si>
    <t>Marketing for hospex</t>
  </si>
  <si>
    <t>15/03/2026</t>
  </si>
  <si>
    <t>RotoTech Systems</t>
  </si>
  <si>
    <t>Recharge</t>
  </si>
  <si>
    <t>Rototech custom devp</t>
  </si>
  <si>
    <t>28/03/2026</t>
  </si>
  <si>
    <t>Rototech half money</t>
  </si>
  <si>
    <t>13/05/2026</t>
  </si>
  <si>
    <t>Data Manthan money</t>
  </si>
  <si>
    <t>30/03/2026</t>
  </si>
  <si>
    <t>Paid to Vansh</t>
  </si>
  <si>
    <t>Invents Other Half</t>
  </si>
  <si>
    <t>Rototech other some money</t>
  </si>
  <si>
    <t>31/07/2026</t>
  </si>
  <si>
    <t>15/04/2026</t>
  </si>
  <si>
    <t>Rototech phase 1 completed</t>
  </si>
  <si>
    <t>26/04/2026</t>
  </si>
  <si>
    <t>RotoTech Phase 2</t>
  </si>
  <si>
    <t>Rototech custom phase 2</t>
  </si>
  <si>
    <t>recharge</t>
  </si>
  <si>
    <t>Rototech phase 2 advance.</t>
  </si>
  <si>
    <t>Software/SaaS</t>
  </si>
  <si>
    <t>Claude Subscription</t>
  </si>
  <si>
    <t>18/08/2026</t>
  </si>
  <si>
    <t>25/05/2026</t>
  </si>
  <si>
    <t>vansh puts back banner</t>
  </si>
  <si>
    <t>Hardware</t>
  </si>
  <si>
    <t>Laptop repair</t>
  </si>
  <si>
    <t>Strikar lifescience llp</t>
  </si>
  <si>
    <t>strikar lifescience</t>
  </si>
  <si>
    <t>strikar lifescience 1st trench</t>
  </si>
  <si>
    <t>22/09/2026</t>
  </si>
  <si>
    <t>Client ID</t>
  </si>
  <si>
    <t>13/06/2026</t>
  </si>
  <si>
    <t>Vishalwin foundation</t>
  </si>
  <si>
    <t>Client Name</t>
  </si>
  <si>
    <t>Contact Person</t>
  </si>
  <si>
    <t>Email</t>
  </si>
  <si>
    <t>Phone</t>
  </si>
  <si>
    <t>vishalwin</t>
  </si>
  <si>
    <t>Total Billed</t>
  </si>
  <si>
    <t>Vishalwin foundation 1st trench</t>
  </si>
  <si>
    <t>1,50,000.00</t>
  </si>
  <si>
    <t>27/06/2026</t>
  </si>
  <si>
    <t>Active</t>
  </si>
  <si>
    <t>bank Charges</t>
  </si>
  <si>
    <t>13/07/2026</t>
  </si>
  <si>
    <t>Grant</t>
  </si>
  <si>
    <t>Travel</t>
  </si>
  <si>
    <t xml:space="preserve">Office </t>
  </si>
  <si>
    <t>17/07/2026</t>
  </si>
  <si>
    <t>18/07/2026</t>
  </si>
  <si>
    <t>Server</t>
  </si>
  <si>
    <t>Domain</t>
  </si>
  <si>
    <t>26/07/2026</t>
  </si>
  <si>
    <t>28/07/2026</t>
  </si>
  <si>
    <t>29/07/2026</t>
  </si>
  <si>
    <t>standee</t>
  </si>
  <si>
    <t>Office/Rent</t>
  </si>
  <si>
    <t>e stamp</t>
  </si>
  <si>
    <t>03/08.2026</t>
  </si>
  <si>
    <t>Payroll</t>
  </si>
  <si>
    <t>Jenil amount</t>
  </si>
  <si>
    <t xml:space="preserve">ssd vansh </t>
  </si>
  <si>
    <t>Utility Patent</t>
  </si>
  <si>
    <t>techsentinals domain retain</t>
  </si>
  <si>
    <t>to ashwin for ssd</t>
  </si>
  <si>
    <t>ssd to ashwin</t>
  </si>
  <si>
    <t>claude Subscription</t>
  </si>
  <si>
    <t>17/08/2026</t>
  </si>
  <si>
    <t>banner + printouts.</t>
  </si>
  <si>
    <t>19/08/2026</t>
  </si>
  <si>
    <t>travel</t>
  </si>
  <si>
    <t>24/08/2026</t>
  </si>
  <si>
    <t>Airtel phone bill</t>
  </si>
  <si>
    <t>27/08/2026</t>
  </si>
  <si>
    <t>Google play store</t>
  </si>
  <si>
    <t>13/09/2026</t>
  </si>
  <si>
    <t>18/09/2026</t>
  </si>
  <si>
    <t>26/09/2026</t>
  </si>
  <si>
    <t>29/09/2026</t>
  </si>
  <si>
    <t>CA Sign</t>
  </si>
  <si>
    <t xml:space="preserve">Notery &amp; stamp </t>
  </si>
  <si>
    <t>Vansh Travel expenses</t>
  </si>
  <si>
    <t>Incubation fees</t>
  </si>
  <si>
    <t>Project ID</t>
  </si>
  <si>
    <t>Project Name</t>
  </si>
  <si>
    <t>Start Date</t>
  </si>
  <si>
    <t>End Date</t>
  </si>
  <si>
    <t>Budget</t>
  </si>
  <si>
    <t>Total Expenses</t>
  </si>
  <si>
    <t>Profitability</t>
  </si>
  <si>
    <t>Project Manager</t>
  </si>
  <si>
    <t>Ashwin Solanki</t>
  </si>
  <si>
    <t>1,50,000</t>
  </si>
  <si>
    <t>Asset ID</t>
  </si>
  <si>
    <t>Asset Type</t>
  </si>
  <si>
    <t>Make/Model</t>
  </si>
  <si>
    <t>Serial Number</t>
  </si>
  <si>
    <t>Purchase Date</t>
  </si>
  <si>
    <t>Purchase Value</t>
  </si>
  <si>
    <t>Current Value</t>
  </si>
  <si>
    <t>Assigned To</t>
  </si>
  <si>
    <t>Subscription ID</t>
  </si>
  <si>
    <t>Software/Service</t>
  </si>
  <si>
    <t>Monthly Cost</t>
  </si>
  <si>
    <t>Annual Cost</t>
  </si>
  <si>
    <t>Renewal Date</t>
  </si>
  <si>
    <t>Owner</t>
  </si>
  <si>
    <t>12th of every month</t>
  </si>
  <si>
    <t>17th of every month</t>
  </si>
  <si>
    <t>Chatgpt Plus</t>
  </si>
  <si>
    <t>6th of every month</t>
  </si>
  <si>
    <t>Vansh Balyan</t>
  </si>
  <si>
    <t>Grant ID</t>
  </si>
  <si>
    <t>Grant Name</t>
  </si>
  <si>
    <t>Funder</t>
  </si>
  <si>
    <t>Application Date</t>
  </si>
  <si>
    <t>Amount Requested</t>
  </si>
  <si>
    <t>Amount Received</t>
  </si>
  <si>
    <t>Next Reporting Date</t>
  </si>
  <si>
    <t>SSIP</t>
  </si>
  <si>
    <t>LEAF GLS</t>
  </si>
  <si>
    <t>Disbursed</t>
  </si>
  <si>
    <t>Document ID</t>
  </si>
  <si>
    <t>Document Name</t>
  </si>
  <si>
    <t>Upload Date</t>
  </si>
  <si>
    <t>Expiry Date</t>
  </si>
  <si>
    <t>Link/Location</t>
  </si>
  <si>
    <t>Expense Category</t>
  </si>
  <si>
    <t>Total Amount</t>
  </si>
  <si>
    <t>Total Revenue</t>
  </si>
  <si>
    <t>Income Categories</t>
  </si>
  <si>
    <t>Expense Categories</t>
  </si>
  <si>
    <t>Statuses</t>
  </si>
  <si>
    <t>Payment Modes</t>
  </si>
  <si>
    <t>Team Members</t>
  </si>
  <si>
    <t>Grant Status</t>
  </si>
  <si>
    <t>Consulting</t>
  </si>
  <si>
    <t>Applied</t>
  </si>
  <si>
    <t>Credit Card</t>
  </si>
  <si>
    <t>Approved</t>
  </si>
  <si>
    <t>Retainer</t>
  </si>
  <si>
    <t>On Hold</t>
  </si>
  <si>
    <t>Dhruv Solanki</t>
  </si>
  <si>
    <t>Cancelled</t>
  </si>
  <si>
    <t>UPI</t>
  </si>
  <si>
    <t>Aastha Sangtani</t>
  </si>
  <si>
    <t>Closed</t>
  </si>
  <si>
    <t>Investment</t>
  </si>
  <si>
    <t>Pending</t>
  </si>
  <si>
    <t>Cash</t>
  </si>
  <si>
    <t>Rejected</t>
  </si>
  <si>
    <t>Legal &amp; Admin</t>
  </si>
  <si>
    <t>At Risk</t>
  </si>
  <si>
    <t>Stripe</t>
  </si>
  <si>
    <t/>
  </si>
  <si>
    <t>PayPal</t>
  </si>
  <si>
    <t>Hosting/Cloud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</si>
</sst>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&quot;₹&quot;#,##0.00"/>
    <numFmt numFmtId="165" formatCode="mm/dd/yyyy"/>
    <numFmt numFmtId="166" formatCode="&quot;₹&quot;#,##0"/>
    <numFmt numFmtId="167" formatCode="0.0"/>
    <numFmt numFmtId="168" formatCode="mm-dd-yyyy"/>
    <numFmt numFmtId="169" formatCode="mm/dd/yy"/>
  </numFmts>
  <fonts count="10">
    <font>
      <sz val="10.0"/>
      <color rgb="FF000000"/>
      <name val="Arial"/>
      <scheme val="minor"/>
    </font>
    <font>
      <b/>
      <color rgb="FFFFFFFF"/>
      <name val="Montserrat"/>
    </font>
    <font>
      <color theme="1"/>
      <name val="Arial"/>
      <scheme val="minor"/>
    </font>
    <font>
      <b/>
      <color theme="1"/>
      <name val="Montserrat"/>
    </font>
    <font>
      <b/>
      <sz val="24.0"/>
      <color rgb="FFFFFFFF"/>
      <name val="Montserrat"/>
    </font>
    <font>
      <b/>
      <sz val="10.0"/>
      <color rgb="FF666666"/>
      <name val="Montserrat"/>
    </font>
    <font>
      <b/>
      <color theme="1"/>
      <name val="Arial"/>
      <scheme val="minor"/>
    </font>
    <font>
      <b/>
      <sz val="20.0"/>
      <color rgb="FF112142"/>
      <name val="Montserrat"/>
    </font>
    <font>
      <b/>
      <sz val="20.0"/>
      <color rgb="FF117249"/>
      <name val="Montserrat"/>
    </font>
    <font>
      <b/>
      <sz val="20.0"/>
      <color rgb="FFCC0000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112142"/>
        <bgColor rgb="FF112142"/>
      </patternFill>
    </fill>
    <fill>
      <patternFill patternType="solid">
        <fgColor rgb="FFF2F2F2"/>
        <bgColor rgb="FFF2F2F2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Font="1" applyNumberFormat="1"/>
    <xf borderId="0" fillId="0" fontId="2" numFmtId="0" xfId="0" applyFont="1"/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2" fontId="4" numFmtId="0" xfId="0" applyAlignment="1" applyFill="1" applyFont="1">
      <alignment horizontal="center" readingOrder="0" vertical="center"/>
    </xf>
    <xf borderId="0" fillId="3" fontId="5" numFmtId="0" xfId="0" applyAlignment="1" applyFill="1" applyFont="1">
      <alignment horizontal="center" vertical="center"/>
    </xf>
    <xf borderId="0" fillId="0" fontId="6" numFmtId="0" xfId="0" applyFont="1"/>
    <xf borderId="0" fillId="3" fontId="7" numFmtId="166" xfId="0" applyAlignment="1" applyFill="1" applyFont="1" applyNumberFormat="1">
      <alignment horizontal="center" vertical="center"/>
    </xf>
    <xf borderId="0" fillId="3" fontId="8" numFmtId="166" xfId="0" applyAlignment="1" applyFill="1" applyFont="1" applyNumberFormat="1">
      <alignment horizontal="center" vertical="center"/>
    </xf>
    <xf borderId="0" fillId="0" fontId="2" numFmtId="0" xfId="0" applyAlignment="1" applyFont="1">
      <alignment horizontal="right" readingOrder="0" shrinkToFit="0" vertical="center" wrapText="0"/>
    </xf>
    <xf borderId="0" fillId="3" fontId="9" numFmtId="166" xfId="0" applyAlignment="1" applyFill="1" applyFont="1" applyNumberFormat="1">
      <alignment horizontal="center" vertical="center"/>
    </xf>
    <xf borderId="0" fillId="3" fontId="7" numFmtId="167" xfId="0" applyAlignment="1" applyFill="1" applyFont="1" applyNumberFormat="1">
      <alignment horizontal="center" vertical="center"/>
    </xf>
    <xf borderId="0" fillId="0" fontId="2" numFmtId="164" xfId="0" applyFont="1" applyNumberForma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horizontal="right"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5" xfId="0" applyAlignment="1" applyFont="1" applyNumberFormat="1">
      <alignment horizontal="right" readingOrder="0" shrinkToFit="0" vertical="center" wrapText="0"/>
    </xf>
    <xf borderId="0" fillId="0" fontId="2" numFmtId="164" xfId="0" applyAlignment="1" applyFont="1" applyNumberFormat="1">
      <alignment readingOrder="0"/>
    </xf>
    <xf borderId="0" fillId="0" fontId="2" numFmtId="164" xfId="0" applyAlignment="1" applyFont="1" applyNumberFormat="1">
      <alignment horizontal="right" readingOrder="0"/>
    </xf>
    <xf borderId="0" fillId="0" fontId="2" numFmtId="165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168" xfId="0" applyAlignment="1" applyFont="1" applyNumberFormat="1">
      <alignment horizontal="left" readingOrder="0" shrinkToFit="0" vertical="center" wrapText="0"/>
    </xf>
    <xf borderId="0" fillId="0" fontId="2" numFmtId="169" xfId="0" applyAlignment="1" applyFont="1" applyNumberForma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2" fontId="1" numFmtId="0" xfId="0" applyAlignment="1" applyFill="1" applyFont="1">
      <alignment horizontal="center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color rgb="FFCC0000"/>
      </font>
      <fill>
        <patternFill patternType="solid">
          <fgColor rgb="FFFCE2E2"/>
          <bgColor rgb="FFFCE2E2"/>
        </patternFill>
      </fill>
      <border/>
    </dxf>
    <dxf>
      <font>
        <color rgb="FF117249"/>
      </font>
      <fill>
        <patternFill patternType="solid">
          <fgColor rgb="FFE5F4EA"/>
          <bgColor rgb="FFE5F4EA"/>
        </patternFill>
      </fill>
      <border/>
    </dxf>
  </dxfs>
  <tableStyles count="3">
    <tableStyle count="4" pivot="0" name="Expens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Inco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tt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Expense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Analytics!$A$1:$A$11</c:f>
            </c:strRef>
          </c:cat>
          <c:val>
            <c:numRef>
              <c:f>Analytics!$B$1:$B$11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0</xdr:colOff>
      <xdr:row>5</xdr:row>
      <xdr:rowOff>0</xdr:rowOff>
    </xdr:from>
    <xdr:ext cx="4381500" cy="2857500"/>
    <xdr:graphicFrame>
      <xdr:nvGraphicFramePr>
        <xdr:cNvPr id="1" name="Chart 1" title="Expense Breakdown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5" displayName="Revenue_Tracking" name="Revenue_Tracking" id="2">
  <tableColumns count="9">
    <tableColumn name="Date" id="1"/>
    <tableColumn name="Invoice ID" id="2"/>
    <tableColumn name="Client" id="3"/>
    <tableColumn name="Project" id="4"/>
    <tableColumn name="Category" id="5"/>
    <tableColumn name="Amount" id="6"/>
    <tableColumn name="Payment Mode" id="7"/>
    <tableColumn name="Status" id="8"/>
    <tableColumn name="Notes" id="9"/>
  </tableColumns>
  <tableStyleInfo name="Income-style" showColumnStripes="0" showFirstColumn="1" showLastColumn="1" showRowStripes="1"/>
</table>
</file>

<file path=xl/tables/table2.xml><?xml version="1.0" encoding="utf-8"?>
<table xmlns="http://schemas.openxmlformats.org/spreadsheetml/2006/main" ref="A1:I51" displayName="Business_Expenditure_Tracking" name="Business_Expenditure_Tracking" id="1">
  <tableColumns count="9">
    <tableColumn name="Date" id="1"/>
    <tableColumn name="Expense ID" id="2"/>
    <tableColumn name="Vendor" id="3"/>
    <tableColumn name="Category" id="4"/>
    <tableColumn name="Amount" id="5"/>
    <tableColumn name="Payment Mode" id="6"/>
    <tableColumn name="Status" id="7"/>
    <tableColumn name="Receipt Link" id="8"/>
    <tableColumn name="Notes" id="9"/>
  </tableColumns>
  <tableStyleInfo name="Expenses-style" showColumnStripes="0" showFirstColumn="1" showLastColumn="1" showRowStripes="1"/>
</table>
</file>

<file path=xl/tables/table3.xml><?xml version="1.0" encoding="utf-8"?>
<table xmlns="http://schemas.openxmlformats.org/spreadsheetml/2006/main" ref="A1:F11" displayName="Operational_Configuration" name="Operational_Configuration" id="3">
  <tableColumns count="6">
    <tableColumn name="Income Categories" id="1"/>
    <tableColumn name="Expense Categories" id="2"/>
    <tableColumn name="Statuses" id="3"/>
    <tableColumn name="Payment Modes" id="4"/>
    <tableColumn name="Team Members" id="5"/>
    <tableColumn name="Grant Status" id="6"/>
  </tableColumns>
  <tableStyleInfo name="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63"/>
    <col customWidth="1" min="2" max="2" width="27.63"/>
    <col customWidth="1" min="3" max="3" width="2.63"/>
    <col customWidth="1" min="4" max="4" width="27.63"/>
    <col customWidth="1" min="5" max="5" width="2.63"/>
    <col customWidth="1" min="6" max="6" width="27.63"/>
    <col customWidth="1" min="7" max="7" width="2.63"/>
    <col customWidth="1" min="8" max="8" width="27.63"/>
    <col customWidth="1" min="10" max="10" width="17.38"/>
  </cols>
  <sheetData>
    <row r="1" ht="45.0" customHeight="1">
      <c r="B1" s="13" t="s">
        <v>29</v>
      </c>
    </row>
    <row r="2" ht="15.0" customHeight="1"/>
    <row r="3" ht="30.0" customHeight="1">
      <c r="B3" s="14" t="s">
        <v>30</v>
      </c>
      <c r="D3" s="14" t="s">
        <v>31</v>
      </c>
      <c r="F3" s="14" t="s">
        <v>32</v>
      </c>
      <c r="H3" s="14" t="s">
        <v>33</v>
      </c>
      <c r="J3" s="15" t="s">
        <v>34</v>
      </c>
    </row>
    <row r="4" ht="60.0" customHeight="1">
      <c r="B4" s="16">
        <f>SUM(Income!F:F) + SUM(Grants!F:F) - SUM(Expenses!E:E)</f>
        <v>342686.66</v>
      </c>
      <c r="D4" s="17">
        <f>SUM(Income!F:F) + SUM(Grants!F:F)</f>
        <v>509400</v>
      </c>
      <c r="F4" s="19">
        <f>SUM(Expenses!E:E)</f>
        <v>166713.34</v>
      </c>
      <c r="H4" s="20">
        <f>IF(SUM(Expenses!E:E)&gt;0, (1000000+SUM(Income!F:F)-SUM(Expenses!E:E))/(SUM(Expenses!E:E)/12), "Infinite")</f>
        <v>89.44839039</v>
      </c>
      <c r="J4" s="3" t="s">
        <v>40</v>
      </c>
      <c r="K4" s="21">
        <f>SUM(Grants!E:E)</f>
        <v>250000</v>
      </c>
    </row>
    <row r="5">
      <c r="J5" s="3" t="s">
        <v>42</v>
      </c>
      <c r="K5" s="21">
        <f>SUM(Grants!F:F)</f>
        <v>100000</v>
      </c>
    </row>
    <row r="6">
      <c r="J6" s="3" t="s">
        <v>45</v>
      </c>
      <c r="K6" s="21">
        <f>K4-K5</f>
        <v>150000</v>
      </c>
    </row>
    <row r="8">
      <c r="J8" s="22" t="s">
        <v>47</v>
      </c>
      <c r="K8" s="23">
        <f>SUMIFS(Expenses!E:E, Expenses!D:D, "Grant")</f>
        <v>92175.32</v>
      </c>
    </row>
  </sheetData>
  <mergeCells count="2">
    <mergeCell ref="B1:H1"/>
    <mergeCell ref="J3:K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3.0"/>
    <col customWidth="1" min="3" max="3" width="25.63"/>
    <col customWidth="1" min="4" max="4" width="22.5"/>
    <col customWidth="1" min="5" max="5" width="19.88"/>
    <col customWidth="1" min="6" max="6" width="20.75"/>
    <col customWidth="1" min="7" max="7" width="27.38"/>
    <col customWidth="1" min="8" max="8" width="20.25"/>
    <col customWidth="1" min="9" max="9" width="23.63"/>
  </cols>
  <sheetData>
    <row r="1" ht="22.5" customHeight="1">
      <c r="A1" s="4" t="s">
        <v>0</v>
      </c>
      <c r="B1" s="4" t="s">
        <v>10</v>
      </c>
      <c r="C1" s="4" t="s">
        <v>12</v>
      </c>
      <c r="D1" s="4" t="s">
        <v>15</v>
      </c>
      <c r="E1" s="4" t="s">
        <v>13</v>
      </c>
      <c r="F1" s="4" t="s">
        <v>14</v>
      </c>
      <c r="G1" s="4" t="s">
        <v>16</v>
      </c>
      <c r="H1" s="4" t="s">
        <v>17</v>
      </c>
      <c r="I1" s="4" t="s">
        <v>19</v>
      </c>
    </row>
    <row r="2" ht="22.5" customHeight="1">
      <c r="A2" s="8">
        <v>45700.0</v>
      </c>
      <c r="C2" s="7" t="s">
        <v>22</v>
      </c>
      <c r="D2" s="10"/>
      <c r="E2" s="7" t="s">
        <v>25</v>
      </c>
      <c r="F2" s="9">
        <v>20000.0</v>
      </c>
      <c r="G2" s="7" t="s">
        <v>26</v>
      </c>
      <c r="H2" s="7" t="s">
        <v>24</v>
      </c>
      <c r="I2" s="6" t="s">
        <v>27</v>
      </c>
    </row>
    <row r="3" ht="22.5" customHeight="1">
      <c r="A3" s="8">
        <v>45700.0</v>
      </c>
      <c r="C3" s="7" t="s">
        <v>22</v>
      </c>
      <c r="D3" s="10"/>
      <c r="E3" s="7" t="s">
        <v>25</v>
      </c>
      <c r="F3" s="9">
        <v>100.0</v>
      </c>
      <c r="G3" s="7" t="s">
        <v>26</v>
      </c>
      <c r="H3" s="7" t="s">
        <v>24</v>
      </c>
      <c r="I3" s="6" t="s">
        <v>35</v>
      </c>
    </row>
    <row r="4" ht="22.5" customHeight="1">
      <c r="A4" s="18" t="s">
        <v>36</v>
      </c>
      <c r="C4" s="7" t="s">
        <v>22</v>
      </c>
      <c r="D4" s="10"/>
      <c r="E4" s="7" t="s">
        <v>25</v>
      </c>
      <c r="F4" s="9">
        <v>5000.0</v>
      </c>
      <c r="G4" s="7" t="s">
        <v>26</v>
      </c>
      <c r="H4" s="7" t="s">
        <v>24</v>
      </c>
      <c r="I4" s="6" t="s">
        <v>39</v>
      </c>
    </row>
    <row r="5" ht="22.5" customHeight="1">
      <c r="A5" s="18" t="s">
        <v>41</v>
      </c>
      <c r="C5" s="7" t="s">
        <v>43</v>
      </c>
      <c r="D5" s="7" t="s">
        <v>44</v>
      </c>
      <c r="E5" s="7" t="s">
        <v>46</v>
      </c>
      <c r="F5" s="9">
        <v>22500.0</v>
      </c>
      <c r="G5" s="7" t="s">
        <v>26</v>
      </c>
      <c r="H5" s="7" t="s">
        <v>24</v>
      </c>
      <c r="I5" s="6" t="s">
        <v>48</v>
      </c>
    </row>
    <row r="6" ht="22.5" customHeight="1">
      <c r="A6" s="8">
        <v>46207.0</v>
      </c>
      <c r="C6" s="7" t="s">
        <v>22</v>
      </c>
      <c r="D6" s="10"/>
      <c r="E6" s="7" t="s">
        <v>25</v>
      </c>
      <c r="F6" s="9">
        <v>10000.0</v>
      </c>
      <c r="G6" s="7" t="s">
        <v>26</v>
      </c>
      <c r="H6" s="7" t="s">
        <v>24</v>
      </c>
      <c r="I6" s="6" t="s">
        <v>39</v>
      </c>
    </row>
    <row r="7" ht="22.5" customHeight="1">
      <c r="A7" s="8">
        <v>46147.0</v>
      </c>
      <c r="C7" s="7" t="s">
        <v>52</v>
      </c>
      <c r="D7" s="7" t="s">
        <v>54</v>
      </c>
      <c r="E7" s="7" t="s">
        <v>46</v>
      </c>
      <c r="F7" s="9">
        <v>75000.0</v>
      </c>
      <c r="G7" s="7" t="s">
        <v>26</v>
      </c>
      <c r="H7" s="7" t="s">
        <v>24</v>
      </c>
      <c r="I7" s="6" t="s">
        <v>56</v>
      </c>
    </row>
    <row r="8" ht="22.5" customHeight="1">
      <c r="A8" s="18" t="s">
        <v>57</v>
      </c>
      <c r="C8" s="7" t="s">
        <v>22</v>
      </c>
      <c r="D8" s="10"/>
      <c r="E8" s="7" t="s">
        <v>25</v>
      </c>
      <c r="F8" s="9">
        <v>11000.0</v>
      </c>
      <c r="G8" s="7" t="s">
        <v>26</v>
      </c>
      <c r="H8" s="7" t="s">
        <v>24</v>
      </c>
      <c r="I8" s="6" t="s">
        <v>58</v>
      </c>
    </row>
    <row r="9" ht="22.5" customHeight="1">
      <c r="A9" s="8">
        <v>46060.0</v>
      </c>
      <c r="C9" s="7" t="s">
        <v>43</v>
      </c>
      <c r="D9" s="7" t="s">
        <v>44</v>
      </c>
      <c r="E9" s="7" t="s">
        <v>46</v>
      </c>
      <c r="F9" s="9">
        <v>22500.0</v>
      </c>
      <c r="G9" s="7" t="s">
        <v>26</v>
      </c>
      <c r="H9" s="7" t="s">
        <v>24</v>
      </c>
      <c r="I9" s="6" t="s">
        <v>61</v>
      </c>
    </row>
    <row r="10" ht="22.5" customHeight="1">
      <c r="A10" s="8">
        <v>46088.0</v>
      </c>
      <c r="C10" s="7" t="s">
        <v>52</v>
      </c>
      <c r="D10" s="7" t="s">
        <v>54</v>
      </c>
      <c r="E10" s="7" t="s">
        <v>46</v>
      </c>
      <c r="F10" s="9">
        <v>50000.0</v>
      </c>
      <c r="G10" s="7" t="s">
        <v>26</v>
      </c>
      <c r="H10" s="7" t="s">
        <v>24</v>
      </c>
      <c r="I10" s="6" t="s">
        <v>62</v>
      </c>
    </row>
    <row r="11" ht="22.5" customHeight="1">
      <c r="A11" s="24" t="s">
        <v>63</v>
      </c>
      <c r="B11" s="25"/>
      <c r="C11" s="26" t="s">
        <v>52</v>
      </c>
      <c r="D11" s="26" t="s">
        <v>54</v>
      </c>
      <c r="E11" s="26" t="s">
        <v>46</v>
      </c>
      <c r="F11" s="27">
        <v>25000.0</v>
      </c>
      <c r="G11" s="26" t="s">
        <v>26</v>
      </c>
      <c r="H11" s="26" t="s">
        <v>24</v>
      </c>
      <c r="I11" s="28" t="s">
        <v>65</v>
      </c>
    </row>
    <row r="12" ht="22.5" customHeight="1">
      <c r="A12" s="29">
        <v>46364.0</v>
      </c>
      <c r="B12" s="25"/>
      <c r="C12" s="26" t="s">
        <v>67</v>
      </c>
      <c r="D12" s="26" t="s">
        <v>68</v>
      </c>
      <c r="E12" s="26" t="s">
        <v>46</v>
      </c>
      <c r="F12" s="27">
        <v>25000.0</v>
      </c>
      <c r="G12" s="26" t="s">
        <v>26</v>
      </c>
      <c r="H12" s="26" t="s">
        <v>24</v>
      </c>
      <c r="I12" s="28" t="s">
        <v>70</v>
      </c>
    </row>
    <row r="13" ht="22.5" customHeight="1">
      <c r="A13" s="24" t="s">
        <v>73</v>
      </c>
      <c r="B13" s="25"/>
      <c r="C13" s="26" t="s">
        <v>22</v>
      </c>
      <c r="D13" s="26"/>
      <c r="E13" s="26" t="s">
        <v>25</v>
      </c>
      <c r="F13" s="27">
        <v>1400.0</v>
      </c>
      <c r="G13" s="26" t="s">
        <v>26</v>
      </c>
      <c r="H13" s="26" t="s">
        <v>24</v>
      </c>
      <c r="I13" s="28" t="s">
        <v>75</v>
      </c>
    </row>
    <row r="14" ht="22.5" customHeight="1">
      <c r="A14" s="29">
        <v>46090.0</v>
      </c>
      <c r="B14" s="25"/>
      <c r="C14" s="26" t="s">
        <v>78</v>
      </c>
      <c r="D14" s="26" t="s">
        <v>79</v>
      </c>
      <c r="E14" s="26" t="s">
        <v>46</v>
      </c>
      <c r="F14" s="27">
        <v>39000.0</v>
      </c>
      <c r="G14" s="26" t="s">
        <v>26</v>
      </c>
      <c r="H14" s="26" t="s">
        <v>24</v>
      </c>
      <c r="I14" s="28" t="s">
        <v>80</v>
      </c>
    </row>
    <row r="15" ht="22.5" customHeight="1">
      <c r="A15" s="24" t="s">
        <v>81</v>
      </c>
      <c r="B15" s="25"/>
      <c r="C15" s="26" t="s">
        <v>84</v>
      </c>
      <c r="D15" s="26" t="s">
        <v>89</v>
      </c>
      <c r="E15" s="26" t="s">
        <v>25</v>
      </c>
      <c r="F15" s="27">
        <v>102900.0</v>
      </c>
      <c r="G15" s="26" t="s">
        <v>26</v>
      </c>
      <c r="H15" s="26" t="s">
        <v>24</v>
      </c>
      <c r="I15" s="28" t="s">
        <v>91</v>
      </c>
    </row>
    <row r="16">
      <c r="C16" s="3"/>
      <c r="D16" s="3"/>
      <c r="E16" s="3"/>
      <c r="F16" s="2"/>
      <c r="G16" s="3"/>
      <c r="H16" s="3"/>
    </row>
    <row r="17">
      <c r="C17" s="3"/>
      <c r="D17" s="3"/>
      <c r="E17" s="3"/>
      <c r="F17" s="2"/>
      <c r="G17" s="3"/>
      <c r="H17" s="3"/>
    </row>
    <row r="18">
      <c r="C18" s="3"/>
      <c r="D18" s="3"/>
      <c r="E18" s="3"/>
      <c r="F18" s="2"/>
      <c r="G18" s="3"/>
      <c r="H18" s="3"/>
    </row>
    <row r="19">
      <c r="C19" s="3"/>
      <c r="D19" s="3"/>
      <c r="E19" s="3"/>
      <c r="F19" s="2"/>
      <c r="G19" s="3"/>
      <c r="H19" s="3"/>
    </row>
    <row r="20">
      <c r="C20" s="3"/>
      <c r="D20" s="3"/>
      <c r="E20" s="3"/>
      <c r="F20" s="2"/>
      <c r="G20" s="3"/>
      <c r="H20" s="3"/>
    </row>
    <row r="21">
      <c r="C21" s="3"/>
      <c r="D21" s="3"/>
      <c r="E21" s="3"/>
      <c r="F21" s="2"/>
      <c r="G21" s="3"/>
      <c r="H21" s="3"/>
    </row>
    <row r="22">
      <c r="C22" s="3"/>
      <c r="D22" s="3"/>
      <c r="E22" s="3"/>
      <c r="F22" s="2"/>
      <c r="G22" s="3"/>
      <c r="H22" s="3"/>
    </row>
    <row r="23">
      <c r="C23" s="3"/>
      <c r="D23" s="3"/>
      <c r="E23" s="3"/>
      <c r="F23" s="2"/>
      <c r="G23" s="3"/>
      <c r="H23" s="3"/>
    </row>
    <row r="24">
      <c r="C24" s="3"/>
      <c r="D24" s="3"/>
      <c r="E24" s="3"/>
      <c r="F24" s="2"/>
      <c r="G24" s="3"/>
      <c r="H24" s="3"/>
    </row>
    <row r="25">
      <c r="C25" s="3"/>
      <c r="D25" s="3"/>
      <c r="E25" s="3"/>
      <c r="F25" s="2"/>
      <c r="G25" s="3"/>
      <c r="H25" s="3"/>
    </row>
    <row r="26">
      <c r="C26" s="3"/>
      <c r="D26" s="3"/>
      <c r="E26" s="3"/>
      <c r="F26" s="2"/>
      <c r="G26" s="3"/>
      <c r="H26" s="3"/>
    </row>
    <row r="27">
      <c r="C27" s="3"/>
      <c r="D27" s="3"/>
      <c r="E27" s="3"/>
      <c r="F27" s="2"/>
      <c r="G27" s="3"/>
      <c r="H27" s="3"/>
    </row>
    <row r="28">
      <c r="C28" s="3"/>
      <c r="D28" s="3"/>
      <c r="E28" s="3"/>
      <c r="F28" s="2"/>
      <c r="G28" s="3"/>
      <c r="H28" s="3"/>
    </row>
    <row r="29">
      <c r="C29" s="3"/>
      <c r="D29" s="3"/>
      <c r="E29" s="3"/>
      <c r="F29" s="2"/>
      <c r="G29" s="3"/>
      <c r="H29" s="3"/>
    </row>
    <row r="30">
      <c r="C30" s="3"/>
      <c r="D30" s="3"/>
      <c r="E30" s="3"/>
      <c r="F30" s="2"/>
      <c r="G30" s="3"/>
      <c r="H30" s="3"/>
    </row>
    <row r="31">
      <c r="C31" s="3"/>
      <c r="D31" s="3"/>
      <c r="E31" s="3"/>
      <c r="F31" s="2"/>
      <c r="G31" s="3"/>
      <c r="H31" s="3"/>
    </row>
    <row r="32">
      <c r="C32" s="3"/>
      <c r="D32" s="3"/>
      <c r="E32" s="3"/>
      <c r="F32" s="2"/>
      <c r="G32" s="3"/>
      <c r="H32" s="3"/>
    </row>
    <row r="33">
      <c r="C33" s="3"/>
      <c r="D33" s="3"/>
      <c r="E33" s="3"/>
      <c r="F33" s="2"/>
      <c r="G33" s="3"/>
      <c r="H33" s="3"/>
    </row>
    <row r="34">
      <c r="C34" s="3"/>
      <c r="D34" s="3"/>
      <c r="E34" s="3"/>
      <c r="F34" s="2"/>
      <c r="G34" s="3"/>
      <c r="H34" s="3"/>
    </row>
    <row r="35">
      <c r="C35" s="3"/>
      <c r="D35" s="3"/>
      <c r="E35" s="3"/>
      <c r="F35" s="2"/>
      <c r="G35" s="3"/>
      <c r="H35" s="3"/>
    </row>
    <row r="36">
      <c r="C36" s="3"/>
      <c r="D36" s="3"/>
      <c r="E36" s="3"/>
      <c r="F36" s="2"/>
      <c r="G36" s="3"/>
      <c r="H36" s="3"/>
    </row>
    <row r="37">
      <c r="C37" s="3"/>
      <c r="D37" s="3"/>
      <c r="E37" s="3"/>
      <c r="F37" s="2"/>
      <c r="G37" s="3"/>
      <c r="H37" s="3"/>
    </row>
    <row r="38">
      <c r="C38" s="3"/>
      <c r="D38" s="3"/>
      <c r="E38" s="3"/>
      <c r="F38" s="2"/>
      <c r="G38" s="3"/>
      <c r="H38" s="3"/>
    </row>
    <row r="39">
      <c r="C39" s="3"/>
      <c r="D39" s="3"/>
      <c r="E39" s="3"/>
      <c r="F39" s="2"/>
      <c r="G39" s="3"/>
      <c r="H39" s="3"/>
    </row>
    <row r="40">
      <c r="C40" s="3"/>
      <c r="D40" s="3"/>
      <c r="E40" s="3"/>
      <c r="F40" s="2"/>
      <c r="G40" s="3"/>
      <c r="H40" s="3"/>
    </row>
    <row r="41">
      <c r="C41" s="3"/>
      <c r="D41" s="3"/>
      <c r="E41" s="3"/>
      <c r="F41" s="2"/>
      <c r="G41" s="3"/>
      <c r="H41" s="3"/>
    </row>
    <row r="42">
      <c r="C42" s="3"/>
      <c r="D42" s="3"/>
      <c r="E42" s="3"/>
      <c r="F42" s="2"/>
      <c r="G42" s="3"/>
      <c r="H42" s="3"/>
    </row>
    <row r="43">
      <c r="C43" s="3"/>
      <c r="D43" s="3"/>
      <c r="E43" s="3"/>
      <c r="F43" s="2"/>
      <c r="G43" s="3"/>
      <c r="H43" s="3"/>
    </row>
    <row r="44">
      <c r="C44" s="3"/>
      <c r="D44" s="3"/>
      <c r="E44" s="3"/>
      <c r="F44" s="2"/>
      <c r="G44" s="3"/>
      <c r="H44" s="3"/>
    </row>
    <row r="45">
      <c r="C45" s="3"/>
      <c r="D45" s="3"/>
      <c r="E45" s="3"/>
      <c r="F45" s="2"/>
      <c r="G45" s="3"/>
      <c r="H45" s="3"/>
    </row>
    <row r="46">
      <c r="C46" s="3"/>
      <c r="D46" s="3"/>
      <c r="E46" s="3"/>
      <c r="F46" s="2"/>
      <c r="G46" s="3"/>
      <c r="H46" s="3"/>
    </row>
    <row r="47">
      <c r="C47" s="3"/>
      <c r="D47" s="3"/>
      <c r="E47" s="3"/>
      <c r="F47" s="2"/>
      <c r="G47" s="3"/>
      <c r="H47" s="3"/>
    </row>
    <row r="48">
      <c r="C48" s="3"/>
      <c r="D48" s="3"/>
      <c r="E48" s="3"/>
      <c r="F48" s="2"/>
      <c r="G48" s="3"/>
      <c r="H48" s="3"/>
    </row>
    <row r="49">
      <c r="C49" s="3"/>
      <c r="D49" s="3"/>
      <c r="E49" s="3"/>
      <c r="F49" s="2"/>
      <c r="G49" s="3"/>
      <c r="H49" s="3"/>
    </row>
    <row r="50">
      <c r="C50" s="3"/>
      <c r="D50" s="3"/>
      <c r="E50" s="3"/>
      <c r="F50" s="2"/>
      <c r="G50" s="3"/>
      <c r="H50" s="3"/>
    </row>
    <row r="51">
      <c r="C51" s="3"/>
      <c r="D51" s="3"/>
      <c r="E51" s="3"/>
      <c r="F51" s="2"/>
      <c r="G51" s="3"/>
      <c r="H51" s="3"/>
    </row>
    <row r="52">
      <c r="C52" s="3"/>
      <c r="D52" s="3"/>
      <c r="E52" s="3"/>
      <c r="F52" s="2"/>
      <c r="G52" s="3"/>
      <c r="H52" s="3"/>
    </row>
    <row r="53">
      <c r="C53" s="3"/>
      <c r="D53" s="3"/>
      <c r="E53" s="3"/>
      <c r="F53" s="2"/>
      <c r="G53" s="3"/>
      <c r="H53" s="3"/>
    </row>
    <row r="54">
      <c r="C54" s="3"/>
      <c r="D54" s="3"/>
      <c r="E54" s="3"/>
      <c r="F54" s="2"/>
      <c r="G54" s="3"/>
      <c r="H54" s="3"/>
    </row>
    <row r="55">
      <c r="C55" s="3"/>
      <c r="D55" s="3"/>
      <c r="E55" s="3"/>
      <c r="F55" s="2"/>
      <c r="G55" s="3"/>
      <c r="H55" s="3"/>
    </row>
    <row r="56">
      <c r="C56" s="3"/>
      <c r="D56" s="3"/>
      <c r="E56" s="3"/>
      <c r="F56" s="2"/>
      <c r="G56" s="3"/>
      <c r="H56" s="3"/>
    </row>
    <row r="57">
      <c r="C57" s="3"/>
      <c r="D57" s="3"/>
      <c r="E57" s="3"/>
      <c r="F57" s="2"/>
      <c r="G57" s="3"/>
      <c r="H57" s="3"/>
    </row>
    <row r="58">
      <c r="C58" s="3"/>
      <c r="D58" s="3"/>
      <c r="E58" s="3"/>
      <c r="F58" s="2"/>
      <c r="G58" s="3"/>
      <c r="H58" s="3"/>
    </row>
    <row r="59">
      <c r="C59" s="3"/>
      <c r="D59" s="3"/>
      <c r="E59" s="3"/>
      <c r="F59" s="2"/>
      <c r="G59" s="3"/>
      <c r="H59" s="3"/>
    </row>
    <row r="60">
      <c r="C60" s="3"/>
      <c r="D60" s="3"/>
      <c r="E60" s="3"/>
      <c r="F60" s="2"/>
      <c r="G60" s="3"/>
      <c r="H60" s="3"/>
    </row>
    <row r="61">
      <c r="C61" s="3"/>
      <c r="D61" s="3"/>
      <c r="E61" s="3"/>
      <c r="F61" s="2"/>
      <c r="G61" s="3"/>
      <c r="H61" s="3"/>
    </row>
    <row r="62">
      <c r="C62" s="3"/>
      <c r="D62" s="3"/>
      <c r="E62" s="3"/>
      <c r="F62" s="2"/>
      <c r="G62" s="3"/>
      <c r="H62" s="3"/>
    </row>
    <row r="63">
      <c r="C63" s="3"/>
      <c r="D63" s="3"/>
      <c r="E63" s="3"/>
      <c r="F63" s="2"/>
      <c r="G63" s="3"/>
      <c r="H63" s="3"/>
    </row>
    <row r="64">
      <c r="C64" s="3"/>
      <c r="D64" s="3"/>
      <c r="E64" s="3"/>
      <c r="F64" s="2"/>
      <c r="G64" s="3"/>
      <c r="H64" s="3"/>
    </row>
    <row r="65">
      <c r="C65" s="3"/>
      <c r="D65" s="3"/>
      <c r="E65" s="3"/>
      <c r="F65" s="2"/>
      <c r="G65" s="3"/>
      <c r="H65" s="3"/>
    </row>
    <row r="66">
      <c r="C66" s="3"/>
      <c r="D66" s="3"/>
      <c r="E66" s="3"/>
      <c r="F66" s="2"/>
      <c r="G66" s="3"/>
      <c r="H66" s="3"/>
    </row>
    <row r="67">
      <c r="C67" s="3"/>
      <c r="D67" s="3"/>
      <c r="E67" s="3"/>
      <c r="F67" s="2"/>
      <c r="G67" s="3"/>
      <c r="H67" s="3"/>
    </row>
    <row r="68">
      <c r="C68" s="3"/>
      <c r="D68" s="3"/>
      <c r="E68" s="3"/>
      <c r="F68" s="2"/>
      <c r="G68" s="3"/>
      <c r="H68" s="3"/>
    </row>
    <row r="69">
      <c r="C69" s="3"/>
      <c r="D69" s="3"/>
      <c r="E69" s="3"/>
      <c r="F69" s="2"/>
      <c r="G69" s="3"/>
      <c r="H69" s="3"/>
    </row>
    <row r="70">
      <c r="C70" s="3"/>
      <c r="D70" s="3"/>
      <c r="E70" s="3"/>
      <c r="F70" s="2"/>
      <c r="G70" s="3"/>
      <c r="H70" s="3"/>
    </row>
    <row r="71">
      <c r="C71" s="3"/>
      <c r="D71" s="3"/>
      <c r="E71" s="3"/>
      <c r="F71" s="2"/>
      <c r="G71" s="3"/>
      <c r="H71" s="3"/>
    </row>
    <row r="72">
      <c r="C72" s="3"/>
      <c r="D72" s="3"/>
      <c r="E72" s="3"/>
      <c r="F72" s="2"/>
      <c r="G72" s="3"/>
      <c r="H72" s="3"/>
    </row>
    <row r="73">
      <c r="C73" s="3"/>
      <c r="D73" s="3"/>
      <c r="E73" s="3"/>
      <c r="F73" s="2"/>
      <c r="G73" s="3"/>
      <c r="H73" s="3"/>
    </row>
    <row r="74">
      <c r="C74" s="3"/>
      <c r="D74" s="3"/>
      <c r="E74" s="3"/>
      <c r="F74" s="2"/>
      <c r="G74" s="3"/>
      <c r="H74" s="3"/>
    </row>
    <row r="75">
      <c r="C75" s="3"/>
      <c r="D75" s="3"/>
      <c r="E75" s="3"/>
      <c r="F75" s="2"/>
      <c r="G75" s="3"/>
      <c r="H75" s="3"/>
    </row>
    <row r="76">
      <c r="C76" s="3"/>
      <c r="D76" s="3"/>
      <c r="E76" s="3"/>
      <c r="F76" s="2"/>
      <c r="G76" s="3"/>
      <c r="H76" s="3"/>
    </row>
    <row r="77">
      <c r="C77" s="3"/>
      <c r="D77" s="3"/>
      <c r="E77" s="3"/>
      <c r="F77" s="2"/>
      <c r="G77" s="3"/>
      <c r="H77" s="3"/>
    </row>
    <row r="78">
      <c r="C78" s="3"/>
      <c r="D78" s="3"/>
      <c r="E78" s="3"/>
      <c r="F78" s="2"/>
      <c r="G78" s="3"/>
      <c r="H78" s="3"/>
    </row>
    <row r="79">
      <c r="C79" s="3"/>
      <c r="D79" s="3"/>
      <c r="E79" s="3"/>
      <c r="F79" s="2"/>
      <c r="G79" s="3"/>
      <c r="H79" s="3"/>
    </row>
    <row r="80">
      <c r="C80" s="3"/>
      <c r="D80" s="3"/>
      <c r="E80" s="3"/>
      <c r="F80" s="2"/>
      <c r="G80" s="3"/>
      <c r="H80" s="3"/>
    </row>
    <row r="81">
      <c r="C81" s="3"/>
      <c r="D81" s="3"/>
      <c r="E81" s="3"/>
      <c r="F81" s="2"/>
      <c r="G81" s="3"/>
      <c r="H81" s="3"/>
    </row>
    <row r="82">
      <c r="C82" s="3"/>
      <c r="D82" s="3"/>
      <c r="E82" s="3"/>
      <c r="F82" s="2"/>
      <c r="G82" s="3"/>
      <c r="H82" s="3"/>
    </row>
    <row r="83">
      <c r="C83" s="3"/>
      <c r="D83" s="3"/>
      <c r="E83" s="3"/>
      <c r="F83" s="2"/>
      <c r="G83" s="3"/>
      <c r="H83" s="3"/>
    </row>
    <row r="84">
      <c r="C84" s="3"/>
      <c r="D84" s="3"/>
      <c r="E84" s="3"/>
      <c r="F84" s="2"/>
      <c r="G84" s="3"/>
      <c r="H84" s="3"/>
    </row>
    <row r="85">
      <c r="C85" s="3"/>
      <c r="D85" s="3"/>
      <c r="E85" s="3"/>
      <c r="F85" s="2"/>
      <c r="G85" s="3"/>
      <c r="H85" s="3"/>
    </row>
    <row r="86">
      <c r="C86" s="3"/>
      <c r="D86" s="3"/>
      <c r="E86" s="3"/>
      <c r="F86" s="2"/>
      <c r="G86" s="3"/>
      <c r="H86" s="3"/>
    </row>
    <row r="87">
      <c r="C87" s="3"/>
      <c r="D87" s="3"/>
      <c r="E87" s="3"/>
      <c r="F87" s="2"/>
      <c r="G87" s="3"/>
      <c r="H87" s="3"/>
    </row>
    <row r="88">
      <c r="C88" s="3"/>
      <c r="D88" s="3"/>
      <c r="E88" s="3"/>
      <c r="F88" s="2"/>
      <c r="G88" s="3"/>
      <c r="H88" s="3"/>
    </row>
    <row r="89">
      <c r="C89" s="3"/>
      <c r="D89" s="3"/>
      <c r="E89" s="3"/>
      <c r="F89" s="2"/>
      <c r="G89" s="3"/>
      <c r="H89" s="3"/>
    </row>
    <row r="90">
      <c r="C90" s="3"/>
      <c r="D90" s="3"/>
      <c r="E90" s="3"/>
      <c r="F90" s="2"/>
      <c r="G90" s="3"/>
      <c r="H90" s="3"/>
    </row>
    <row r="91">
      <c r="C91" s="3"/>
      <c r="D91" s="3"/>
      <c r="E91" s="3"/>
      <c r="F91" s="2"/>
      <c r="G91" s="3"/>
      <c r="H91" s="3"/>
    </row>
    <row r="92">
      <c r="C92" s="3"/>
      <c r="D92" s="3"/>
      <c r="E92" s="3"/>
      <c r="F92" s="2"/>
      <c r="G92" s="3"/>
      <c r="H92" s="3"/>
    </row>
    <row r="93">
      <c r="C93" s="3"/>
      <c r="D93" s="3"/>
      <c r="E93" s="3"/>
      <c r="F93" s="2"/>
      <c r="G93" s="3"/>
      <c r="H93" s="3"/>
    </row>
    <row r="94">
      <c r="C94" s="3"/>
      <c r="D94" s="3"/>
      <c r="E94" s="3"/>
      <c r="F94" s="2"/>
      <c r="G94" s="3"/>
      <c r="H94" s="3"/>
    </row>
    <row r="95">
      <c r="C95" s="3"/>
      <c r="D95" s="3"/>
      <c r="E95" s="3"/>
      <c r="F95" s="2"/>
      <c r="G95" s="3"/>
      <c r="H95" s="3"/>
    </row>
    <row r="96">
      <c r="C96" s="3"/>
      <c r="D96" s="3"/>
      <c r="E96" s="3"/>
      <c r="F96" s="2"/>
      <c r="G96" s="3"/>
      <c r="H96" s="3"/>
    </row>
    <row r="97">
      <c r="C97" s="3"/>
      <c r="D97" s="3"/>
      <c r="E97" s="3"/>
      <c r="F97" s="2"/>
      <c r="G97" s="3"/>
      <c r="H97" s="3"/>
    </row>
    <row r="98">
      <c r="C98" s="3"/>
      <c r="D98" s="3"/>
      <c r="E98" s="3"/>
      <c r="F98" s="2"/>
      <c r="G98" s="3"/>
      <c r="H98" s="3"/>
    </row>
    <row r="99">
      <c r="C99" s="3"/>
      <c r="D99" s="3"/>
      <c r="E99" s="3"/>
      <c r="F99" s="2"/>
      <c r="G99" s="3"/>
      <c r="H99" s="3"/>
    </row>
    <row r="100">
      <c r="C100" s="3"/>
      <c r="D100" s="3"/>
      <c r="E100" s="3"/>
      <c r="F100" s="2"/>
      <c r="G100" s="3"/>
      <c r="H100" s="3"/>
    </row>
    <row r="101">
      <c r="C101" s="3"/>
      <c r="D101" s="3"/>
      <c r="E101" s="3"/>
      <c r="F101" s="2"/>
      <c r="G101" s="3"/>
      <c r="H101" s="3"/>
    </row>
    <row r="102">
      <c r="C102" s="3"/>
      <c r="D102" s="3"/>
      <c r="E102" s="3"/>
      <c r="F102" s="2"/>
      <c r="G102" s="3"/>
      <c r="H102" s="3"/>
    </row>
    <row r="103">
      <c r="C103" s="3"/>
      <c r="D103" s="3"/>
      <c r="E103" s="3"/>
      <c r="F103" s="2"/>
      <c r="G103" s="3"/>
      <c r="H103" s="3"/>
    </row>
    <row r="104">
      <c r="C104" s="3"/>
      <c r="D104" s="3"/>
      <c r="E104" s="3"/>
      <c r="F104" s="2"/>
      <c r="G104" s="3"/>
      <c r="H104" s="3"/>
    </row>
    <row r="105">
      <c r="C105" s="3"/>
      <c r="D105" s="3"/>
      <c r="E105" s="3"/>
      <c r="F105" s="2"/>
      <c r="G105" s="3"/>
      <c r="H105" s="3"/>
    </row>
    <row r="106">
      <c r="C106" s="3"/>
      <c r="D106" s="3"/>
      <c r="E106" s="3"/>
      <c r="F106" s="2"/>
      <c r="G106" s="3"/>
      <c r="H106" s="3"/>
    </row>
    <row r="107">
      <c r="C107" s="3"/>
      <c r="D107" s="3"/>
      <c r="E107" s="3"/>
      <c r="F107" s="2"/>
      <c r="G107" s="3"/>
      <c r="H107" s="3"/>
    </row>
    <row r="108">
      <c r="C108" s="3"/>
      <c r="D108" s="3"/>
      <c r="E108" s="3"/>
      <c r="F108" s="2"/>
      <c r="G108" s="3"/>
      <c r="H108" s="3"/>
    </row>
    <row r="109">
      <c r="C109" s="3"/>
      <c r="D109" s="3"/>
      <c r="E109" s="3"/>
      <c r="F109" s="2"/>
      <c r="G109" s="3"/>
      <c r="H109" s="3"/>
    </row>
    <row r="110">
      <c r="C110" s="3"/>
      <c r="D110" s="3"/>
      <c r="E110" s="3"/>
      <c r="F110" s="2"/>
      <c r="G110" s="3"/>
      <c r="H110" s="3"/>
    </row>
    <row r="111">
      <c r="C111" s="3"/>
      <c r="D111" s="3"/>
      <c r="E111" s="3"/>
      <c r="F111" s="2"/>
      <c r="G111" s="3"/>
      <c r="H111" s="3"/>
    </row>
    <row r="112">
      <c r="C112" s="3"/>
      <c r="D112" s="3"/>
      <c r="E112" s="3"/>
      <c r="F112" s="2"/>
      <c r="G112" s="3"/>
      <c r="H112" s="3"/>
    </row>
    <row r="113">
      <c r="C113" s="3"/>
      <c r="D113" s="3"/>
      <c r="E113" s="3"/>
      <c r="F113" s="2"/>
      <c r="G113" s="3"/>
      <c r="H113" s="3"/>
    </row>
    <row r="114">
      <c r="C114" s="3"/>
      <c r="D114" s="3"/>
      <c r="E114" s="3"/>
      <c r="F114" s="2"/>
      <c r="G114" s="3"/>
      <c r="H114" s="3"/>
    </row>
    <row r="115">
      <c r="C115" s="3"/>
      <c r="D115" s="3"/>
      <c r="E115" s="3"/>
      <c r="F115" s="2"/>
      <c r="G115" s="3"/>
      <c r="H115" s="3"/>
    </row>
    <row r="116">
      <c r="C116" s="3"/>
      <c r="D116" s="3"/>
      <c r="E116" s="3"/>
      <c r="F116" s="2"/>
      <c r="G116" s="3"/>
      <c r="H116" s="3"/>
    </row>
    <row r="117">
      <c r="C117" s="3"/>
      <c r="D117" s="3"/>
      <c r="E117" s="3"/>
      <c r="F117" s="2"/>
      <c r="G117" s="3"/>
      <c r="H117" s="3"/>
    </row>
    <row r="118">
      <c r="C118" s="3"/>
      <c r="D118" s="3"/>
      <c r="E118" s="3"/>
      <c r="F118" s="2"/>
      <c r="G118" s="3"/>
      <c r="H118" s="3"/>
    </row>
    <row r="119">
      <c r="C119" s="3"/>
      <c r="D119" s="3"/>
      <c r="E119" s="3"/>
      <c r="F119" s="2"/>
      <c r="G119" s="3"/>
      <c r="H119" s="3"/>
    </row>
    <row r="120">
      <c r="C120" s="3"/>
      <c r="D120" s="3"/>
      <c r="E120" s="3"/>
      <c r="F120" s="2"/>
      <c r="G120" s="3"/>
      <c r="H120" s="3"/>
    </row>
    <row r="121">
      <c r="C121" s="3"/>
      <c r="D121" s="3"/>
      <c r="E121" s="3"/>
      <c r="F121" s="2"/>
      <c r="G121" s="3"/>
      <c r="H121" s="3"/>
    </row>
    <row r="122">
      <c r="C122" s="3"/>
      <c r="D122" s="3"/>
      <c r="E122" s="3"/>
      <c r="F122" s="2"/>
      <c r="G122" s="3"/>
      <c r="H122" s="3"/>
    </row>
    <row r="123">
      <c r="C123" s="3"/>
      <c r="D123" s="3"/>
      <c r="E123" s="3"/>
      <c r="F123" s="2"/>
      <c r="G123" s="3"/>
      <c r="H123" s="3"/>
    </row>
    <row r="124">
      <c r="C124" s="3"/>
      <c r="D124" s="3"/>
      <c r="E124" s="3"/>
      <c r="F124" s="2"/>
      <c r="G124" s="3"/>
      <c r="H124" s="3"/>
    </row>
    <row r="125">
      <c r="C125" s="3"/>
      <c r="D125" s="3"/>
      <c r="E125" s="3"/>
      <c r="F125" s="2"/>
      <c r="G125" s="3"/>
      <c r="H125" s="3"/>
    </row>
    <row r="126">
      <c r="C126" s="3"/>
      <c r="D126" s="3"/>
      <c r="E126" s="3"/>
      <c r="F126" s="2"/>
      <c r="G126" s="3"/>
      <c r="H126" s="3"/>
    </row>
    <row r="127">
      <c r="C127" s="3"/>
      <c r="D127" s="3"/>
      <c r="E127" s="3"/>
      <c r="F127" s="2"/>
      <c r="G127" s="3"/>
      <c r="H127" s="3"/>
    </row>
    <row r="128">
      <c r="C128" s="3"/>
      <c r="D128" s="3"/>
      <c r="E128" s="3"/>
      <c r="F128" s="2"/>
      <c r="G128" s="3"/>
      <c r="H128" s="3"/>
    </row>
    <row r="129">
      <c r="C129" s="3"/>
      <c r="D129" s="3"/>
      <c r="E129" s="3"/>
      <c r="F129" s="2"/>
      <c r="G129" s="3"/>
      <c r="H129" s="3"/>
    </row>
    <row r="130">
      <c r="C130" s="3"/>
      <c r="D130" s="3"/>
      <c r="E130" s="3"/>
      <c r="F130" s="2"/>
      <c r="G130" s="3"/>
      <c r="H130" s="3"/>
    </row>
    <row r="131">
      <c r="C131" s="3"/>
      <c r="D131" s="3"/>
      <c r="E131" s="3"/>
      <c r="F131" s="2"/>
      <c r="G131" s="3"/>
      <c r="H131" s="3"/>
    </row>
    <row r="132">
      <c r="C132" s="3"/>
      <c r="D132" s="3"/>
      <c r="E132" s="3"/>
      <c r="F132" s="2"/>
      <c r="G132" s="3"/>
      <c r="H132" s="3"/>
    </row>
    <row r="133">
      <c r="C133" s="3"/>
      <c r="D133" s="3"/>
      <c r="E133" s="3"/>
      <c r="F133" s="2"/>
      <c r="G133" s="3"/>
      <c r="H133" s="3"/>
    </row>
    <row r="134">
      <c r="C134" s="3"/>
      <c r="D134" s="3"/>
      <c r="E134" s="3"/>
      <c r="F134" s="2"/>
      <c r="G134" s="3"/>
      <c r="H134" s="3"/>
    </row>
    <row r="135">
      <c r="C135" s="3"/>
      <c r="D135" s="3"/>
      <c r="E135" s="3"/>
      <c r="F135" s="2"/>
      <c r="G135" s="3"/>
      <c r="H135" s="3"/>
    </row>
    <row r="136">
      <c r="C136" s="3"/>
      <c r="D136" s="3"/>
      <c r="E136" s="3"/>
      <c r="F136" s="2"/>
      <c r="G136" s="3"/>
      <c r="H136" s="3"/>
    </row>
    <row r="137">
      <c r="C137" s="3"/>
      <c r="D137" s="3"/>
      <c r="E137" s="3"/>
      <c r="F137" s="2"/>
      <c r="G137" s="3"/>
      <c r="H137" s="3"/>
    </row>
    <row r="138">
      <c r="C138" s="3"/>
      <c r="D138" s="3"/>
      <c r="E138" s="3"/>
      <c r="F138" s="2"/>
      <c r="G138" s="3"/>
      <c r="H138" s="3"/>
    </row>
    <row r="139">
      <c r="C139" s="3"/>
      <c r="D139" s="3"/>
      <c r="E139" s="3"/>
      <c r="F139" s="2"/>
      <c r="G139" s="3"/>
      <c r="H139" s="3"/>
    </row>
    <row r="140">
      <c r="C140" s="3"/>
      <c r="D140" s="3"/>
      <c r="E140" s="3"/>
      <c r="F140" s="2"/>
      <c r="G140" s="3"/>
      <c r="H140" s="3"/>
    </row>
    <row r="141">
      <c r="C141" s="3"/>
      <c r="D141" s="3"/>
      <c r="E141" s="3"/>
      <c r="F141" s="2"/>
      <c r="G141" s="3"/>
      <c r="H141" s="3"/>
    </row>
    <row r="142">
      <c r="C142" s="3"/>
      <c r="D142" s="3"/>
      <c r="E142" s="3"/>
      <c r="F142" s="2"/>
      <c r="G142" s="3"/>
      <c r="H142" s="3"/>
    </row>
    <row r="143">
      <c r="C143" s="3"/>
      <c r="D143" s="3"/>
      <c r="E143" s="3"/>
      <c r="F143" s="2"/>
      <c r="G143" s="3"/>
      <c r="H143" s="3"/>
    </row>
    <row r="144">
      <c r="C144" s="3"/>
      <c r="D144" s="3"/>
      <c r="E144" s="3"/>
      <c r="F144" s="2"/>
      <c r="G144" s="3"/>
      <c r="H144" s="3"/>
    </row>
    <row r="145">
      <c r="C145" s="3"/>
      <c r="D145" s="3"/>
      <c r="E145" s="3"/>
      <c r="F145" s="2"/>
      <c r="G145" s="3"/>
      <c r="H145" s="3"/>
    </row>
    <row r="146">
      <c r="C146" s="3"/>
      <c r="D146" s="3"/>
      <c r="E146" s="3"/>
      <c r="F146" s="2"/>
      <c r="G146" s="3"/>
      <c r="H146" s="3"/>
    </row>
    <row r="147">
      <c r="C147" s="3"/>
      <c r="D147" s="3"/>
      <c r="E147" s="3"/>
      <c r="F147" s="2"/>
      <c r="G147" s="3"/>
      <c r="H147" s="3"/>
    </row>
    <row r="148">
      <c r="C148" s="3"/>
      <c r="D148" s="3"/>
      <c r="E148" s="3"/>
      <c r="F148" s="2"/>
      <c r="G148" s="3"/>
      <c r="H148" s="3"/>
    </row>
    <row r="149">
      <c r="C149" s="3"/>
      <c r="D149" s="3"/>
      <c r="E149" s="3"/>
      <c r="F149" s="2"/>
      <c r="G149" s="3"/>
      <c r="H149" s="3"/>
    </row>
    <row r="150">
      <c r="C150" s="3"/>
      <c r="D150" s="3"/>
      <c r="E150" s="3"/>
      <c r="F150" s="2"/>
      <c r="G150" s="3"/>
      <c r="H150" s="3"/>
    </row>
    <row r="151">
      <c r="C151" s="3"/>
      <c r="D151" s="3"/>
      <c r="E151" s="3"/>
      <c r="F151" s="2"/>
      <c r="G151" s="3"/>
      <c r="H151" s="3"/>
    </row>
    <row r="152">
      <c r="C152" s="3"/>
      <c r="D152" s="3"/>
      <c r="E152" s="3"/>
      <c r="F152" s="2"/>
      <c r="G152" s="3"/>
      <c r="H152" s="3"/>
    </row>
    <row r="153">
      <c r="C153" s="3"/>
      <c r="D153" s="3"/>
      <c r="E153" s="3"/>
      <c r="F153" s="2"/>
      <c r="G153" s="3"/>
      <c r="H153" s="3"/>
    </row>
    <row r="154">
      <c r="C154" s="3"/>
      <c r="D154" s="3"/>
      <c r="E154" s="3"/>
      <c r="F154" s="2"/>
      <c r="G154" s="3"/>
      <c r="H154" s="3"/>
    </row>
    <row r="155">
      <c r="C155" s="3"/>
      <c r="D155" s="3"/>
      <c r="E155" s="3"/>
      <c r="F155" s="2"/>
      <c r="G155" s="3"/>
      <c r="H155" s="3"/>
    </row>
    <row r="156">
      <c r="C156" s="3"/>
      <c r="D156" s="3"/>
      <c r="E156" s="3"/>
      <c r="F156" s="2"/>
      <c r="G156" s="3"/>
      <c r="H156" s="3"/>
    </row>
    <row r="157">
      <c r="C157" s="3"/>
      <c r="D157" s="3"/>
      <c r="E157" s="3"/>
      <c r="F157" s="2"/>
      <c r="G157" s="3"/>
      <c r="H157" s="3"/>
    </row>
    <row r="158">
      <c r="C158" s="3"/>
      <c r="D158" s="3"/>
      <c r="E158" s="3"/>
      <c r="F158" s="2"/>
      <c r="G158" s="3"/>
      <c r="H158" s="3"/>
    </row>
    <row r="159">
      <c r="C159" s="3"/>
      <c r="D159" s="3"/>
      <c r="E159" s="3"/>
      <c r="F159" s="2"/>
      <c r="G159" s="3"/>
      <c r="H159" s="3"/>
    </row>
    <row r="160">
      <c r="C160" s="3"/>
      <c r="D160" s="3"/>
      <c r="E160" s="3"/>
      <c r="F160" s="2"/>
      <c r="G160" s="3"/>
      <c r="H160" s="3"/>
    </row>
    <row r="161">
      <c r="C161" s="3"/>
      <c r="D161" s="3"/>
      <c r="E161" s="3"/>
      <c r="F161" s="2"/>
      <c r="G161" s="3"/>
      <c r="H161" s="3"/>
    </row>
    <row r="162">
      <c r="C162" s="3"/>
      <c r="D162" s="3"/>
      <c r="E162" s="3"/>
      <c r="F162" s="2"/>
      <c r="G162" s="3"/>
      <c r="H162" s="3"/>
    </row>
    <row r="163">
      <c r="C163" s="3"/>
      <c r="D163" s="3"/>
      <c r="E163" s="3"/>
      <c r="F163" s="2"/>
      <c r="G163" s="3"/>
      <c r="H163" s="3"/>
    </row>
    <row r="164">
      <c r="C164" s="3"/>
      <c r="D164" s="3"/>
      <c r="E164" s="3"/>
      <c r="F164" s="2"/>
      <c r="G164" s="3"/>
      <c r="H164" s="3"/>
    </row>
    <row r="165">
      <c r="C165" s="3"/>
      <c r="D165" s="3"/>
      <c r="E165" s="3"/>
      <c r="F165" s="2"/>
      <c r="G165" s="3"/>
      <c r="H165" s="3"/>
    </row>
    <row r="166">
      <c r="C166" s="3"/>
      <c r="D166" s="3"/>
      <c r="E166" s="3"/>
      <c r="F166" s="2"/>
      <c r="G166" s="3"/>
      <c r="H166" s="3"/>
    </row>
    <row r="167">
      <c r="C167" s="3"/>
      <c r="D167" s="3"/>
      <c r="E167" s="3"/>
      <c r="F167" s="2"/>
      <c r="G167" s="3"/>
      <c r="H167" s="3"/>
    </row>
    <row r="168">
      <c r="C168" s="3"/>
      <c r="D168" s="3"/>
      <c r="E168" s="3"/>
      <c r="F168" s="2"/>
      <c r="G168" s="3"/>
      <c r="H168" s="3"/>
    </row>
    <row r="169">
      <c r="C169" s="3"/>
      <c r="D169" s="3"/>
      <c r="E169" s="3"/>
      <c r="F169" s="2"/>
      <c r="G169" s="3"/>
      <c r="H169" s="3"/>
    </row>
    <row r="170">
      <c r="C170" s="3"/>
      <c r="D170" s="3"/>
      <c r="E170" s="3"/>
      <c r="F170" s="2"/>
      <c r="G170" s="3"/>
      <c r="H170" s="3"/>
    </row>
    <row r="171">
      <c r="C171" s="3"/>
      <c r="D171" s="3"/>
      <c r="E171" s="3"/>
      <c r="F171" s="2"/>
      <c r="G171" s="3"/>
      <c r="H171" s="3"/>
    </row>
    <row r="172">
      <c r="C172" s="3"/>
      <c r="D172" s="3"/>
      <c r="E172" s="3"/>
      <c r="F172" s="2"/>
      <c r="G172" s="3"/>
      <c r="H172" s="3"/>
    </row>
    <row r="173">
      <c r="C173" s="3"/>
      <c r="D173" s="3"/>
      <c r="E173" s="3"/>
      <c r="F173" s="2"/>
      <c r="G173" s="3"/>
      <c r="H173" s="3"/>
    </row>
    <row r="174">
      <c r="C174" s="3"/>
      <c r="D174" s="3"/>
      <c r="E174" s="3"/>
      <c r="F174" s="2"/>
      <c r="G174" s="3"/>
      <c r="H174" s="3"/>
    </row>
    <row r="175">
      <c r="C175" s="3"/>
      <c r="D175" s="3"/>
      <c r="E175" s="3"/>
      <c r="F175" s="2"/>
      <c r="G175" s="3"/>
      <c r="H175" s="3"/>
    </row>
    <row r="176">
      <c r="C176" s="3"/>
      <c r="D176" s="3"/>
      <c r="E176" s="3"/>
      <c r="F176" s="2"/>
      <c r="G176" s="3"/>
      <c r="H176" s="3"/>
    </row>
    <row r="177">
      <c r="C177" s="3"/>
      <c r="D177" s="3"/>
      <c r="E177" s="3"/>
      <c r="F177" s="2"/>
      <c r="G177" s="3"/>
      <c r="H177" s="3"/>
    </row>
    <row r="178">
      <c r="C178" s="3"/>
      <c r="D178" s="3"/>
      <c r="E178" s="3"/>
      <c r="F178" s="2"/>
      <c r="G178" s="3"/>
      <c r="H178" s="3"/>
    </row>
    <row r="179">
      <c r="C179" s="3"/>
      <c r="D179" s="3"/>
      <c r="E179" s="3"/>
      <c r="F179" s="2"/>
      <c r="G179" s="3"/>
      <c r="H179" s="3"/>
    </row>
    <row r="180">
      <c r="C180" s="3"/>
      <c r="D180" s="3"/>
      <c r="E180" s="3"/>
      <c r="F180" s="2"/>
      <c r="G180" s="3"/>
      <c r="H180" s="3"/>
    </row>
    <row r="181">
      <c r="C181" s="3"/>
      <c r="D181" s="3"/>
      <c r="E181" s="3"/>
      <c r="F181" s="2"/>
      <c r="G181" s="3"/>
      <c r="H181" s="3"/>
    </row>
    <row r="182">
      <c r="C182" s="3"/>
      <c r="D182" s="3"/>
      <c r="E182" s="3"/>
      <c r="F182" s="2"/>
      <c r="G182" s="3"/>
      <c r="H182" s="3"/>
    </row>
    <row r="183">
      <c r="C183" s="3"/>
      <c r="D183" s="3"/>
      <c r="E183" s="3"/>
      <c r="F183" s="2"/>
      <c r="G183" s="3"/>
      <c r="H183" s="3"/>
    </row>
    <row r="184">
      <c r="C184" s="3"/>
      <c r="D184" s="3"/>
      <c r="E184" s="3"/>
      <c r="F184" s="2"/>
      <c r="G184" s="3"/>
      <c r="H184" s="3"/>
    </row>
    <row r="185">
      <c r="C185" s="3"/>
      <c r="D185" s="3"/>
      <c r="E185" s="3"/>
      <c r="F185" s="2"/>
      <c r="G185" s="3"/>
      <c r="H185" s="3"/>
    </row>
    <row r="186">
      <c r="C186" s="3"/>
      <c r="D186" s="3"/>
      <c r="E186" s="3"/>
      <c r="F186" s="2"/>
      <c r="G186" s="3"/>
      <c r="H186" s="3"/>
    </row>
    <row r="187">
      <c r="C187" s="3"/>
      <c r="D187" s="3"/>
      <c r="E187" s="3"/>
      <c r="F187" s="2"/>
      <c r="G187" s="3"/>
      <c r="H187" s="3"/>
    </row>
    <row r="188">
      <c r="C188" s="3"/>
      <c r="D188" s="3"/>
      <c r="E188" s="3"/>
      <c r="F188" s="2"/>
      <c r="G188" s="3"/>
      <c r="H188" s="3"/>
    </row>
    <row r="189">
      <c r="C189" s="3"/>
      <c r="D189" s="3"/>
      <c r="E189" s="3"/>
      <c r="F189" s="2"/>
      <c r="G189" s="3"/>
      <c r="H189" s="3"/>
    </row>
    <row r="190">
      <c r="C190" s="3"/>
      <c r="D190" s="3"/>
      <c r="E190" s="3"/>
      <c r="F190" s="2"/>
      <c r="G190" s="3"/>
      <c r="H190" s="3"/>
    </row>
    <row r="191">
      <c r="C191" s="3"/>
      <c r="D191" s="3"/>
      <c r="E191" s="3"/>
      <c r="F191" s="2"/>
      <c r="G191" s="3"/>
      <c r="H191" s="3"/>
    </row>
    <row r="192">
      <c r="C192" s="3"/>
      <c r="D192" s="3"/>
      <c r="E192" s="3"/>
      <c r="F192" s="2"/>
      <c r="G192" s="3"/>
      <c r="H192" s="3"/>
    </row>
    <row r="193">
      <c r="C193" s="3"/>
      <c r="D193" s="3"/>
      <c r="E193" s="3"/>
      <c r="F193" s="2"/>
      <c r="G193" s="3"/>
      <c r="H193" s="3"/>
    </row>
    <row r="194">
      <c r="C194" s="3"/>
      <c r="D194" s="3"/>
      <c r="E194" s="3"/>
      <c r="F194" s="2"/>
      <c r="G194" s="3"/>
      <c r="H194" s="3"/>
    </row>
    <row r="195">
      <c r="C195" s="3"/>
      <c r="D195" s="3"/>
      <c r="E195" s="3"/>
      <c r="F195" s="2"/>
      <c r="G195" s="3"/>
      <c r="H195" s="3"/>
    </row>
    <row r="196">
      <c r="C196" s="3"/>
      <c r="D196" s="3"/>
      <c r="E196" s="3"/>
      <c r="F196" s="2"/>
      <c r="G196" s="3"/>
      <c r="H196" s="3"/>
    </row>
    <row r="197">
      <c r="C197" s="3"/>
      <c r="D197" s="3"/>
      <c r="E197" s="3"/>
      <c r="F197" s="2"/>
      <c r="G197" s="3"/>
      <c r="H197" s="3"/>
    </row>
    <row r="198">
      <c r="C198" s="3"/>
      <c r="D198" s="3"/>
      <c r="E198" s="3"/>
      <c r="F198" s="2"/>
      <c r="G198" s="3"/>
      <c r="H198" s="3"/>
    </row>
    <row r="199">
      <c r="C199" s="3"/>
      <c r="D199" s="3"/>
      <c r="E199" s="3"/>
      <c r="F199" s="2"/>
      <c r="G199" s="3"/>
      <c r="H199" s="3"/>
    </row>
    <row r="200">
      <c r="C200" s="3"/>
      <c r="D200" s="3"/>
      <c r="E200" s="3"/>
      <c r="F200" s="2"/>
      <c r="G200" s="3"/>
      <c r="H200" s="3"/>
    </row>
    <row r="201">
      <c r="C201" s="3"/>
      <c r="D201" s="3"/>
      <c r="E201" s="3"/>
      <c r="F201" s="2"/>
      <c r="G201" s="3"/>
      <c r="H201" s="3"/>
    </row>
    <row r="202">
      <c r="C202" s="3"/>
      <c r="D202" s="3"/>
      <c r="E202" s="3"/>
      <c r="F202" s="2"/>
      <c r="G202" s="3"/>
      <c r="H202" s="3"/>
    </row>
    <row r="203">
      <c r="C203" s="3"/>
      <c r="D203" s="3"/>
      <c r="E203" s="3"/>
      <c r="F203" s="2"/>
      <c r="G203" s="3"/>
      <c r="H203" s="3"/>
    </row>
    <row r="204">
      <c r="C204" s="3"/>
      <c r="D204" s="3"/>
      <c r="E204" s="3"/>
      <c r="F204" s="2"/>
      <c r="G204" s="3"/>
      <c r="H204" s="3"/>
    </row>
    <row r="205">
      <c r="C205" s="3"/>
      <c r="D205" s="3"/>
      <c r="E205" s="3"/>
      <c r="F205" s="2"/>
      <c r="G205" s="3"/>
      <c r="H205" s="3"/>
    </row>
    <row r="206">
      <c r="C206" s="3"/>
      <c r="D206" s="3"/>
      <c r="E206" s="3"/>
      <c r="F206" s="2"/>
      <c r="G206" s="3"/>
      <c r="H206" s="3"/>
    </row>
    <row r="207">
      <c r="C207" s="3"/>
      <c r="D207" s="3"/>
      <c r="E207" s="3"/>
      <c r="F207" s="2"/>
      <c r="G207" s="3"/>
      <c r="H207" s="3"/>
    </row>
    <row r="208">
      <c r="C208" s="3"/>
      <c r="D208" s="3"/>
      <c r="E208" s="3"/>
      <c r="F208" s="2"/>
      <c r="G208" s="3"/>
      <c r="H208" s="3"/>
    </row>
    <row r="209">
      <c r="C209" s="3"/>
      <c r="D209" s="3"/>
      <c r="E209" s="3"/>
      <c r="F209" s="2"/>
      <c r="G209" s="3"/>
      <c r="H209" s="3"/>
    </row>
    <row r="210">
      <c r="C210" s="3"/>
      <c r="D210" s="3"/>
      <c r="E210" s="3"/>
      <c r="F210" s="2"/>
      <c r="G210" s="3"/>
      <c r="H210" s="3"/>
    </row>
    <row r="211">
      <c r="C211" s="3"/>
      <c r="D211" s="3"/>
      <c r="E211" s="3"/>
      <c r="F211" s="2"/>
      <c r="G211" s="3"/>
      <c r="H211" s="3"/>
    </row>
    <row r="212">
      <c r="C212" s="3"/>
      <c r="D212" s="3"/>
      <c r="E212" s="3"/>
      <c r="F212" s="2"/>
      <c r="G212" s="3"/>
      <c r="H212" s="3"/>
    </row>
    <row r="213">
      <c r="C213" s="3"/>
      <c r="D213" s="3"/>
      <c r="E213" s="3"/>
      <c r="F213" s="2"/>
      <c r="G213" s="3"/>
      <c r="H213" s="3"/>
    </row>
    <row r="214">
      <c r="C214" s="3"/>
      <c r="D214" s="3"/>
      <c r="E214" s="3"/>
      <c r="F214" s="2"/>
      <c r="G214" s="3"/>
      <c r="H214" s="3"/>
    </row>
    <row r="215">
      <c r="C215" s="3"/>
      <c r="D215" s="3"/>
      <c r="E215" s="3"/>
      <c r="F215" s="2"/>
      <c r="G215" s="3"/>
      <c r="H215" s="3"/>
    </row>
    <row r="216">
      <c r="C216" s="3"/>
      <c r="D216" s="3"/>
      <c r="E216" s="3"/>
      <c r="F216" s="2"/>
      <c r="G216" s="3"/>
      <c r="H216" s="3"/>
    </row>
    <row r="217">
      <c r="C217" s="3"/>
      <c r="D217" s="3"/>
      <c r="E217" s="3"/>
      <c r="F217" s="2"/>
      <c r="G217" s="3"/>
      <c r="H217" s="3"/>
    </row>
    <row r="218">
      <c r="C218" s="3"/>
      <c r="D218" s="3"/>
      <c r="E218" s="3"/>
      <c r="F218" s="2"/>
      <c r="G218" s="3"/>
      <c r="H218" s="3"/>
    </row>
    <row r="219">
      <c r="C219" s="3"/>
      <c r="D219" s="3"/>
      <c r="E219" s="3"/>
      <c r="F219" s="2"/>
      <c r="G219" s="3"/>
      <c r="H219" s="3"/>
    </row>
    <row r="220">
      <c r="C220" s="3"/>
      <c r="D220" s="3"/>
      <c r="E220" s="3"/>
      <c r="F220" s="2"/>
      <c r="G220" s="3"/>
      <c r="H220" s="3"/>
    </row>
    <row r="221">
      <c r="C221" s="3"/>
      <c r="D221" s="3"/>
      <c r="E221" s="3"/>
      <c r="F221" s="2"/>
      <c r="G221" s="3"/>
      <c r="H221" s="3"/>
    </row>
    <row r="222">
      <c r="C222" s="3"/>
      <c r="D222" s="3"/>
      <c r="E222" s="3"/>
      <c r="F222" s="2"/>
      <c r="G222" s="3"/>
      <c r="H222" s="3"/>
    </row>
    <row r="223">
      <c r="C223" s="3"/>
      <c r="D223" s="3"/>
      <c r="E223" s="3"/>
      <c r="F223" s="2"/>
      <c r="G223" s="3"/>
      <c r="H223" s="3"/>
    </row>
    <row r="224">
      <c r="C224" s="3"/>
      <c r="D224" s="3"/>
      <c r="E224" s="3"/>
      <c r="F224" s="2"/>
      <c r="G224" s="3"/>
      <c r="H224" s="3"/>
    </row>
    <row r="225">
      <c r="C225" s="3"/>
      <c r="D225" s="3"/>
      <c r="E225" s="3"/>
      <c r="F225" s="2"/>
      <c r="G225" s="3"/>
      <c r="H225" s="3"/>
    </row>
    <row r="226">
      <c r="C226" s="3"/>
      <c r="D226" s="3"/>
      <c r="E226" s="3"/>
      <c r="F226" s="2"/>
      <c r="G226" s="3"/>
      <c r="H226" s="3"/>
    </row>
    <row r="227">
      <c r="C227" s="3"/>
      <c r="D227" s="3"/>
      <c r="E227" s="3"/>
      <c r="F227" s="2"/>
      <c r="G227" s="3"/>
      <c r="H227" s="3"/>
    </row>
    <row r="228">
      <c r="C228" s="3"/>
      <c r="D228" s="3"/>
      <c r="E228" s="3"/>
      <c r="F228" s="2"/>
      <c r="G228" s="3"/>
      <c r="H228" s="3"/>
    </row>
    <row r="229">
      <c r="C229" s="3"/>
      <c r="D229" s="3"/>
      <c r="E229" s="3"/>
      <c r="F229" s="2"/>
      <c r="G229" s="3"/>
      <c r="H229" s="3"/>
    </row>
    <row r="230">
      <c r="C230" s="3"/>
      <c r="D230" s="3"/>
      <c r="E230" s="3"/>
      <c r="F230" s="2"/>
      <c r="G230" s="3"/>
      <c r="H230" s="3"/>
    </row>
    <row r="231">
      <c r="C231" s="3"/>
      <c r="D231" s="3"/>
      <c r="E231" s="3"/>
      <c r="F231" s="2"/>
      <c r="G231" s="3"/>
      <c r="H231" s="3"/>
    </row>
    <row r="232">
      <c r="C232" s="3"/>
      <c r="D232" s="3"/>
      <c r="E232" s="3"/>
      <c r="F232" s="2"/>
      <c r="G232" s="3"/>
      <c r="H232" s="3"/>
    </row>
    <row r="233">
      <c r="C233" s="3"/>
      <c r="D233" s="3"/>
      <c r="E233" s="3"/>
      <c r="F233" s="2"/>
      <c r="G233" s="3"/>
      <c r="H233" s="3"/>
    </row>
    <row r="234">
      <c r="C234" s="3"/>
      <c r="D234" s="3"/>
      <c r="E234" s="3"/>
      <c r="F234" s="2"/>
      <c r="G234" s="3"/>
      <c r="H234" s="3"/>
    </row>
    <row r="235">
      <c r="C235" s="3"/>
      <c r="D235" s="3"/>
      <c r="E235" s="3"/>
      <c r="F235" s="2"/>
      <c r="G235" s="3"/>
      <c r="H235" s="3"/>
    </row>
    <row r="236">
      <c r="C236" s="3"/>
      <c r="D236" s="3"/>
      <c r="E236" s="3"/>
      <c r="F236" s="2"/>
      <c r="G236" s="3"/>
      <c r="H236" s="3"/>
    </row>
    <row r="237">
      <c r="C237" s="3"/>
      <c r="D237" s="3"/>
      <c r="E237" s="3"/>
      <c r="F237" s="2"/>
      <c r="G237" s="3"/>
      <c r="H237" s="3"/>
    </row>
    <row r="238">
      <c r="C238" s="3"/>
      <c r="D238" s="3"/>
      <c r="E238" s="3"/>
      <c r="F238" s="2"/>
      <c r="G238" s="3"/>
      <c r="H238" s="3"/>
    </row>
    <row r="239">
      <c r="C239" s="3"/>
      <c r="D239" s="3"/>
      <c r="E239" s="3"/>
      <c r="F239" s="2"/>
      <c r="G239" s="3"/>
      <c r="H239" s="3"/>
    </row>
    <row r="240">
      <c r="C240" s="3"/>
      <c r="D240" s="3"/>
      <c r="E240" s="3"/>
      <c r="F240" s="2"/>
      <c r="G240" s="3"/>
      <c r="H240" s="3"/>
    </row>
    <row r="241">
      <c r="C241" s="3"/>
      <c r="D241" s="3"/>
      <c r="E241" s="3"/>
      <c r="F241" s="2"/>
      <c r="G241" s="3"/>
      <c r="H241" s="3"/>
    </row>
    <row r="242">
      <c r="C242" s="3"/>
      <c r="D242" s="3"/>
      <c r="E242" s="3"/>
      <c r="F242" s="2"/>
      <c r="G242" s="3"/>
      <c r="H242" s="3"/>
    </row>
    <row r="243">
      <c r="C243" s="3"/>
      <c r="D243" s="3"/>
      <c r="E243" s="3"/>
      <c r="F243" s="2"/>
      <c r="G243" s="3"/>
      <c r="H243" s="3"/>
    </row>
    <row r="244">
      <c r="C244" s="3"/>
      <c r="D244" s="3"/>
      <c r="E244" s="3"/>
      <c r="F244" s="2"/>
      <c r="G244" s="3"/>
      <c r="H244" s="3"/>
    </row>
    <row r="245">
      <c r="C245" s="3"/>
      <c r="D245" s="3"/>
      <c r="E245" s="3"/>
      <c r="F245" s="2"/>
      <c r="G245" s="3"/>
      <c r="H245" s="3"/>
    </row>
    <row r="246">
      <c r="C246" s="3"/>
      <c r="D246" s="3"/>
      <c r="E246" s="3"/>
      <c r="F246" s="2"/>
      <c r="G246" s="3"/>
      <c r="H246" s="3"/>
    </row>
    <row r="247">
      <c r="C247" s="3"/>
      <c r="D247" s="3"/>
      <c r="E247" s="3"/>
      <c r="F247" s="2"/>
      <c r="G247" s="3"/>
      <c r="H247" s="3"/>
    </row>
    <row r="248">
      <c r="C248" s="3"/>
      <c r="D248" s="3"/>
      <c r="E248" s="3"/>
      <c r="F248" s="2"/>
      <c r="G248" s="3"/>
      <c r="H248" s="3"/>
    </row>
    <row r="249">
      <c r="C249" s="3"/>
      <c r="D249" s="3"/>
      <c r="E249" s="3"/>
      <c r="F249" s="2"/>
      <c r="G249" s="3"/>
      <c r="H249" s="3"/>
    </row>
    <row r="250">
      <c r="C250" s="3"/>
      <c r="D250" s="3"/>
      <c r="E250" s="3"/>
      <c r="F250" s="2"/>
      <c r="G250" s="3"/>
      <c r="H250" s="3"/>
    </row>
    <row r="251">
      <c r="C251" s="3"/>
      <c r="D251" s="3"/>
      <c r="E251" s="3"/>
      <c r="F251" s="2"/>
      <c r="G251" s="3"/>
      <c r="H251" s="3"/>
    </row>
    <row r="252">
      <c r="C252" s="3"/>
      <c r="D252" s="3"/>
      <c r="E252" s="3"/>
      <c r="F252" s="2"/>
      <c r="G252" s="3"/>
      <c r="H252" s="3"/>
    </row>
    <row r="253">
      <c r="C253" s="3"/>
      <c r="D253" s="3"/>
      <c r="E253" s="3"/>
      <c r="F253" s="2"/>
      <c r="G253" s="3"/>
      <c r="H253" s="3"/>
    </row>
    <row r="254">
      <c r="C254" s="3"/>
      <c r="D254" s="3"/>
      <c r="E254" s="3"/>
      <c r="F254" s="2"/>
      <c r="G254" s="3"/>
      <c r="H254" s="3"/>
    </row>
    <row r="255">
      <c r="C255" s="3"/>
      <c r="D255" s="3"/>
      <c r="E255" s="3"/>
      <c r="F255" s="2"/>
      <c r="G255" s="3"/>
      <c r="H255" s="3"/>
    </row>
    <row r="256">
      <c r="C256" s="3"/>
      <c r="D256" s="3"/>
      <c r="E256" s="3"/>
      <c r="F256" s="2"/>
      <c r="G256" s="3"/>
      <c r="H256" s="3"/>
    </row>
    <row r="257">
      <c r="C257" s="3"/>
      <c r="D257" s="3"/>
      <c r="E257" s="3"/>
      <c r="F257" s="2"/>
      <c r="G257" s="3"/>
      <c r="H257" s="3"/>
    </row>
    <row r="258">
      <c r="C258" s="3"/>
      <c r="D258" s="3"/>
      <c r="E258" s="3"/>
      <c r="F258" s="2"/>
      <c r="G258" s="3"/>
      <c r="H258" s="3"/>
    </row>
    <row r="259">
      <c r="C259" s="3"/>
      <c r="D259" s="3"/>
      <c r="E259" s="3"/>
      <c r="F259" s="2"/>
      <c r="G259" s="3"/>
      <c r="H259" s="3"/>
    </row>
    <row r="260">
      <c r="C260" s="3"/>
      <c r="D260" s="3"/>
      <c r="E260" s="3"/>
      <c r="F260" s="2"/>
      <c r="G260" s="3"/>
      <c r="H260" s="3"/>
    </row>
    <row r="261">
      <c r="C261" s="3"/>
      <c r="D261" s="3"/>
      <c r="E261" s="3"/>
      <c r="F261" s="2"/>
      <c r="G261" s="3"/>
      <c r="H261" s="3"/>
    </row>
    <row r="262">
      <c r="C262" s="3"/>
      <c r="D262" s="3"/>
      <c r="E262" s="3"/>
      <c r="F262" s="2"/>
      <c r="G262" s="3"/>
      <c r="H262" s="3"/>
    </row>
    <row r="263">
      <c r="C263" s="3"/>
      <c r="D263" s="3"/>
      <c r="E263" s="3"/>
      <c r="F263" s="2"/>
      <c r="G263" s="3"/>
      <c r="H263" s="3"/>
    </row>
    <row r="264">
      <c r="C264" s="3"/>
      <c r="D264" s="3"/>
      <c r="E264" s="3"/>
      <c r="F264" s="2"/>
      <c r="G264" s="3"/>
      <c r="H264" s="3"/>
    </row>
    <row r="265">
      <c r="C265" s="3"/>
      <c r="D265" s="3"/>
      <c r="E265" s="3"/>
      <c r="F265" s="2"/>
      <c r="G265" s="3"/>
      <c r="H265" s="3"/>
    </row>
    <row r="266">
      <c r="C266" s="3"/>
      <c r="D266" s="3"/>
      <c r="E266" s="3"/>
      <c r="F266" s="2"/>
      <c r="G266" s="3"/>
      <c r="H266" s="3"/>
    </row>
    <row r="267">
      <c r="C267" s="3"/>
      <c r="D267" s="3"/>
      <c r="E267" s="3"/>
      <c r="F267" s="2"/>
      <c r="G267" s="3"/>
      <c r="H267" s="3"/>
    </row>
    <row r="268">
      <c r="C268" s="3"/>
      <c r="D268" s="3"/>
      <c r="E268" s="3"/>
      <c r="F268" s="2"/>
      <c r="G268" s="3"/>
      <c r="H268" s="3"/>
    </row>
    <row r="269">
      <c r="C269" s="3"/>
      <c r="D269" s="3"/>
      <c r="E269" s="3"/>
      <c r="F269" s="2"/>
      <c r="G269" s="3"/>
      <c r="H269" s="3"/>
    </row>
    <row r="270">
      <c r="C270" s="3"/>
      <c r="D270" s="3"/>
      <c r="E270" s="3"/>
      <c r="F270" s="2"/>
      <c r="G270" s="3"/>
      <c r="H270" s="3"/>
    </row>
    <row r="271">
      <c r="C271" s="3"/>
      <c r="D271" s="3"/>
      <c r="E271" s="3"/>
      <c r="F271" s="2"/>
      <c r="G271" s="3"/>
      <c r="H271" s="3"/>
    </row>
    <row r="272">
      <c r="C272" s="3"/>
      <c r="D272" s="3"/>
      <c r="E272" s="3"/>
      <c r="F272" s="2"/>
      <c r="G272" s="3"/>
      <c r="H272" s="3"/>
    </row>
    <row r="273">
      <c r="C273" s="3"/>
      <c r="D273" s="3"/>
      <c r="E273" s="3"/>
      <c r="F273" s="2"/>
      <c r="G273" s="3"/>
      <c r="H273" s="3"/>
    </row>
    <row r="274">
      <c r="C274" s="3"/>
      <c r="D274" s="3"/>
      <c r="E274" s="3"/>
      <c r="F274" s="2"/>
      <c r="G274" s="3"/>
      <c r="H274" s="3"/>
    </row>
    <row r="275">
      <c r="C275" s="3"/>
      <c r="D275" s="3"/>
      <c r="E275" s="3"/>
      <c r="F275" s="2"/>
      <c r="G275" s="3"/>
      <c r="H275" s="3"/>
    </row>
    <row r="276">
      <c r="C276" s="3"/>
      <c r="D276" s="3"/>
      <c r="E276" s="3"/>
      <c r="F276" s="2"/>
      <c r="G276" s="3"/>
      <c r="H276" s="3"/>
    </row>
    <row r="277">
      <c r="C277" s="3"/>
      <c r="D277" s="3"/>
      <c r="E277" s="3"/>
      <c r="F277" s="2"/>
      <c r="G277" s="3"/>
      <c r="H277" s="3"/>
    </row>
    <row r="278">
      <c r="C278" s="3"/>
      <c r="D278" s="3"/>
      <c r="E278" s="3"/>
      <c r="F278" s="2"/>
      <c r="G278" s="3"/>
      <c r="H278" s="3"/>
    </row>
    <row r="279">
      <c r="C279" s="3"/>
      <c r="D279" s="3"/>
      <c r="E279" s="3"/>
      <c r="F279" s="2"/>
      <c r="G279" s="3"/>
      <c r="H279" s="3"/>
    </row>
    <row r="280">
      <c r="C280" s="3"/>
      <c r="D280" s="3"/>
      <c r="E280" s="3"/>
      <c r="F280" s="2"/>
      <c r="G280" s="3"/>
      <c r="H280" s="3"/>
    </row>
    <row r="281">
      <c r="C281" s="3"/>
      <c r="D281" s="3"/>
      <c r="E281" s="3"/>
      <c r="F281" s="2"/>
      <c r="G281" s="3"/>
      <c r="H281" s="3"/>
    </row>
    <row r="282">
      <c r="C282" s="3"/>
      <c r="D282" s="3"/>
      <c r="E282" s="3"/>
      <c r="F282" s="2"/>
      <c r="G282" s="3"/>
      <c r="H282" s="3"/>
    </row>
    <row r="283">
      <c r="C283" s="3"/>
      <c r="D283" s="3"/>
      <c r="E283" s="3"/>
      <c r="F283" s="2"/>
      <c r="G283" s="3"/>
      <c r="H283" s="3"/>
    </row>
    <row r="284">
      <c r="C284" s="3"/>
      <c r="D284" s="3"/>
      <c r="E284" s="3"/>
      <c r="F284" s="2"/>
      <c r="G284" s="3"/>
      <c r="H284" s="3"/>
    </row>
    <row r="285">
      <c r="C285" s="3"/>
      <c r="D285" s="3"/>
      <c r="E285" s="3"/>
      <c r="F285" s="2"/>
      <c r="G285" s="3"/>
      <c r="H285" s="3"/>
    </row>
    <row r="286">
      <c r="C286" s="3"/>
      <c r="D286" s="3"/>
      <c r="E286" s="3"/>
      <c r="F286" s="2"/>
      <c r="G286" s="3"/>
      <c r="H286" s="3"/>
    </row>
    <row r="287">
      <c r="C287" s="3"/>
      <c r="D287" s="3"/>
      <c r="E287" s="3"/>
      <c r="F287" s="2"/>
      <c r="G287" s="3"/>
      <c r="H287" s="3"/>
    </row>
    <row r="288">
      <c r="C288" s="3"/>
      <c r="D288" s="3"/>
      <c r="E288" s="3"/>
      <c r="F288" s="2"/>
      <c r="G288" s="3"/>
      <c r="H288" s="3"/>
    </row>
    <row r="289">
      <c r="C289" s="3"/>
      <c r="D289" s="3"/>
      <c r="E289" s="3"/>
      <c r="F289" s="2"/>
      <c r="G289" s="3"/>
      <c r="H289" s="3"/>
    </row>
    <row r="290">
      <c r="C290" s="3"/>
      <c r="D290" s="3"/>
      <c r="E290" s="3"/>
      <c r="F290" s="2"/>
      <c r="G290" s="3"/>
      <c r="H290" s="3"/>
    </row>
    <row r="291">
      <c r="C291" s="3"/>
      <c r="D291" s="3"/>
      <c r="E291" s="3"/>
      <c r="F291" s="2"/>
      <c r="G291" s="3"/>
      <c r="H291" s="3"/>
    </row>
    <row r="292">
      <c r="C292" s="3"/>
      <c r="D292" s="3"/>
      <c r="E292" s="3"/>
      <c r="F292" s="2"/>
      <c r="G292" s="3"/>
      <c r="H292" s="3"/>
    </row>
    <row r="293">
      <c r="C293" s="3"/>
      <c r="D293" s="3"/>
      <c r="E293" s="3"/>
      <c r="F293" s="2"/>
      <c r="G293" s="3"/>
      <c r="H293" s="3"/>
    </row>
    <row r="294">
      <c r="C294" s="3"/>
      <c r="D294" s="3"/>
      <c r="E294" s="3"/>
      <c r="F294" s="2"/>
      <c r="G294" s="3"/>
      <c r="H294" s="3"/>
    </row>
    <row r="295">
      <c r="C295" s="3"/>
      <c r="D295" s="3"/>
      <c r="E295" s="3"/>
      <c r="F295" s="2"/>
      <c r="G295" s="3"/>
      <c r="H295" s="3"/>
    </row>
    <row r="296">
      <c r="C296" s="3"/>
      <c r="D296" s="3"/>
      <c r="E296" s="3"/>
      <c r="F296" s="2"/>
      <c r="G296" s="3"/>
      <c r="H296" s="3"/>
    </row>
    <row r="297">
      <c r="C297" s="3"/>
      <c r="D297" s="3"/>
      <c r="E297" s="3"/>
      <c r="F297" s="2"/>
      <c r="G297" s="3"/>
      <c r="H297" s="3"/>
    </row>
    <row r="298">
      <c r="C298" s="3"/>
      <c r="D298" s="3"/>
      <c r="E298" s="3"/>
      <c r="F298" s="2"/>
      <c r="G298" s="3"/>
      <c r="H298" s="3"/>
    </row>
    <row r="299">
      <c r="C299" s="3"/>
      <c r="D299" s="3"/>
      <c r="E299" s="3"/>
      <c r="F299" s="2"/>
      <c r="G299" s="3"/>
      <c r="H299" s="3"/>
    </row>
    <row r="300">
      <c r="C300" s="3"/>
      <c r="D300" s="3"/>
      <c r="E300" s="3"/>
      <c r="F300" s="2"/>
      <c r="G300" s="3"/>
      <c r="H300" s="3"/>
    </row>
    <row r="301">
      <c r="C301" s="3"/>
      <c r="D301" s="3"/>
      <c r="E301" s="3"/>
      <c r="F301" s="2"/>
      <c r="G301" s="3"/>
      <c r="H301" s="3"/>
    </row>
    <row r="302">
      <c r="C302" s="3"/>
      <c r="D302" s="3"/>
      <c r="E302" s="3"/>
      <c r="F302" s="2"/>
      <c r="G302" s="3"/>
      <c r="H302" s="3"/>
    </row>
    <row r="303">
      <c r="C303" s="3"/>
      <c r="D303" s="3"/>
      <c r="E303" s="3"/>
      <c r="F303" s="2"/>
      <c r="G303" s="3"/>
      <c r="H303" s="3"/>
    </row>
    <row r="304">
      <c r="C304" s="3"/>
      <c r="D304" s="3"/>
      <c r="E304" s="3"/>
      <c r="F304" s="2"/>
      <c r="G304" s="3"/>
      <c r="H304" s="3"/>
    </row>
    <row r="305">
      <c r="C305" s="3"/>
      <c r="D305" s="3"/>
      <c r="E305" s="3"/>
      <c r="F305" s="2"/>
      <c r="G305" s="3"/>
      <c r="H305" s="3"/>
    </row>
    <row r="306">
      <c r="C306" s="3"/>
      <c r="D306" s="3"/>
      <c r="E306" s="3"/>
      <c r="F306" s="2"/>
      <c r="G306" s="3"/>
      <c r="H306" s="3"/>
    </row>
    <row r="307">
      <c r="C307" s="3"/>
      <c r="D307" s="3"/>
      <c r="E307" s="3"/>
      <c r="F307" s="2"/>
      <c r="G307" s="3"/>
      <c r="H307" s="3"/>
    </row>
    <row r="308">
      <c r="C308" s="3"/>
      <c r="D308" s="3"/>
      <c r="E308" s="3"/>
      <c r="F308" s="2"/>
      <c r="G308" s="3"/>
      <c r="H308" s="3"/>
    </row>
    <row r="309">
      <c r="C309" s="3"/>
      <c r="D309" s="3"/>
      <c r="E309" s="3"/>
      <c r="F309" s="2"/>
      <c r="G309" s="3"/>
      <c r="H309" s="3"/>
    </row>
    <row r="310">
      <c r="C310" s="3"/>
      <c r="D310" s="3"/>
      <c r="E310" s="3"/>
      <c r="F310" s="2"/>
      <c r="G310" s="3"/>
      <c r="H310" s="3"/>
    </row>
    <row r="311">
      <c r="C311" s="3"/>
      <c r="D311" s="3"/>
      <c r="E311" s="3"/>
      <c r="F311" s="2"/>
      <c r="G311" s="3"/>
      <c r="H311" s="3"/>
    </row>
    <row r="312">
      <c r="C312" s="3"/>
      <c r="D312" s="3"/>
      <c r="E312" s="3"/>
      <c r="F312" s="2"/>
      <c r="G312" s="3"/>
      <c r="H312" s="3"/>
    </row>
    <row r="313">
      <c r="C313" s="3"/>
      <c r="D313" s="3"/>
      <c r="E313" s="3"/>
      <c r="F313" s="2"/>
      <c r="G313" s="3"/>
      <c r="H313" s="3"/>
    </row>
    <row r="314">
      <c r="C314" s="3"/>
      <c r="D314" s="3"/>
      <c r="E314" s="3"/>
      <c r="F314" s="2"/>
      <c r="G314" s="3"/>
      <c r="H314" s="3"/>
    </row>
    <row r="315">
      <c r="C315" s="3"/>
      <c r="D315" s="3"/>
      <c r="E315" s="3"/>
      <c r="F315" s="2"/>
      <c r="G315" s="3"/>
      <c r="H315" s="3"/>
    </row>
    <row r="316">
      <c r="C316" s="3"/>
      <c r="D316" s="3"/>
      <c r="E316" s="3"/>
      <c r="F316" s="2"/>
      <c r="G316" s="3"/>
      <c r="H316" s="3"/>
    </row>
    <row r="317">
      <c r="C317" s="3"/>
      <c r="D317" s="3"/>
      <c r="E317" s="3"/>
      <c r="F317" s="2"/>
      <c r="G317" s="3"/>
      <c r="H317" s="3"/>
    </row>
    <row r="318">
      <c r="C318" s="3"/>
      <c r="D318" s="3"/>
      <c r="E318" s="3"/>
      <c r="F318" s="2"/>
      <c r="G318" s="3"/>
      <c r="H318" s="3"/>
    </row>
    <row r="319">
      <c r="C319" s="3"/>
      <c r="D319" s="3"/>
      <c r="E319" s="3"/>
      <c r="F319" s="2"/>
      <c r="G319" s="3"/>
      <c r="H319" s="3"/>
    </row>
    <row r="320">
      <c r="C320" s="3"/>
      <c r="D320" s="3"/>
      <c r="E320" s="3"/>
      <c r="F320" s="2"/>
      <c r="G320" s="3"/>
      <c r="H320" s="3"/>
    </row>
    <row r="321">
      <c r="C321" s="3"/>
      <c r="D321" s="3"/>
      <c r="E321" s="3"/>
      <c r="F321" s="2"/>
      <c r="G321" s="3"/>
      <c r="H321" s="3"/>
    </row>
    <row r="322">
      <c r="C322" s="3"/>
      <c r="D322" s="3"/>
      <c r="E322" s="3"/>
      <c r="F322" s="2"/>
      <c r="G322" s="3"/>
      <c r="H322" s="3"/>
    </row>
    <row r="323">
      <c r="C323" s="3"/>
      <c r="D323" s="3"/>
      <c r="E323" s="3"/>
      <c r="F323" s="2"/>
      <c r="G323" s="3"/>
      <c r="H323" s="3"/>
    </row>
    <row r="324">
      <c r="C324" s="3"/>
      <c r="D324" s="3"/>
      <c r="E324" s="3"/>
      <c r="F324" s="2"/>
      <c r="G324" s="3"/>
      <c r="H324" s="3"/>
    </row>
    <row r="325">
      <c r="C325" s="3"/>
      <c r="D325" s="3"/>
      <c r="E325" s="3"/>
      <c r="F325" s="2"/>
      <c r="G325" s="3"/>
      <c r="H325" s="3"/>
    </row>
    <row r="326">
      <c r="C326" s="3"/>
      <c r="D326" s="3"/>
      <c r="E326" s="3"/>
      <c r="F326" s="2"/>
      <c r="G326" s="3"/>
      <c r="H326" s="3"/>
    </row>
    <row r="327">
      <c r="C327" s="3"/>
      <c r="D327" s="3"/>
      <c r="E327" s="3"/>
      <c r="F327" s="2"/>
      <c r="G327" s="3"/>
      <c r="H327" s="3"/>
    </row>
    <row r="328">
      <c r="C328" s="3"/>
      <c r="D328" s="3"/>
      <c r="E328" s="3"/>
      <c r="F328" s="2"/>
      <c r="G328" s="3"/>
      <c r="H328" s="3"/>
    </row>
    <row r="329">
      <c r="C329" s="3"/>
      <c r="D329" s="3"/>
      <c r="E329" s="3"/>
      <c r="F329" s="2"/>
      <c r="G329" s="3"/>
      <c r="H329" s="3"/>
    </row>
    <row r="330">
      <c r="C330" s="3"/>
      <c r="D330" s="3"/>
      <c r="E330" s="3"/>
      <c r="F330" s="2"/>
      <c r="G330" s="3"/>
      <c r="H330" s="3"/>
    </row>
    <row r="331">
      <c r="C331" s="3"/>
      <c r="D331" s="3"/>
      <c r="E331" s="3"/>
      <c r="F331" s="2"/>
      <c r="G331" s="3"/>
      <c r="H331" s="3"/>
    </row>
    <row r="332">
      <c r="C332" s="3"/>
      <c r="D332" s="3"/>
      <c r="E332" s="3"/>
      <c r="F332" s="2"/>
      <c r="G332" s="3"/>
      <c r="H332" s="3"/>
    </row>
    <row r="333">
      <c r="C333" s="3"/>
      <c r="D333" s="3"/>
      <c r="E333" s="3"/>
      <c r="F333" s="2"/>
      <c r="G333" s="3"/>
      <c r="H333" s="3"/>
    </row>
    <row r="334">
      <c r="C334" s="3"/>
      <c r="D334" s="3"/>
      <c r="E334" s="3"/>
      <c r="F334" s="2"/>
      <c r="G334" s="3"/>
      <c r="H334" s="3"/>
    </row>
    <row r="335">
      <c r="C335" s="3"/>
      <c r="D335" s="3"/>
      <c r="E335" s="3"/>
      <c r="F335" s="2"/>
      <c r="G335" s="3"/>
      <c r="H335" s="3"/>
    </row>
    <row r="336">
      <c r="C336" s="3"/>
      <c r="D336" s="3"/>
      <c r="E336" s="3"/>
      <c r="F336" s="2"/>
      <c r="G336" s="3"/>
      <c r="H336" s="3"/>
    </row>
    <row r="337">
      <c r="C337" s="3"/>
      <c r="D337" s="3"/>
      <c r="E337" s="3"/>
      <c r="F337" s="2"/>
      <c r="G337" s="3"/>
      <c r="H337" s="3"/>
    </row>
    <row r="338">
      <c r="C338" s="3"/>
      <c r="D338" s="3"/>
      <c r="E338" s="3"/>
      <c r="F338" s="2"/>
      <c r="G338" s="3"/>
      <c r="H338" s="3"/>
    </row>
    <row r="339">
      <c r="C339" s="3"/>
      <c r="D339" s="3"/>
      <c r="E339" s="3"/>
      <c r="F339" s="2"/>
      <c r="G339" s="3"/>
      <c r="H339" s="3"/>
    </row>
    <row r="340">
      <c r="C340" s="3"/>
      <c r="D340" s="3"/>
      <c r="E340" s="3"/>
      <c r="F340" s="2"/>
      <c r="G340" s="3"/>
      <c r="H340" s="3"/>
    </row>
    <row r="341">
      <c r="C341" s="3"/>
      <c r="D341" s="3"/>
      <c r="E341" s="3"/>
      <c r="F341" s="2"/>
      <c r="G341" s="3"/>
      <c r="H341" s="3"/>
    </row>
    <row r="342">
      <c r="C342" s="3"/>
      <c r="D342" s="3"/>
      <c r="E342" s="3"/>
      <c r="F342" s="2"/>
      <c r="G342" s="3"/>
      <c r="H342" s="3"/>
    </row>
    <row r="343">
      <c r="C343" s="3"/>
      <c r="D343" s="3"/>
      <c r="E343" s="3"/>
      <c r="F343" s="2"/>
      <c r="G343" s="3"/>
      <c r="H343" s="3"/>
    </row>
    <row r="344">
      <c r="C344" s="3"/>
      <c r="D344" s="3"/>
      <c r="E344" s="3"/>
      <c r="F344" s="2"/>
      <c r="G344" s="3"/>
      <c r="H344" s="3"/>
    </row>
    <row r="345">
      <c r="C345" s="3"/>
      <c r="D345" s="3"/>
      <c r="E345" s="3"/>
      <c r="F345" s="2"/>
      <c r="G345" s="3"/>
      <c r="H345" s="3"/>
    </row>
    <row r="346">
      <c r="C346" s="3"/>
      <c r="D346" s="3"/>
      <c r="E346" s="3"/>
      <c r="F346" s="2"/>
      <c r="G346" s="3"/>
      <c r="H346" s="3"/>
    </row>
    <row r="347">
      <c r="C347" s="3"/>
      <c r="D347" s="3"/>
      <c r="E347" s="3"/>
      <c r="F347" s="2"/>
      <c r="G347" s="3"/>
      <c r="H347" s="3"/>
    </row>
    <row r="348">
      <c r="C348" s="3"/>
      <c r="D348" s="3"/>
      <c r="E348" s="3"/>
      <c r="F348" s="2"/>
      <c r="G348" s="3"/>
      <c r="H348" s="3"/>
    </row>
    <row r="349">
      <c r="C349" s="3"/>
      <c r="D349" s="3"/>
      <c r="E349" s="3"/>
      <c r="F349" s="2"/>
      <c r="G349" s="3"/>
      <c r="H349" s="3"/>
    </row>
    <row r="350">
      <c r="C350" s="3"/>
      <c r="D350" s="3"/>
      <c r="E350" s="3"/>
      <c r="F350" s="2"/>
      <c r="G350" s="3"/>
      <c r="H350" s="3"/>
    </row>
    <row r="351">
      <c r="C351" s="3"/>
      <c r="D351" s="3"/>
      <c r="E351" s="3"/>
      <c r="F351" s="2"/>
      <c r="G351" s="3"/>
      <c r="H351" s="3"/>
    </row>
    <row r="352">
      <c r="C352" s="3"/>
      <c r="D352" s="3"/>
      <c r="E352" s="3"/>
      <c r="F352" s="2"/>
      <c r="G352" s="3"/>
      <c r="H352" s="3"/>
    </row>
    <row r="353">
      <c r="C353" s="3"/>
      <c r="D353" s="3"/>
      <c r="E353" s="3"/>
      <c r="F353" s="2"/>
      <c r="G353" s="3"/>
      <c r="H353" s="3"/>
    </row>
    <row r="354">
      <c r="C354" s="3"/>
      <c r="D354" s="3"/>
      <c r="E354" s="3"/>
      <c r="F354" s="2"/>
      <c r="G354" s="3"/>
      <c r="H354" s="3"/>
    </row>
    <row r="355">
      <c r="C355" s="3"/>
      <c r="D355" s="3"/>
      <c r="E355" s="3"/>
      <c r="F355" s="2"/>
      <c r="G355" s="3"/>
      <c r="H355" s="3"/>
    </row>
    <row r="356">
      <c r="C356" s="3"/>
      <c r="D356" s="3"/>
      <c r="E356" s="3"/>
      <c r="F356" s="2"/>
      <c r="G356" s="3"/>
      <c r="H356" s="3"/>
    </row>
    <row r="357">
      <c r="C357" s="3"/>
      <c r="D357" s="3"/>
      <c r="E357" s="3"/>
      <c r="F357" s="2"/>
      <c r="G357" s="3"/>
      <c r="H357" s="3"/>
    </row>
    <row r="358">
      <c r="C358" s="3"/>
      <c r="D358" s="3"/>
      <c r="E358" s="3"/>
      <c r="F358" s="2"/>
      <c r="G358" s="3"/>
      <c r="H358" s="3"/>
    </row>
    <row r="359">
      <c r="C359" s="3"/>
      <c r="D359" s="3"/>
      <c r="E359" s="3"/>
      <c r="F359" s="2"/>
      <c r="G359" s="3"/>
      <c r="H359" s="3"/>
    </row>
    <row r="360">
      <c r="C360" s="3"/>
      <c r="D360" s="3"/>
      <c r="E360" s="3"/>
      <c r="F360" s="2"/>
      <c r="G360" s="3"/>
      <c r="H360" s="3"/>
    </row>
    <row r="361">
      <c r="C361" s="3"/>
      <c r="D361" s="3"/>
      <c r="E361" s="3"/>
      <c r="F361" s="2"/>
      <c r="G361" s="3"/>
      <c r="H361" s="3"/>
    </row>
    <row r="362">
      <c r="C362" s="3"/>
      <c r="D362" s="3"/>
      <c r="E362" s="3"/>
      <c r="F362" s="2"/>
      <c r="G362" s="3"/>
      <c r="H362" s="3"/>
    </row>
    <row r="363">
      <c r="C363" s="3"/>
      <c r="D363" s="3"/>
      <c r="E363" s="3"/>
      <c r="F363" s="2"/>
      <c r="G363" s="3"/>
      <c r="H363" s="3"/>
    </row>
    <row r="364">
      <c r="C364" s="3"/>
      <c r="D364" s="3"/>
      <c r="E364" s="3"/>
      <c r="F364" s="2"/>
      <c r="G364" s="3"/>
      <c r="H364" s="3"/>
    </row>
    <row r="365">
      <c r="C365" s="3"/>
      <c r="D365" s="3"/>
      <c r="E365" s="3"/>
      <c r="F365" s="2"/>
      <c r="G365" s="3"/>
      <c r="H365" s="3"/>
    </row>
    <row r="366">
      <c r="C366" s="3"/>
      <c r="D366" s="3"/>
      <c r="E366" s="3"/>
      <c r="F366" s="2"/>
      <c r="G366" s="3"/>
      <c r="H366" s="3"/>
    </row>
    <row r="367">
      <c r="C367" s="3"/>
      <c r="D367" s="3"/>
      <c r="E367" s="3"/>
      <c r="F367" s="2"/>
      <c r="G367" s="3"/>
      <c r="H367" s="3"/>
    </row>
    <row r="368">
      <c r="C368" s="3"/>
      <c r="D368" s="3"/>
      <c r="E368" s="3"/>
      <c r="F368" s="2"/>
      <c r="G368" s="3"/>
      <c r="H368" s="3"/>
    </row>
    <row r="369">
      <c r="C369" s="3"/>
      <c r="D369" s="3"/>
      <c r="E369" s="3"/>
      <c r="F369" s="2"/>
      <c r="G369" s="3"/>
      <c r="H369" s="3"/>
    </row>
    <row r="370">
      <c r="C370" s="3"/>
      <c r="D370" s="3"/>
      <c r="E370" s="3"/>
      <c r="F370" s="2"/>
      <c r="G370" s="3"/>
      <c r="H370" s="3"/>
    </row>
    <row r="371">
      <c r="C371" s="3"/>
      <c r="D371" s="3"/>
      <c r="E371" s="3"/>
      <c r="F371" s="2"/>
      <c r="G371" s="3"/>
      <c r="H371" s="3"/>
    </row>
    <row r="372">
      <c r="C372" s="3"/>
      <c r="D372" s="3"/>
      <c r="E372" s="3"/>
      <c r="F372" s="2"/>
      <c r="G372" s="3"/>
      <c r="H372" s="3"/>
    </row>
    <row r="373">
      <c r="C373" s="3"/>
      <c r="D373" s="3"/>
      <c r="E373" s="3"/>
      <c r="F373" s="2"/>
      <c r="G373" s="3"/>
      <c r="H373" s="3"/>
    </row>
    <row r="374">
      <c r="C374" s="3"/>
      <c r="D374" s="3"/>
      <c r="E374" s="3"/>
      <c r="F374" s="2"/>
      <c r="G374" s="3"/>
      <c r="H374" s="3"/>
    </row>
    <row r="375">
      <c r="C375" s="3"/>
      <c r="D375" s="3"/>
      <c r="E375" s="3"/>
      <c r="F375" s="2"/>
      <c r="G375" s="3"/>
      <c r="H375" s="3"/>
    </row>
    <row r="376">
      <c r="C376" s="3"/>
      <c r="D376" s="3"/>
      <c r="E376" s="3"/>
      <c r="F376" s="2"/>
      <c r="G376" s="3"/>
      <c r="H376" s="3"/>
    </row>
    <row r="377">
      <c r="C377" s="3"/>
      <c r="D377" s="3"/>
      <c r="E377" s="3"/>
      <c r="F377" s="2"/>
      <c r="G377" s="3"/>
      <c r="H377" s="3"/>
    </row>
    <row r="378">
      <c r="C378" s="3"/>
      <c r="D378" s="3"/>
      <c r="E378" s="3"/>
      <c r="F378" s="2"/>
      <c r="G378" s="3"/>
      <c r="H378" s="3"/>
    </row>
    <row r="379">
      <c r="C379" s="3"/>
      <c r="D379" s="3"/>
      <c r="E379" s="3"/>
      <c r="F379" s="2"/>
      <c r="G379" s="3"/>
      <c r="H379" s="3"/>
    </row>
    <row r="380">
      <c r="C380" s="3"/>
      <c r="D380" s="3"/>
      <c r="E380" s="3"/>
      <c r="F380" s="2"/>
      <c r="G380" s="3"/>
      <c r="H380" s="3"/>
    </row>
    <row r="381">
      <c r="C381" s="3"/>
      <c r="D381" s="3"/>
      <c r="E381" s="3"/>
      <c r="F381" s="2"/>
      <c r="G381" s="3"/>
      <c r="H381" s="3"/>
    </row>
    <row r="382">
      <c r="C382" s="3"/>
      <c r="D382" s="3"/>
      <c r="E382" s="3"/>
      <c r="F382" s="2"/>
      <c r="G382" s="3"/>
      <c r="H382" s="3"/>
    </row>
    <row r="383">
      <c r="C383" s="3"/>
      <c r="D383" s="3"/>
      <c r="E383" s="3"/>
      <c r="F383" s="2"/>
      <c r="G383" s="3"/>
      <c r="H383" s="3"/>
    </row>
    <row r="384">
      <c r="C384" s="3"/>
      <c r="D384" s="3"/>
      <c r="E384" s="3"/>
      <c r="F384" s="2"/>
      <c r="G384" s="3"/>
      <c r="H384" s="3"/>
    </row>
    <row r="385">
      <c r="C385" s="3"/>
      <c r="D385" s="3"/>
      <c r="E385" s="3"/>
      <c r="F385" s="2"/>
      <c r="G385" s="3"/>
      <c r="H385" s="3"/>
    </row>
    <row r="386">
      <c r="C386" s="3"/>
      <c r="D386" s="3"/>
      <c r="E386" s="3"/>
      <c r="F386" s="2"/>
      <c r="G386" s="3"/>
      <c r="H386" s="3"/>
    </row>
    <row r="387">
      <c r="C387" s="3"/>
      <c r="D387" s="3"/>
      <c r="E387" s="3"/>
      <c r="F387" s="2"/>
      <c r="G387" s="3"/>
      <c r="H387" s="3"/>
    </row>
    <row r="388">
      <c r="C388" s="3"/>
      <c r="D388" s="3"/>
      <c r="E388" s="3"/>
      <c r="F388" s="2"/>
      <c r="G388" s="3"/>
      <c r="H388" s="3"/>
    </row>
    <row r="389">
      <c r="C389" s="3"/>
      <c r="D389" s="3"/>
      <c r="E389" s="3"/>
      <c r="F389" s="2"/>
      <c r="G389" s="3"/>
      <c r="H389" s="3"/>
    </row>
    <row r="390">
      <c r="C390" s="3"/>
      <c r="D390" s="3"/>
      <c r="E390" s="3"/>
      <c r="F390" s="2"/>
      <c r="G390" s="3"/>
      <c r="H390" s="3"/>
    </row>
    <row r="391">
      <c r="C391" s="3"/>
      <c r="D391" s="3"/>
      <c r="E391" s="3"/>
      <c r="F391" s="2"/>
      <c r="G391" s="3"/>
      <c r="H391" s="3"/>
    </row>
    <row r="392">
      <c r="C392" s="3"/>
      <c r="D392" s="3"/>
      <c r="E392" s="3"/>
      <c r="F392" s="2"/>
      <c r="G392" s="3"/>
      <c r="H392" s="3"/>
    </row>
    <row r="393">
      <c r="C393" s="3"/>
      <c r="D393" s="3"/>
      <c r="E393" s="3"/>
      <c r="F393" s="2"/>
      <c r="G393" s="3"/>
      <c r="H393" s="3"/>
    </row>
    <row r="394">
      <c r="C394" s="3"/>
      <c r="D394" s="3"/>
      <c r="E394" s="3"/>
      <c r="F394" s="2"/>
      <c r="G394" s="3"/>
      <c r="H394" s="3"/>
    </row>
    <row r="395">
      <c r="C395" s="3"/>
      <c r="D395" s="3"/>
      <c r="E395" s="3"/>
      <c r="F395" s="2"/>
      <c r="G395" s="3"/>
      <c r="H395" s="3"/>
    </row>
    <row r="396">
      <c r="C396" s="3"/>
      <c r="D396" s="3"/>
      <c r="E396" s="3"/>
      <c r="F396" s="2"/>
      <c r="G396" s="3"/>
      <c r="H396" s="3"/>
    </row>
    <row r="397">
      <c r="C397" s="3"/>
      <c r="D397" s="3"/>
      <c r="E397" s="3"/>
      <c r="F397" s="2"/>
      <c r="G397" s="3"/>
      <c r="H397" s="3"/>
    </row>
    <row r="398">
      <c r="C398" s="3"/>
      <c r="D398" s="3"/>
      <c r="E398" s="3"/>
      <c r="F398" s="2"/>
      <c r="G398" s="3"/>
      <c r="H398" s="3"/>
    </row>
    <row r="399">
      <c r="C399" s="3"/>
      <c r="D399" s="3"/>
      <c r="E399" s="3"/>
      <c r="F399" s="2"/>
      <c r="G399" s="3"/>
      <c r="H399" s="3"/>
    </row>
    <row r="400">
      <c r="C400" s="3"/>
      <c r="D400" s="3"/>
      <c r="E400" s="3"/>
      <c r="F400" s="2"/>
      <c r="G400" s="3"/>
      <c r="H400" s="3"/>
    </row>
    <row r="401">
      <c r="C401" s="3"/>
      <c r="D401" s="3"/>
      <c r="E401" s="3"/>
      <c r="F401" s="2"/>
      <c r="G401" s="3"/>
      <c r="H401" s="3"/>
    </row>
    <row r="402">
      <c r="C402" s="3"/>
      <c r="D402" s="3"/>
      <c r="E402" s="3"/>
      <c r="F402" s="2"/>
      <c r="G402" s="3"/>
      <c r="H402" s="3"/>
    </row>
    <row r="403">
      <c r="C403" s="3"/>
      <c r="D403" s="3"/>
      <c r="E403" s="3"/>
      <c r="F403" s="2"/>
      <c r="G403" s="3"/>
      <c r="H403" s="3"/>
    </row>
    <row r="404">
      <c r="C404" s="3"/>
      <c r="D404" s="3"/>
      <c r="E404" s="3"/>
      <c r="F404" s="2"/>
      <c r="G404" s="3"/>
      <c r="H404" s="3"/>
    </row>
    <row r="405">
      <c r="C405" s="3"/>
      <c r="D405" s="3"/>
      <c r="E405" s="3"/>
      <c r="F405" s="2"/>
      <c r="G405" s="3"/>
      <c r="H405" s="3"/>
    </row>
    <row r="406">
      <c r="C406" s="3"/>
      <c r="D406" s="3"/>
      <c r="E406" s="3"/>
      <c r="F406" s="2"/>
      <c r="G406" s="3"/>
      <c r="H406" s="3"/>
    </row>
    <row r="407">
      <c r="C407" s="3"/>
      <c r="D407" s="3"/>
      <c r="E407" s="3"/>
      <c r="F407" s="2"/>
      <c r="G407" s="3"/>
      <c r="H407" s="3"/>
    </row>
    <row r="408">
      <c r="C408" s="3"/>
      <c r="D408" s="3"/>
      <c r="E408" s="3"/>
      <c r="F408" s="2"/>
      <c r="G408" s="3"/>
      <c r="H408" s="3"/>
    </row>
    <row r="409">
      <c r="C409" s="3"/>
      <c r="D409" s="3"/>
      <c r="E409" s="3"/>
      <c r="F409" s="2"/>
      <c r="G409" s="3"/>
      <c r="H409" s="3"/>
    </row>
    <row r="410">
      <c r="C410" s="3"/>
      <c r="D410" s="3"/>
      <c r="E410" s="3"/>
      <c r="F410" s="2"/>
      <c r="G410" s="3"/>
      <c r="H410" s="3"/>
    </row>
    <row r="411">
      <c r="C411" s="3"/>
      <c r="D411" s="3"/>
      <c r="E411" s="3"/>
      <c r="F411" s="2"/>
      <c r="G411" s="3"/>
      <c r="H411" s="3"/>
    </row>
    <row r="412">
      <c r="C412" s="3"/>
      <c r="D412" s="3"/>
      <c r="E412" s="3"/>
      <c r="F412" s="2"/>
      <c r="G412" s="3"/>
      <c r="H412" s="3"/>
    </row>
    <row r="413">
      <c r="C413" s="3"/>
      <c r="D413" s="3"/>
      <c r="E413" s="3"/>
      <c r="F413" s="2"/>
      <c r="G413" s="3"/>
      <c r="H413" s="3"/>
    </row>
    <row r="414">
      <c r="C414" s="3"/>
      <c r="D414" s="3"/>
      <c r="E414" s="3"/>
      <c r="F414" s="2"/>
      <c r="G414" s="3"/>
      <c r="H414" s="3"/>
    </row>
    <row r="415">
      <c r="C415" s="3"/>
      <c r="D415" s="3"/>
      <c r="E415" s="3"/>
      <c r="F415" s="2"/>
      <c r="G415" s="3"/>
      <c r="H415" s="3"/>
    </row>
    <row r="416">
      <c r="C416" s="3"/>
      <c r="D416" s="3"/>
      <c r="E416" s="3"/>
      <c r="F416" s="2"/>
      <c r="G416" s="3"/>
      <c r="H416" s="3"/>
    </row>
    <row r="417">
      <c r="C417" s="3"/>
      <c r="D417" s="3"/>
      <c r="E417" s="3"/>
      <c r="F417" s="2"/>
      <c r="G417" s="3"/>
      <c r="H417" s="3"/>
    </row>
    <row r="418">
      <c r="C418" s="3"/>
      <c r="D418" s="3"/>
      <c r="E418" s="3"/>
      <c r="F418" s="2"/>
      <c r="G418" s="3"/>
      <c r="H418" s="3"/>
    </row>
    <row r="419">
      <c r="C419" s="3"/>
      <c r="D419" s="3"/>
      <c r="E419" s="3"/>
      <c r="F419" s="2"/>
      <c r="G419" s="3"/>
      <c r="H419" s="3"/>
    </row>
    <row r="420">
      <c r="C420" s="3"/>
      <c r="D420" s="3"/>
      <c r="E420" s="3"/>
      <c r="F420" s="2"/>
      <c r="G420" s="3"/>
      <c r="H420" s="3"/>
    </row>
    <row r="421">
      <c r="C421" s="3"/>
      <c r="D421" s="3"/>
      <c r="E421" s="3"/>
      <c r="F421" s="2"/>
      <c r="G421" s="3"/>
      <c r="H421" s="3"/>
    </row>
    <row r="422">
      <c r="C422" s="3"/>
      <c r="D422" s="3"/>
      <c r="E422" s="3"/>
      <c r="F422" s="2"/>
      <c r="G422" s="3"/>
      <c r="H422" s="3"/>
    </row>
    <row r="423">
      <c r="C423" s="3"/>
      <c r="D423" s="3"/>
      <c r="E423" s="3"/>
      <c r="F423" s="2"/>
      <c r="G423" s="3"/>
      <c r="H423" s="3"/>
    </row>
    <row r="424">
      <c r="C424" s="3"/>
      <c r="D424" s="3"/>
      <c r="E424" s="3"/>
      <c r="F424" s="2"/>
      <c r="G424" s="3"/>
      <c r="H424" s="3"/>
    </row>
    <row r="425">
      <c r="C425" s="3"/>
      <c r="D425" s="3"/>
      <c r="E425" s="3"/>
      <c r="F425" s="2"/>
      <c r="G425" s="3"/>
      <c r="H425" s="3"/>
    </row>
    <row r="426">
      <c r="C426" s="3"/>
      <c r="D426" s="3"/>
      <c r="E426" s="3"/>
      <c r="F426" s="2"/>
      <c r="G426" s="3"/>
      <c r="H426" s="3"/>
    </row>
    <row r="427">
      <c r="C427" s="3"/>
      <c r="D427" s="3"/>
      <c r="E427" s="3"/>
      <c r="F427" s="2"/>
      <c r="G427" s="3"/>
      <c r="H427" s="3"/>
    </row>
    <row r="428">
      <c r="C428" s="3"/>
      <c r="D428" s="3"/>
      <c r="E428" s="3"/>
      <c r="F428" s="2"/>
      <c r="G428" s="3"/>
      <c r="H428" s="3"/>
    </row>
    <row r="429">
      <c r="C429" s="3"/>
      <c r="D429" s="3"/>
      <c r="E429" s="3"/>
      <c r="F429" s="2"/>
      <c r="G429" s="3"/>
      <c r="H429" s="3"/>
    </row>
    <row r="430">
      <c r="C430" s="3"/>
      <c r="D430" s="3"/>
      <c r="E430" s="3"/>
      <c r="F430" s="2"/>
      <c r="G430" s="3"/>
      <c r="H430" s="3"/>
    </row>
    <row r="431">
      <c r="C431" s="3"/>
      <c r="D431" s="3"/>
      <c r="E431" s="3"/>
      <c r="F431" s="2"/>
      <c r="G431" s="3"/>
      <c r="H431" s="3"/>
    </row>
    <row r="432">
      <c r="C432" s="3"/>
      <c r="D432" s="3"/>
      <c r="E432" s="3"/>
      <c r="F432" s="2"/>
      <c r="G432" s="3"/>
      <c r="H432" s="3"/>
    </row>
    <row r="433">
      <c r="C433" s="3"/>
      <c r="D433" s="3"/>
      <c r="E433" s="3"/>
      <c r="F433" s="2"/>
      <c r="G433" s="3"/>
      <c r="H433" s="3"/>
    </row>
    <row r="434">
      <c r="C434" s="3"/>
      <c r="D434" s="3"/>
      <c r="E434" s="3"/>
      <c r="F434" s="2"/>
      <c r="G434" s="3"/>
      <c r="H434" s="3"/>
    </row>
    <row r="435">
      <c r="C435" s="3"/>
      <c r="D435" s="3"/>
      <c r="E435" s="3"/>
      <c r="F435" s="2"/>
      <c r="G435" s="3"/>
      <c r="H435" s="3"/>
    </row>
    <row r="436">
      <c r="C436" s="3"/>
      <c r="D436" s="3"/>
      <c r="E436" s="3"/>
      <c r="F436" s="2"/>
      <c r="G436" s="3"/>
      <c r="H436" s="3"/>
    </row>
    <row r="437">
      <c r="C437" s="3"/>
      <c r="D437" s="3"/>
      <c r="E437" s="3"/>
      <c r="F437" s="2"/>
      <c r="G437" s="3"/>
      <c r="H437" s="3"/>
    </row>
    <row r="438">
      <c r="C438" s="3"/>
      <c r="D438" s="3"/>
      <c r="E438" s="3"/>
      <c r="F438" s="2"/>
      <c r="G438" s="3"/>
      <c r="H438" s="3"/>
    </row>
    <row r="439">
      <c r="C439" s="3"/>
      <c r="D439" s="3"/>
      <c r="E439" s="3"/>
      <c r="F439" s="2"/>
      <c r="G439" s="3"/>
      <c r="H439" s="3"/>
    </row>
    <row r="440">
      <c r="C440" s="3"/>
      <c r="D440" s="3"/>
      <c r="E440" s="3"/>
      <c r="F440" s="2"/>
      <c r="G440" s="3"/>
      <c r="H440" s="3"/>
    </row>
    <row r="441">
      <c r="C441" s="3"/>
      <c r="D441" s="3"/>
      <c r="E441" s="3"/>
      <c r="F441" s="2"/>
      <c r="G441" s="3"/>
      <c r="H441" s="3"/>
    </row>
    <row r="442">
      <c r="C442" s="3"/>
      <c r="D442" s="3"/>
      <c r="E442" s="3"/>
      <c r="F442" s="2"/>
      <c r="G442" s="3"/>
      <c r="H442" s="3"/>
    </row>
    <row r="443">
      <c r="C443" s="3"/>
      <c r="D443" s="3"/>
      <c r="E443" s="3"/>
      <c r="F443" s="2"/>
      <c r="G443" s="3"/>
      <c r="H443" s="3"/>
    </row>
    <row r="444">
      <c r="C444" s="3"/>
      <c r="D444" s="3"/>
      <c r="E444" s="3"/>
      <c r="F444" s="2"/>
      <c r="G444" s="3"/>
      <c r="H444" s="3"/>
    </row>
    <row r="445">
      <c r="C445" s="3"/>
      <c r="D445" s="3"/>
      <c r="E445" s="3"/>
      <c r="F445" s="2"/>
      <c r="G445" s="3"/>
      <c r="H445" s="3"/>
    </row>
    <row r="446">
      <c r="C446" s="3"/>
      <c r="D446" s="3"/>
      <c r="E446" s="3"/>
      <c r="F446" s="2"/>
      <c r="G446" s="3"/>
      <c r="H446" s="3"/>
    </row>
    <row r="447">
      <c r="C447" s="3"/>
      <c r="D447" s="3"/>
      <c r="E447" s="3"/>
      <c r="F447" s="2"/>
      <c r="G447" s="3"/>
      <c r="H447" s="3"/>
    </row>
    <row r="448">
      <c r="C448" s="3"/>
      <c r="D448" s="3"/>
      <c r="E448" s="3"/>
      <c r="F448" s="2"/>
      <c r="G448" s="3"/>
      <c r="H448" s="3"/>
    </row>
    <row r="449">
      <c r="C449" s="3"/>
      <c r="D449" s="3"/>
      <c r="E449" s="3"/>
      <c r="F449" s="2"/>
      <c r="G449" s="3"/>
      <c r="H449" s="3"/>
    </row>
    <row r="450">
      <c r="C450" s="3"/>
      <c r="D450" s="3"/>
      <c r="E450" s="3"/>
      <c r="F450" s="2"/>
      <c r="G450" s="3"/>
      <c r="H450" s="3"/>
    </row>
    <row r="451">
      <c r="C451" s="3"/>
      <c r="D451" s="3"/>
      <c r="E451" s="3"/>
      <c r="F451" s="2"/>
      <c r="G451" s="3"/>
      <c r="H451" s="3"/>
    </row>
    <row r="452">
      <c r="C452" s="3"/>
      <c r="D452" s="3"/>
      <c r="E452" s="3"/>
      <c r="F452" s="2"/>
      <c r="G452" s="3"/>
      <c r="H452" s="3"/>
    </row>
    <row r="453">
      <c r="C453" s="3"/>
      <c r="D453" s="3"/>
      <c r="E453" s="3"/>
      <c r="F453" s="2"/>
      <c r="G453" s="3"/>
      <c r="H453" s="3"/>
    </row>
    <row r="454">
      <c r="C454" s="3"/>
      <c r="D454" s="3"/>
      <c r="E454" s="3"/>
      <c r="F454" s="2"/>
      <c r="G454" s="3"/>
      <c r="H454" s="3"/>
    </row>
    <row r="455">
      <c r="C455" s="3"/>
      <c r="D455" s="3"/>
      <c r="E455" s="3"/>
      <c r="F455" s="2"/>
      <c r="G455" s="3"/>
      <c r="H455" s="3"/>
    </row>
    <row r="456">
      <c r="C456" s="3"/>
      <c r="D456" s="3"/>
      <c r="E456" s="3"/>
      <c r="F456" s="2"/>
      <c r="G456" s="3"/>
      <c r="H456" s="3"/>
    </row>
    <row r="457">
      <c r="C457" s="3"/>
      <c r="D457" s="3"/>
      <c r="E457" s="3"/>
      <c r="F457" s="2"/>
      <c r="G457" s="3"/>
      <c r="H457" s="3"/>
    </row>
    <row r="458">
      <c r="C458" s="3"/>
      <c r="D458" s="3"/>
      <c r="E458" s="3"/>
      <c r="F458" s="2"/>
      <c r="G458" s="3"/>
      <c r="H458" s="3"/>
    </row>
    <row r="459">
      <c r="C459" s="3"/>
      <c r="D459" s="3"/>
      <c r="E459" s="3"/>
      <c r="F459" s="2"/>
      <c r="G459" s="3"/>
      <c r="H459" s="3"/>
    </row>
    <row r="460">
      <c r="C460" s="3"/>
      <c r="D460" s="3"/>
      <c r="E460" s="3"/>
      <c r="F460" s="2"/>
      <c r="G460" s="3"/>
      <c r="H460" s="3"/>
    </row>
    <row r="461">
      <c r="C461" s="3"/>
      <c r="D461" s="3"/>
      <c r="E461" s="3"/>
      <c r="F461" s="2"/>
      <c r="G461" s="3"/>
      <c r="H461" s="3"/>
    </row>
    <row r="462">
      <c r="C462" s="3"/>
      <c r="D462" s="3"/>
      <c r="E462" s="3"/>
      <c r="F462" s="2"/>
      <c r="G462" s="3"/>
      <c r="H462" s="3"/>
    </row>
    <row r="463">
      <c r="C463" s="3"/>
      <c r="D463" s="3"/>
      <c r="E463" s="3"/>
      <c r="F463" s="2"/>
      <c r="G463" s="3"/>
      <c r="H463" s="3"/>
    </row>
    <row r="464">
      <c r="C464" s="3"/>
      <c r="D464" s="3"/>
      <c r="E464" s="3"/>
      <c r="F464" s="2"/>
      <c r="G464" s="3"/>
      <c r="H464" s="3"/>
    </row>
    <row r="465">
      <c r="C465" s="3"/>
      <c r="D465" s="3"/>
      <c r="E465" s="3"/>
      <c r="F465" s="2"/>
      <c r="G465" s="3"/>
      <c r="H465" s="3"/>
    </row>
    <row r="466">
      <c r="C466" s="3"/>
      <c r="D466" s="3"/>
      <c r="E466" s="3"/>
      <c r="F466" s="2"/>
      <c r="G466" s="3"/>
      <c r="H466" s="3"/>
    </row>
    <row r="467">
      <c r="C467" s="3"/>
      <c r="D467" s="3"/>
      <c r="E467" s="3"/>
      <c r="F467" s="2"/>
      <c r="G467" s="3"/>
      <c r="H467" s="3"/>
    </row>
    <row r="468">
      <c r="C468" s="3"/>
      <c r="D468" s="3"/>
      <c r="E468" s="3"/>
      <c r="F468" s="2"/>
      <c r="G468" s="3"/>
      <c r="H468" s="3"/>
    </row>
    <row r="469">
      <c r="C469" s="3"/>
      <c r="D469" s="3"/>
      <c r="E469" s="3"/>
      <c r="F469" s="2"/>
      <c r="G469" s="3"/>
      <c r="H469" s="3"/>
    </row>
    <row r="470">
      <c r="C470" s="3"/>
      <c r="D470" s="3"/>
      <c r="E470" s="3"/>
      <c r="F470" s="2"/>
      <c r="G470" s="3"/>
      <c r="H470" s="3"/>
    </row>
    <row r="471">
      <c r="C471" s="3"/>
      <c r="D471" s="3"/>
      <c r="E471" s="3"/>
      <c r="F471" s="2"/>
      <c r="G471" s="3"/>
      <c r="H471" s="3"/>
    </row>
    <row r="472">
      <c r="C472" s="3"/>
      <c r="D472" s="3"/>
      <c r="E472" s="3"/>
      <c r="F472" s="2"/>
      <c r="G472" s="3"/>
      <c r="H472" s="3"/>
    </row>
    <row r="473">
      <c r="C473" s="3"/>
      <c r="D473" s="3"/>
      <c r="E473" s="3"/>
      <c r="F473" s="2"/>
      <c r="G473" s="3"/>
      <c r="H473" s="3"/>
    </row>
    <row r="474">
      <c r="C474" s="3"/>
      <c r="D474" s="3"/>
      <c r="E474" s="3"/>
      <c r="F474" s="2"/>
      <c r="G474" s="3"/>
      <c r="H474" s="3"/>
    </row>
    <row r="475">
      <c r="C475" s="3"/>
      <c r="D475" s="3"/>
      <c r="E475" s="3"/>
      <c r="F475" s="2"/>
      <c r="G475" s="3"/>
      <c r="H475" s="3"/>
    </row>
    <row r="476">
      <c r="C476" s="3"/>
      <c r="D476" s="3"/>
      <c r="E476" s="3"/>
      <c r="F476" s="2"/>
      <c r="G476" s="3"/>
      <c r="H476" s="3"/>
    </row>
    <row r="477">
      <c r="C477" s="3"/>
      <c r="D477" s="3"/>
      <c r="E477" s="3"/>
      <c r="F477" s="2"/>
      <c r="G477" s="3"/>
      <c r="H477" s="3"/>
    </row>
    <row r="478">
      <c r="C478" s="3"/>
      <c r="D478" s="3"/>
      <c r="E478" s="3"/>
      <c r="F478" s="2"/>
      <c r="G478" s="3"/>
      <c r="H478" s="3"/>
    </row>
    <row r="479">
      <c r="C479" s="3"/>
      <c r="D479" s="3"/>
      <c r="E479" s="3"/>
      <c r="F479" s="2"/>
      <c r="G479" s="3"/>
      <c r="H479" s="3"/>
    </row>
    <row r="480">
      <c r="C480" s="3"/>
      <c r="D480" s="3"/>
      <c r="E480" s="3"/>
      <c r="F480" s="2"/>
      <c r="G480" s="3"/>
      <c r="H480" s="3"/>
    </row>
    <row r="481">
      <c r="C481" s="3"/>
      <c r="D481" s="3"/>
      <c r="E481" s="3"/>
      <c r="F481" s="2"/>
      <c r="G481" s="3"/>
      <c r="H481" s="3"/>
    </row>
    <row r="482">
      <c r="C482" s="3"/>
      <c r="D482" s="3"/>
      <c r="E482" s="3"/>
      <c r="F482" s="2"/>
      <c r="G482" s="3"/>
      <c r="H482" s="3"/>
    </row>
    <row r="483">
      <c r="C483" s="3"/>
      <c r="D483" s="3"/>
      <c r="E483" s="3"/>
      <c r="F483" s="2"/>
      <c r="G483" s="3"/>
      <c r="H483" s="3"/>
    </row>
    <row r="484">
      <c r="C484" s="3"/>
      <c r="D484" s="3"/>
      <c r="E484" s="3"/>
      <c r="F484" s="2"/>
      <c r="G484" s="3"/>
      <c r="H484" s="3"/>
    </row>
    <row r="485">
      <c r="C485" s="3"/>
      <c r="D485" s="3"/>
      <c r="E485" s="3"/>
      <c r="F485" s="2"/>
      <c r="G485" s="3"/>
      <c r="H485" s="3"/>
    </row>
    <row r="486">
      <c r="C486" s="3"/>
      <c r="D486" s="3"/>
      <c r="E486" s="3"/>
      <c r="F486" s="2"/>
      <c r="G486" s="3"/>
      <c r="H486" s="3"/>
    </row>
    <row r="487">
      <c r="C487" s="3"/>
      <c r="D487" s="3"/>
      <c r="E487" s="3"/>
      <c r="F487" s="2"/>
      <c r="G487" s="3"/>
      <c r="H487" s="3"/>
    </row>
    <row r="488">
      <c r="C488" s="3"/>
      <c r="D488" s="3"/>
      <c r="E488" s="3"/>
      <c r="F488" s="2"/>
      <c r="G488" s="3"/>
      <c r="H488" s="3"/>
    </row>
    <row r="489">
      <c r="C489" s="3"/>
      <c r="D489" s="3"/>
      <c r="E489" s="3"/>
      <c r="F489" s="2"/>
      <c r="G489" s="3"/>
      <c r="H489" s="3"/>
    </row>
    <row r="490">
      <c r="C490" s="3"/>
      <c r="D490" s="3"/>
      <c r="E490" s="3"/>
      <c r="F490" s="2"/>
      <c r="G490" s="3"/>
      <c r="H490" s="3"/>
    </row>
    <row r="491">
      <c r="C491" s="3"/>
      <c r="D491" s="3"/>
      <c r="E491" s="3"/>
      <c r="F491" s="2"/>
      <c r="G491" s="3"/>
      <c r="H491" s="3"/>
    </row>
    <row r="492">
      <c r="C492" s="3"/>
      <c r="D492" s="3"/>
      <c r="E492" s="3"/>
      <c r="F492" s="2"/>
      <c r="G492" s="3"/>
      <c r="H492" s="3"/>
    </row>
    <row r="493">
      <c r="C493" s="3"/>
      <c r="D493" s="3"/>
      <c r="E493" s="3"/>
      <c r="F493" s="2"/>
      <c r="G493" s="3"/>
      <c r="H493" s="3"/>
    </row>
    <row r="494">
      <c r="C494" s="3"/>
      <c r="D494" s="3"/>
      <c r="E494" s="3"/>
      <c r="F494" s="2"/>
      <c r="G494" s="3"/>
      <c r="H494" s="3"/>
    </row>
    <row r="495">
      <c r="C495" s="3"/>
      <c r="D495" s="3"/>
      <c r="E495" s="3"/>
      <c r="F495" s="2"/>
      <c r="G495" s="3"/>
      <c r="H495" s="3"/>
    </row>
    <row r="496">
      <c r="C496" s="3"/>
      <c r="D496" s="3"/>
      <c r="E496" s="3"/>
      <c r="F496" s="2"/>
      <c r="G496" s="3"/>
      <c r="H496" s="3"/>
    </row>
    <row r="497">
      <c r="C497" s="3"/>
      <c r="D497" s="3"/>
      <c r="E497" s="3"/>
      <c r="F497" s="2"/>
      <c r="G497" s="3"/>
      <c r="H497" s="3"/>
    </row>
    <row r="498">
      <c r="C498" s="3"/>
      <c r="D498" s="3"/>
      <c r="E498" s="3"/>
      <c r="F498" s="2"/>
      <c r="G498" s="3"/>
      <c r="H498" s="3"/>
    </row>
    <row r="499">
      <c r="C499" s="3"/>
      <c r="D499" s="3"/>
      <c r="E499" s="3"/>
      <c r="F499" s="2"/>
      <c r="G499" s="3"/>
      <c r="H499" s="3"/>
    </row>
    <row r="500">
      <c r="C500" s="3"/>
      <c r="D500" s="3"/>
      <c r="E500" s="3"/>
      <c r="F500" s="2"/>
      <c r="G500" s="3"/>
      <c r="H500" s="3"/>
    </row>
    <row r="501">
      <c r="C501" s="3"/>
      <c r="D501" s="3"/>
      <c r="E501" s="3"/>
      <c r="F501" s="2"/>
      <c r="G501" s="3"/>
      <c r="H501" s="3"/>
    </row>
    <row r="502">
      <c r="C502" s="3"/>
      <c r="D502" s="3"/>
      <c r="E502" s="3"/>
      <c r="F502" s="2"/>
      <c r="G502" s="3"/>
      <c r="H502" s="3"/>
    </row>
    <row r="503">
      <c r="C503" s="3"/>
      <c r="D503" s="3"/>
      <c r="E503" s="3"/>
      <c r="F503" s="2"/>
      <c r="G503" s="3"/>
      <c r="H503" s="3"/>
    </row>
    <row r="504">
      <c r="C504" s="3"/>
      <c r="D504" s="3"/>
      <c r="E504" s="3"/>
      <c r="F504" s="2"/>
      <c r="G504" s="3"/>
      <c r="H504" s="3"/>
    </row>
    <row r="505">
      <c r="C505" s="3"/>
      <c r="D505" s="3"/>
      <c r="E505" s="3"/>
      <c r="F505" s="2"/>
      <c r="G505" s="3"/>
      <c r="H505" s="3"/>
    </row>
    <row r="506">
      <c r="C506" s="3"/>
      <c r="D506" s="3"/>
      <c r="E506" s="3"/>
      <c r="F506" s="2"/>
      <c r="G506" s="3"/>
      <c r="H506" s="3"/>
    </row>
    <row r="507">
      <c r="C507" s="3"/>
      <c r="D507" s="3"/>
      <c r="E507" s="3"/>
      <c r="F507" s="2"/>
      <c r="G507" s="3"/>
      <c r="H507" s="3"/>
    </row>
    <row r="508">
      <c r="C508" s="3"/>
      <c r="D508" s="3"/>
      <c r="E508" s="3"/>
      <c r="F508" s="2"/>
      <c r="G508" s="3"/>
      <c r="H508" s="3"/>
    </row>
    <row r="509">
      <c r="C509" s="3"/>
      <c r="D509" s="3"/>
      <c r="E509" s="3"/>
      <c r="F509" s="2"/>
      <c r="G509" s="3"/>
      <c r="H509" s="3"/>
    </row>
    <row r="510">
      <c r="C510" s="3"/>
      <c r="D510" s="3"/>
      <c r="E510" s="3"/>
      <c r="F510" s="2"/>
      <c r="G510" s="3"/>
      <c r="H510" s="3"/>
    </row>
    <row r="511">
      <c r="C511" s="3"/>
      <c r="D511" s="3"/>
      <c r="E511" s="3"/>
      <c r="F511" s="2"/>
      <c r="G511" s="3"/>
      <c r="H511" s="3"/>
    </row>
    <row r="512">
      <c r="C512" s="3"/>
      <c r="D512" s="3"/>
      <c r="E512" s="3"/>
      <c r="F512" s="2"/>
      <c r="G512" s="3"/>
      <c r="H512" s="3"/>
    </row>
    <row r="513">
      <c r="C513" s="3"/>
      <c r="D513" s="3"/>
      <c r="E513" s="3"/>
      <c r="F513" s="2"/>
      <c r="G513" s="3"/>
      <c r="H513" s="3"/>
    </row>
    <row r="514">
      <c r="C514" s="3"/>
      <c r="D514" s="3"/>
      <c r="E514" s="3"/>
      <c r="F514" s="2"/>
      <c r="G514" s="3"/>
      <c r="H514" s="3"/>
    </row>
    <row r="515">
      <c r="C515" s="3"/>
      <c r="D515" s="3"/>
      <c r="E515" s="3"/>
      <c r="F515" s="2"/>
      <c r="G515" s="3"/>
      <c r="H515" s="3"/>
    </row>
    <row r="516">
      <c r="C516" s="3"/>
      <c r="D516" s="3"/>
      <c r="E516" s="3"/>
      <c r="F516" s="2"/>
      <c r="G516" s="3"/>
      <c r="H516" s="3"/>
    </row>
    <row r="517">
      <c r="C517" s="3"/>
      <c r="D517" s="3"/>
      <c r="E517" s="3"/>
      <c r="F517" s="2"/>
      <c r="G517" s="3"/>
      <c r="H517" s="3"/>
    </row>
    <row r="518">
      <c r="C518" s="3"/>
      <c r="D518" s="3"/>
      <c r="E518" s="3"/>
      <c r="F518" s="2"/>
      <c r="G518" s="3"/>
      <c r="H518" s="3"/>
    </row>
    <row r="519">
      <c r="C519" s="3"/>
      <c r="D519" s="3"/>
      <c r="E519" s="3"/>
      <c r="F519" s="2"/>
      <c r="G519" s="3"/>
      <c r="H519" s="3"/>
    </row>
    <row r="520">
      <c r="C520" s="3"/>
      <c r="D520" s="3"/>
      <c r="E520" s="3"/>
      <c r="F520" s="2"/>
      <c r="G520" s="3"/>
      <c r="H520" s="3"/>
    </row>
    <row r="521">
      <c r="C521" s="3"/>
      <c r="D521" s="3"/>
      <c r="E521" s="3"/>
      <c r="F521" s="2"/>
      <c r="G521" s="3"/>
      <c r="H521" s="3"/>
    </row>
    <row r="522">
      <c r="C522" s="3"/>
      <c r="D522" s="3"/>
      <c r="E522" s="3"/>
      <c r="F522" s="2"/>
      <c r="G522" s="3"/>
      <c r="H522" s="3"/>
    </row>
    <row r="523">
      <c r="C523" s="3"/>
      <c r="D523" s="3"/>
      <c r="E523" s="3"/>
      <c r="F523" s="2"/>
      <c r="G523" s="3"/>
      <c r="H523" s="3"/>
    </row>
    <row r="524">
      <c r="C524" s="3"/>
      <c r="D524" s="3"/>
      <c r="E524" s="3"/>
      <c r="F524" s="2"/>
      <c r="G524" s="3"/>
      <c r="H524" s="3"/>
    </row>
    <row r="525">
      <c r="C525" s="3"/>
      <c r="D525" s="3"/>
      <c r="E525" s="3"/>
      <c r="F525" s="2"/>
      <c r="G525" s="3"/>
      <c r="H525" s="3"/>
    </row>
    <row r="526">
      <c r="C526" s="3"/>
      <c r="D526" s="3"/>
      <c r="E526" s="3"/>
      <c r="F526" s="2"/>
      <c r="G526" s="3"/>
      <c r="H526" s="3"/>
    </row>
    <row r="527">
      <c r="C527" s="3"/>
      <c r="D527" s="3"/>
      <c r="E527" s="3"/>
      <c r="F527" s="2"/>
      <c r="G527" s="3"/>
      <c r="H527" s="3"/>
    </row>
    <row r="528">
      <c r="C528" s="3"/>
      <c r="D528" s="3"/>
      <c r="E528" s="3"/>
      <c r="F528" s="2"/>
      <c r="G528" s="3"/>
      <c r="H528" s="3"/>
    </row>
    <row r="529">
      <c r="C529" s="3"/>
      <c r="D529" s="3"/>
      <c r="E529" s="3"/>
      <c r="F529" s="2"/>
      <c r="G529" s="3"/>
      <c r="H529" s="3"/>
    </row>
    <row r="530">
      <c r="C530" s="3"/>
      <c r="D530" s="3"/>
      <c r="E530" s="3"/>
      <c r="F530" s="2"/>
      <c r="G530" s="3"/>
      <c r="H530" s="3"/>
    </row>
    <row r="531">
      <c r="C531" s="3"/>
      <c r="D531" s="3"/>
      <c r="E531" s="3"/>
      <c r="F531" s="2"/>
      <c r="G531" s="3"/>
      <c r="H531" s="3"/>
    </row>
    <row r="532">
      <c r="C532" s="3"/>
      <c r="D532" s="3"/>
      <c r="E532" s="3"/>
      <c r="F532" s="2"/>
      <c r="G532" s="3"/>
      <c r="H532" s="3"/>
    </row>
    <row r="533">
      <c r="C533" s="3"/>
      <c r="D533" s="3"/>
      <c r="E533" s="3"/>
      <c r="F533" s="2"/>
      <c r="G533" s="3"/>
      <c r="H533" s="3"/>
    </row>
    <row r="534">
      <c r="C534" s="3"/>
      <c r="D534" s="3"/>
      <c r="E534" s="3"/>
      <c r="F534" s="2"/>
      <c r="G534" s="3"/>
      <c r="H534" s="3"/>
    </row>
    <row r="535">
      <c r="C535" s="3"/>
      <c r="D535" s="3"/>
      <c r="E535" s="3"/>
      <c r="F535" s="2"/>
      <c r="G535" s="3"/>
      <c r="H535" s="3"/>
    </row>
    <row r="536">
      <c r="C536" s="3"/>
      <c r="D536" s="3"/>
      <c r="E536" s="3"/>
      <c r="F536" s="2"/>
      <c r="G536" s="3"/>
      <c r="H536" s="3"/>
    </row>
    <row r="537">
      <c r="C537" s="3"/>
      <c r="D537" s="3"/>
      <c r="E537" s="3"/>
      <c r="F537" s="2"/>
      <c r="G537" s="3"/>
      <c r="H537" s="3"/>
    </row>
    <row r="538">
      <c r="C538" s="3"/>
      <c r="D538" s="3"/>
      <c r="E538" s="3"/>
      <c r="F538" s="2"/>
      <c r="G538" s="3"/>
      <c r="H538" s="3"/>
    </row>
    <row r="539">
      <c r="C539" s="3"/>
      <c r="D539" s="3"/>
      <c r="E539" s="3"/>
      <c r="F539" s="2"/>
      <c r="G539" s="3"/>
      <c r="H539" s="3"/>
    </row>
    <row r="540">
      <c r="C540" s="3"/>
      <c r="D540" s="3"/>
      <c r="E540" s="3"/>
      <c r="F540" s="2"/>
      <c r="G540" s="3"/>
      <c r="H540" s="3"/>
    </row>
    <row r="541">
      <c r="C541" s="3"/>
      <c r="D541" s="3"/>
      <c r="E541" s="3"/>
      <c r="F541" s="2"/>
      <c r="G541" s="3"/>
      <c r="H541" s="3"/>
    </row>
    <row r="542">
      <c r="C542" s="3"/>
      <c r="D542" s="3"/>
      <c r="E542" s="3"/>
      <c r="F542" s="2"/>
      <c r="G542" s="3"/>
      <c r="H542" s="3"/>
    </row>
    <row r="543">
      <c r="C543" s="3"/>
      <c r="D543" s="3"/>
      <c r="E543" s="3"/>
      <c r="F543" s="2"/>
      <c r="G543" s="3"/>
      <c r="H543" s="3"/>
    </row>
    <row r="544">
      <c r="C544" s="3"/>
      <c r="D544" s="3"/>
      <c r="E544" s="3"/>
      <c r="F544" s="2"/>
      <c r="G544" s="3"/>
      <c r="H544" s="3"/>
    </row>
    <row r="545">
      <c r="C545" s="3"/>
      <c r="D545" s="3"/>
      <c r="E545" s="3"/>
      <c r="F545" s="2"/>
      <c r="G545" s="3"/>
      <c r="H545" s="3"/>
    </row>
    <row r="546">
      <c r="C546" s="3"/>
      <c r="D546" s="3"/>
      <c r="E546" s="3"/>
      <c r="F546" s="2"/>
      <c r="G546" s="3"/>
      <c r="H546" s="3"/>
    </row>
    <row r="547">
      <c r="C547" s="3"/>
      <c r="D547" s="3"/>
      <c r="E547" s="3"/>
      <c r="F547" s="2"/>
      <c r="G547" s="3"/>
      <c r="H547" s="3"/>
    </row>
    <row r="548">
      <c r="C548" s="3"/>
      <c r="D548" s="3"/>
      <c r="E548" s="3"/>
      <c r="F548" s="2"/>
      <c r="G548" s="3"/>
      <c r="H548" s="3"/>
    </row>
    <row r="549">
      <c r="C549" s="3"/>
      <c r="D549" s="3"/>
      <c r="E549" s="3"/>
      <c r="F549" s="2"/>
      <c r="G549" s="3"/>
      <c r="H549" s="3"/>
    </row>
    <row r="550">
      <c r="C550" s="3"/>
      <c r="D550" s="3"/>
      <c r="E550" s="3"/>
      <c r="F550" s="2"/>
      <c r="G550" s="3"/>
      <c r="H550" s="3"/>
    </row>
    <row r="551">
      <c r="C551" s="3"/>
      <c r="D551" s="3"/>
      <c r="E551" s="3"/>
      <c r="F551" s="2"/>
      <c r="G551" s="3"/>
      <c r="H551" s="3"/>
    </row>
    <row r="552">
      <c r="C552" s="3"/>
      <c r="D552" s="3"/>
      <c r="E552" s="3"/>
      <c r="F552" s="2"/>
      <c r="G552" s="3"/>
      <c r="H552" s="3"/>
    </row>
    <row r="553">
      <c r="C553" s="3"/>
      <c r="D553" s="3"/>
      <c r="E553" s="3"/>
      <c r="F553" s="2"/>
      <c r="G553" s="3"/>
      <c r="H553" s="3"/>
    </row>
    <row r="554">
      <c r="C554" s="3"/>
      <c r="D554" s="3"/>
      <c r="E554" s="3"/>
      <c r="F554" s="2"/>
      <c r="G554" s="3"/>
      <c r="H554" s="3"/>
    </row>
    <row r="555">
      <c r="C555" s="3"/>
      <c r="D555" s="3"/>
      <c r="E555" s="3"/>
      <c r="F555" s="2"/>
      <c r="G555" s="3"/>
      <c r="H555" s="3"/>
    </row>
    <row r="556">
      <c r="C556" s="3"/>
      <c r="D556" s="3"/>
      <c r="E556" s="3"/>
      <c r="F556" s="2"/>
      <c r="G556" s="3"/>
      <c r="H556" s="3"/>
    </row>
    <row r="557">
      <c r="C557" s="3"/>
      <c r="D557" s="3"/>
      <c r="E557" s="3"/>
      <c r="F557" s="2"/>
      <c r="G557" s="3"/>
      <c r="H557" s="3"/>
    </row>
    <row r="558">
      <c r="C558" s="3"/>
      <c r="D558" s="3"/>
      <c r="E558" s="3"/>
      <c r="F558" s="2"/>
      <c r="G558" s="3"/>
      <c r="H558" s="3"/>
    </row>
    <row r="559">
      <c r="C559" s="3"/>
      <c r="D559" s="3"/>
      <c r="E559" s="3"/>
      <c r="F559" s="2"/>
      <c r="G559" s="3"/>
      <c r="H559" s="3"/>
    </row>
    <row r="560">
      <c r="C560" s="3"/>
      <c r="D560" s="3"/>
      <c r="E560" s="3"/>
      <c r="F560" s="2"/>
      <c r="G560" s="3"/>
      <c r="H560" s="3"/>
    </row>
    <row r="561">
      <c r="C561" s="3"/>
      <c r="D561" s="3"/>
      <c r="E561" s="3"/>
      <c r="F561" s="2"/>
      <c r="G561" s="3"/>
      <c r="H561" s="3"/>
    </row>
    <row r="562">
      <c r="C562" s="3"/>
      <c r="D562" s="3"/>
      <c r="E562" s="3"/>
      <c r="F562" s="2"/>
      <c r="G562" s="3"/>
      <c r="H562" s="3"/>
    </row>
    <row r="563">
      <c r="C563" s="3"/>
      <c r="D563" s="3"/>
      <c r="E563" s="3"/>
      <c r="F563" s="2"/>
      <c r="G563" s="3"/>
      <c r="H563" s="3"/>
    </row>
    <row r="564">
      <c r="C564" s="3"/>
      <c r="D564" s="3"/>
      <c r="E564" s="3"/>
      <c r="F564" s="2"/>
      <c r="G564" s="3"/>
      <c r="H564" s="3"/>
    </row>
    <row r="565">
      <c r="C565" s="3"/>
      <c r="D565" s="3"/>
      <c r="E565" s="3"/>
      <c r="F565" s="2"/>
      <c r="G565" s="3"/>
      <c r="H565" s="3"/>
    </row>
    <row r="566">
      <c r="C566" s="3"/>
      <c r="D566" s="3"/>
      <c r="E566" s="3"/>
      <c r="F566" s="2"/>
      <c r="G566" s="3"/>
      <c r="H566" s="3"/>
    </row>
    <row r="567">
      <c r="C567" s="3"/>
      <c r="D567" s="3"/>
      <c r="E567" s="3"/>
      <c r="F567" s="2"/>
      <c r="G567" s="3"/>
      <c r="H567" s="3"/>
    </row>
    <row r="568">
      <c r="C568" s="3"/>
      <c r="D568" s="3"/>
      <c r="E568" s="3"/>
      <c r="F568" s="2"/>
      <c r="G568" s="3"/>
      <c r="H568" s="3"/>
    </row>
    <row r="569">
      <c r="C569" s="3"/>
      <c r="D569" s="3"/>
      <c r="E569" s="3"/>
      <c r="F569" s="2"/>
      <c r="G569" s="3"/>
      <c r="H569" s="3"/>
    </row>
    <row r="570">
      <c r="C570" s="3"/>
      <c r="D570" s="3"/>
      <c r="E570" s="3"/>
      <c r="F570" s="2"/>
      <c r="G570" s="3"/>
      <c r="H570" s="3"/>
    </row>
    <row r="571">
      <c r="C571" s="3"/>
      <c r="D571" s="3"/>
      <c r="E571" s="3"/>
      <c r="F571" s="2"/>
      <c r="G571" s="3"/>
      <c r="H571" s="3"/>
    </row>
    <row r="572">
      <c r="C572" s="3"/>
      <c r="D572" s="3"/>
      <c r="E572" s="3"/>
      <c r="F572" s="2"/>
      <c r="G572" s="3"/>
      <c r="H572" s="3"/>
    </row>
    <row r="573">
      <c r="C573" s="3"/>
      <c r="D573" s="3"/>
      <c r="E573" s="3"/>
      <c r="F573" s="2"/>
      <c r="G573" s="3"/>
      <c r="H573" s="3"/>
    </row>
    <row r="574">
      <c r="C574" s="3"/>
      <c r="D574" s="3"/>
      <c r="E574" s="3"/>
      <c r="F574" s="2"/>
      <c r="G574" s="3"/>
      <c r="H574" s="3"/>
    </row>
    <row r="575">
      <c r="C575" s="3"/>
      <c r="D575" s="3"/>
      <c r="E575" s="3"/>
      <c r="F575" s="2"/>
      <c r="G575" s="3"/>
      <c r="H575" s="3"/>
    </row>
    <row r="576">
      <c r="C576" s="3"/>
      <c r="D576" s="3"/>
      <c r="E576" s="3"/>
      <c r="F576" s="2"/>
      <c r="G576" s="3"/>
      <c r="H576" s="3"/>
    </row>
    <row r="577">
      <c r="C577" s="3"/>
      <c r="D577" s="3"/>
      <c r="E577" s="3"/>
      <c r="F577" s="2"/>
      <c r="G577" s="3"/>
      <c r="H577" s="3"/>
    </row>
    <row r="578">
      <c r="C578" s="3"/>
      <c r="D578" s="3"/>
      <c r="E578" s="3"/>
      <c r="F578" s="2"/>
      <c r="G578" s="3"/>
      <c r="H578" s="3"/>
    </row>
    <row r="579">
      <c r="C579" s="3"/>
      <c r="D579" s="3"/>
      <c r="E579" s="3"/>
      <c r="F579" s="2"/>
      <c r="G579" s="3"/>
      <c r="H579" s="3"/>
    </row>
    <row r="580">
      <c r="C580" s="3"/>
      <c r="D580" s="3"/>
      <c r="E580" s="3"/>
      <c r="F580" s="2"/>
      <c r="G580" s="3"/>
      <c r="H580" s="3"/>
    </row>
    <row r="581">
      <c r="C581" s="3"/>
      <c r="D581" s="3"/>
      <c r="E581" s="3"/>
      <c r="F581" s="2"/>
      <c r="G581" s="3"/>
      <c r="H581" s="3"/>
    </row>
    <row r="582">
      <c r="C582" s="3"/>
      <c r="D582" s="3"/>
      <c r="E582" s="3"/>
      <c r="F582" s="2"/>
      <c r="G582" s="3"/>
      <c r="H582" s="3"/>
    </row>
    <row r="583">
      <c r="C583" s="3"/>
      <c r="D583" s="3"/>
      <c r="E583" s="3"/>
      <c r="F583" s="2"/>
      <c r="G583" s="3"/>
      <c r="H583" s="3"/>
    </row>
    <row r="584">
      <c r="C584" s="3"/>
      <c r="D584" s="3"/>
      <c r="E584" s="3"/>
      <c r="F584" s="2"/>
      <c r="G584" s="3"/>
      <c r="H584" s="3"/>
    </row>
    <row r="585">
      <c r="C585" s="3"/>
      <c r="D585" s="3"/>
      <c r="E585" s="3"/>
      <c r="F585" s="2"/>
      <c r="G585" s="3"/>
      <c r="H585" s="3"/>
    </row>
    <row r="586">
      <c r="C586" s="3"/>
      <c r="D586" s="3"/>
      <c r="E586" s="3"/>
      <c r="F586" s="2"/>
      <c r="G586" s="3"/>
      <c r="H586" s="3"/>
    </row>
    <row r="587">
      <c r="C587" s="3"/>
      <c r="D587" s="3"/>
      <c r="E587" s="3"/>
      <c r="F587" s="2"/>
      <c r="G587" s="3"/>
      <c r="H587" s="3"/>
    </row>
    <row r="588">
      <c r="C588" s="3"/>
      <c r="D588" s="3"/>
      <c r="E588" s="3"/>
      <c r="F588" s="2"/>
      <c r="G588" s="3"/>
      <c r="H588" s="3"/>
    </row>
    <row r="589">
      <c r="C589" s="3"/>
      <c r="D589" s="3"/>
      <c r="E589" s="3"/>
      <c r="F589" s="2"/>
      <c r="G589" s="3"/>
      <c r="H589" s="3"/>
    </row>
    <row r="590">
      <c r="C590" s="3"/>
      <c r="D590" s="3"/>
      <c r="E590" s="3"/>
      <c r="F590" s="2"/>
      <c r="G590" s="3"/>
      <c r="H590" s="3"/>
    </row>
    <row r="591">
      <c r="C591" s="3"/>
      <c r="D591" s="3"/>
      <c r="E591" s="3"/>
      <c r="F591" s="2"/>
      <c r="G591" s="3"/>
      <c r="H591" s="3"/>
    </row>
    <row r="592">
      <c r="C592" s="3"/>
      <c r="D592" s="3"/>
      <c r="E592" s="3"/>
      <c r="F592" s="2"/>
      <c r="G592" s="3"/>
      <c r="H592" s="3"/>
    </row>
    <row r="593">
      <c r="C593" s="3"/>
      <c r="D593" s="3"/>
      <c r="E593" s="3"/>
      <c r="F593" s="2"/>
      <c r="G593" s="3"/>
      <c r="H593" s="3"/>
    </row>
    <row r="594">
      <c r="C594" s="3"/>
      <c r="D594" s="3"/>
      <c r="E594" s="3"/>
      <c r="F594" s="2"/>
      <c r="G594" s="3"/>
      <c r="H594" s="3"/>
    </row>
    <row r="595">
      <c r="C595" s="3"/>
      <c r="D595" s="3"/>
      <c r="E595" s="3"/>
      <c r="F595" s="2"/>
      <c r="G595" s="3"/>
      <c r="H595" s="3"/>
    </row>
    <row r="596">
      <c r="C596" s="3"/>
      <c r="D596" s="3"/>
      <c r="E596" s="3"/>
      <c r="F596" s="2"/>
      <c r="G596" s="3"/>
      <c r="H596" s="3"/>
    </row>
    <row r="597">
      <c r="C597" s="3"/>
      <c r="D597" s="3"/>
      <c r="E597" s="3"/>
      <c r="F597" s="2"/>
      <c r="G597" s="3"/>
      <c r="H597" s="3"/>
    </row>
    <row r="598">
      <c r="C598" s="3"/>
      <c r="D598" s="3"/>
      <c r="E598" s="3"/>
      <c r="F598" s="2"/>
      <c r="G598" s="3"/>
      <c r="H598" s="3"/>
    </row>
    <row r="599">
      <c r="C599" s="3"/>
      <c r="D599" s="3"/>
      <c r="E599" s="3"/>
      <c r="F599" s="2"/>
      <c r="G599" s="3"/>
      <c r="H599" s="3"/>
    </row>
    <row r="600">
      <c r="C600" s="3"/>
      <c r="D600" s="3"/>
      <c r="E600" s="3"/>
      <c r="F600" s="2"/>
      <c r="G600" s="3"/>
      <c r="H600" s="3"/>
    </row>
    <row r="601">
      <c r="C601" s="3"/>
      <c r="D601" s="3"/>
      <c r="E601" s="3"/>
      <c r="F601" s="2"/>
      <c r="G601" s="3"/>
      <c r="H601" s="3"/>
    </row>
    <row r="602">
      <c r="C602" s="3"/>
      <c r="D602" s="3"/>
      <c r="E602" s="3"/>
      <c r="F602" s="2"/>
      <c r="G602" s="3"/>
      <c r="H602" s="3"/>
    </row>
    <row r="603">
      <c r="C603" s="3"/>
      <c r="D603" s="3"/>
      <c r="E603" s="3"/>
      <c r="F603" s="2"/>
      <c r="G603" s="3"/>
      <c r="H603" s="3"/>
    </row>
    <row r="604">
      <c r="C604" s="3"/>
      <c r="D604" s="3"/>
      <c r="E604" s="3"/>
      <c r="F604" s="2"/>
      <c r="G604" s="3"/>
      <c r="H604" s="3"/>
    </row>
    <row r="605">
      <c r="C605" s="3"/>
      <c r="D605" s="3"/>
      <c r="E605" s="3"/>
      <c r="F605" s="2"/>
      <c r="G605" s="3"/>
      <c r="H605" s="3"/>
    </row>
    <row r="606">
      <c r="C606" s="3"/>
      <c r="D606" s="3"/>
      <c r="E606" s="3"/>
      <c r="F606" s="2"/>
      <c r="G606" s="3"/>
      <c r="H606" s="3"/>
    </row>
    <row r="607">
      <c r="C607" s="3"/>
      <c r="D607" s="3"/>
      <c r="E607" s="3"/>
      <c r="F607" s="2"/>
      <c r="G607" s="3"/>
      <c r="H607" s="3"/>
    </row>
    <row r="608">
      <c r="C608" s="3"/>
      <c r="D608" s="3"/>
      <c r="E608" s="3"/>
      <c r="F608" s="2"/>
      <c r="G608" s="3"/>
      <c r="H608" s="3"/>
    </row>
    <row r="609">
      <c r="C609" s="3"/>
      <c r="D609" s="3"/>
      <c r="E609" s="3"/>
      <c r="F609" s="2"/>
      <c r="G609" s="3"/>
      <c r="H609" s="3"/>
    </row>
    <row r="610">
      <c r="C610" s="3"/>
      <c r="D610" s="3"/>
      <c r="E610" s="3"/>
      <c r="F610" s="2"/>
      <c r="G610" s="3"/>
      <c r="H610" s="3"/>
    </row>
    <row r="611">
      <c r="C611" s="3"/>
      <c r="D611" s="3"/>
      <c r="E611" s="3"/>
      <c r="F611" s="2"/>
      <c r="G611" s="3"/>
      <c r="H611" s="3"/>
    </row>
    <row r="612">
      <c r="C612" s="3"/>
      <c r="D612" s="3"/>
      <c r="E612" s="3"/>
      <c r="F612" s="2"/>
      <c r="G612" s="3"/>
      <c r="H612" s="3"/>
    </row>
    <row r="613">
      <c r="C613" s="3"/>
      <c r="D613" s="3"/>
      <c r="E613" s="3"/>
      <c r="F613" s="2"/>
      <c r="G613" s="3"/>
      <c r="H613" s="3"/>
    </row>
    <row r="614">
      <c r="C614" s="3"/>
      <c r="D614" s="3"/>
      <c r="E614" s="3"/>
      <c r="F614" s="2"/>
      <c r="G614" s="3"/>
      <c r="H614" s="3"/>
    </row>
    <row r="615">
      <c r="C615" s="3"/>
      <c r="D615" s="3"/>
      <c r="E615" s="3"/>
      <c r="F615" s="2"/>
      <c r="G615" s="3"/>
      <c r="H615" s="3"/>
    </row>
    <row r="616">
      <c r="C616" s="3"/>
      <c r="D616" s="3"/>
      <c r="E616" s="3"/>
      <c r="F616" s="2"/>
      <c r="G616" s="3"/>
      <c r="H616" s="3"/>
    </row>
    <row r="617">
      <c r="C617" s="3"/>
      <c r="D617" s="3"/>
      <c r="E617" s="3"/>
      <c r="F617" s="2"/>
      <c r="G617" s="3"/>
      <c r="H617" s="3"/>
    </row>
    <row r="618">
      <c r="C618" s="3"/>
      <c r="D618" s="3"/>
      <c r="E618" s="3"/>
      <c r="F618" s="2"/>
      <c r="G618" s="3"/>
      <c r="H618" s="3"/>
    </row>
    <row r="619">
      <c r="C619" s="3"/>
      <c r="D619" s="3"/>
      <c r="E619" s="3"/>
      <c r="F619" s="2"/>
      <c r="G619" s="3"/>
      <c r="H619" s="3"/>
    </row>
    <row r="620">
      <c r="C620" s="3"/>
      <c r="D620" s="3"/>
      <c r="E620" s="3"/>
      <c r="F620" s="2"/>
      <c r="G620" s="3"/>
      <c r="H620" s="3"/>
    </row>
    <row r="621">
      <c r="C621" s="3"/>
      <c r="D621" s="3"/>
      <c r="E621" s="3"/>
      <c r="F621" s="2"/>
      <c r="G621" s="3"/>
      <c r="H621" s="3"/>
    </row>
    <row r="622">
      <c r="C622" s="3"/>
      <c r="D622" s="3"/>
      <c r="E622" s="3"/>
      <c r="F622" s="2"/>
      <c r="G622" s="3"/>
      <c r="H622" s="3"/>
    </row>
    <row r="623">
      <c r="C623" s="3"/>
      <c r="D623" s="3"/>
      <c r="E623" s="3"/>
      <c r="F623" s="2"/>
      <c r="G623" s="3"/>
      <c r="H623" s="3"/>
    </row>
    <row r="624">
      <c r="C624" s="3"/>
      <c r="D624" s="3"/>
      <c r="E624" s="3"/>
      <c r="F624" s="2"/>
      <c r="G624" s="3"/>
      <c r="H624" s="3"/>
    </row>
    <row r="625">
      <c r="C625" s="3"/>
      <c r="D625" s="3"/>
      <c r="E625" s="3"/>
      <c r="F625" s="2"/>
      <c r="G625" s="3"/>
      <c r="H625" s="3"/>
    </row>
    <row r="626">
      <c r="C626" s="3"/>
      <c r="D626" s="3"/>
      <c r="E626" s="3"/>
      <c r="F626" s="2"/>
      <c r="G626" s="3"/>
      <c r="H626" s="3"/>
    </row>
    <row r="627">
      <c r="C627" s="3"/>
      <c r="D627" s="3"/>
      <c r="E627" s="3"/>
      <c r="F627" s="2"/>
      <c r="G627" s="3"/>
      <c r="H627" s="3"/>
    </row>
    <row r="628">
      <c r="C628" s="3"/>
      <c r="D628" s="3"/>
      <c r="E628" s="3"/>
      <c r="F628" s="2"/>
      <c r="G628" s="3"/>
      <c r="H628" s="3"/>
    </row>
    <row r="629">
      <c r="C629" s="3"/>
      <c r="D629" s="3"/>
      <c r="E629" s="3"/>
      <c r="F629" s="2"/>
      <c r="G629" s="3"/>
      <c r="H629" s="3"/>
    </row>
    <row r="630">
      <c r="C630" s="3"/>
      <c r="D630" s="3"/>
      <c r="E630" s="3"/>
      <c r="F630" s="2"/>
      <c r="G630" s="3"/>
      <c r="H630" s="3"/>
    </row>
    <row r="631">
      <c r="C631" s="3"/>
      <c r="D631" s="3"/>
      <c r="E631" s="3"/>
      <c r="F631" s="2"/>
      <c r="G631" s="3"/>
      <c r="H631" s="3"/>
    </row>
    <row r="632">
      <c r="C632" s="3"/>
      <c r="D632" s="3"/>
      <c r="E632" s="3"/>
      <c r="F632" s="2"/>
      <c r="G632" s="3"/>
      <c r="H632" s="3"/>
    </row>
    <row r="633">
      <c r="C633" s="3"/>
      <c r="D633" s="3"/>
      <c r="E633" s="3"/>
      <c r="F633" s="2"/>
      <c r="G633" s="3"/>
      <c r="H633" s="3"/>
    </row>
    <row r="634">
      <c r="C634" s="3"/>
      <c r="D634" s="3"/>
      <c r="E634" s="3"/>
      <c r="F634" s="2"/>
      <c r="G634" s="3"/>
      <c r="H634" s="3"/>
    </row>
    <row r="635">
      <c r="C635" s="3"/>
      <c r="D635" s="3"/>
      <c r="E635" s="3"/>
      <c r="F635" s="2"/>
      <c r="G635" s="3"/>
      <c r="H635" s="3"/>
    </row>
    <row r="636">
      <c r="C636" s="3"/>
      <c r="D636" s="3"/>
      <c r="E636" s="3"/>
      <c r="F636" s="2"/>
      <c r="G636" s="3"/>
      <c r="H636" s="3"/>
    </row>
    <row r="637">
      <c r="C637" s="3"/>
      <c r="D637" s="3"/>
      <c r="E637" s="3"/>
      <c r="F637" s="2"/>
      <c r="G637" s="3"/>
      <c r="H637" s="3"/>
    </row>
    <row r="638">
      <c r="C638" s="3"/>
      <c r="D638" s="3"/>
      <c r="E638" s="3"/>
      <c r="F638" s="2"/>
      <c r="G638" s="3"/>
      <c r="H638" s="3"/>
    </row>
    <row r="639">
      <c r="C639" s="3"/>
      <c r="D639" s="3"/>
      <c r="E639" s="3"/>
      <c r="F639" s="2"/>
      <c r="G639" s="3"/>
      <c r="H639" s="3"/>
    </row>
    <row r="640">
      <c r="C640" s="3"/>
      <c r="D640" s="3"/>
      <c r="E640" s="3"/>
      <c r="F640" s="2"/>
      <c r="G640" s="3"/>
      <c r="H640" s="3"/>
    </row>
    <row r="641">
      <c r="C641" s="3"/>
      <c r="D641" s="3"/>
      <c r="E641" s="3"/>
      <c r="F641" s="2"/>
      <c r="G641" s="3"/>
      <c r="H641" s="3"/>
    </row>
    <row r="642">
      <c r="C642" s="3"/>
      <c r="D642" s="3"/>
      <c r="E642" s="3"/>
      <c r="F642" s="2"/>
      <c r="G642" s="3"/>
      <c r="H642" s="3"/>
    </row>
    <row r="643">
      <c r="C643" s="3"/>
      <c r="D643" s="3"/>
      <c r="E643" s="3"/>
      <c r="F643" s="2"/>
      <c r="G643" s="3"/>
      <c r="H643" s="3"/>
    </row>
    <row r="644">
      <c r="C644" s="3"/>
      <c r="D644" s="3"/>
      <c r="E644" s="3"/>
      <c r="F644" s="2"/>
      <c r="G644" s="3"/>
      <c r="H644" s="3"/>
    </row>
    <row r="645">
      <c r="C645" s="3"/>
      <c r="D645" s="3"/>
      <c r="E645" s="3"/>
      <c r="F645" s="2"/>
      <c r="G645" s="3"/>
      <c r="H645" s="3"/>
    </row>
    <row r="646">
      <c r="C646" s="3"/>
      <c r="D646" s="3"/>
      <c r="E646" s="3"/>
      <c r="F646" s="2"/>
      <c r="G646" s="3"/>
      <c r="H646" s="3"/>
    </row>
    <row r="647">
      <c r="C647" s="3"/>
      <c r="D647" s="3"/>
      <c r="E647" s="3"/>
      <c r="F647" s="2"/>
      <c r="G647" s="3"/>
      <c r="H647" s="3"/>
    </row>
    <row r="648">
      <c r="C648" s="3"/>
      <c r="D648" s="3"/>
      <c r="E648" s="3"/>
      <c r="F648" s="2"/>
      <c r="G648" s="3"/>
      <c r="H648" s="3"/>
    </row>
    <row r="649">
      <c r="C649" s="3"/>
      <c r="D649" s="3"/>
      <c r="E649" s="3"/>
      <c r="F649" s="2"/>
      <c r="G649" s="3"/>
      <c r="H649" s="3"/>
    </row>
    <row r="650">
      <c r="C650" s="3"/>
      <c r="D650" s="3"/>
      <c r="E650" s="3"/>
      <c r="F650" s="2"/>
      <c r="G650" s="3"/>
      <c r="H650" s="3"/>
    </row>
    <row r="651">
      <c r="C651" s="3"/>
      <c r="D651" s="3"/>
      <c r="E651" s="3"/>
      <c r="F651" s="2"/>
      <c r="G651" s="3"/>
      <c r="H651" s="3"/>
    </row>
    <row r="652">
      <c r="C652" s="3"/>
      <c r="D652" s="3"/>
      <c r="E652" s="3"/>
      <c r="F652" s="2"/>
      <c r="G652" s="3"/>
      <c r="H652" s="3"/>
    </row>
    <row r="653">
      <c r="C653" s="3"/>
      <c r="D653" s="3"/>
      <c r="E653" s="3"/>
      <c r="F653" s="2"/>
      <c r="G653" s="3"/>
      <c r="H653" s="3"/>
    </row>
    <row r="654">
      <c r="C654" s="3"/>
      <c r="D654" s="3"/>
      <c r="E654" s="3"/>
      <c r="F654" s="2"/>
      <c r="G654" s="3"/>
      <c r="H654" s="3"/>
    </row>
    <row r="655">
      <c r="C655" s="3"/>
      <c r="D655" s="3"/>
      <c r="E655" s="3"/>
      <c r="F655" s="2"/>
      <c r="G655" s="3"/>
      <c r="H655" s="3"/>
    </row>
    <row r="656">
      <c r="C656" s="3"/>
      <c r="D656" s="3"/>
      <c r="E656" s="3"/>
      <c r="F656" s="2"/>
      <c r="G656" s="3"/>
      <c r="H656" s="3"/>
    </row>
    <row r="657">
      <c r="C657" s="3"/>
      <c r="D657" s="3"/>
      <c r="E657" s="3"/>
      <c r="F657" s="2"/>
      <c r="G657" s="3"/>
      <c r="H657" s="3"/>
    </row>
    <row r="658">
      <c r="C658" s="3"/>
      <c r="D658" s="3"/>
      <c r="E658" s="3"/>
      <c r="F658" s="2"/>
      <c r="G658" s="3"/>
      <c r="H658" s="3"/>
    </row>
    <row r="659">
      <c r="C659" s="3"/>
      <c r="D659" s="3"/>
      <c r="E659" s="3"/>
      <c r="F659" s="2"/>
      <c r="G659" s="3"/>
      <c r="H659" s="3"/>
    </row>
    <row r="660">
      <c r="C660" s="3"/>
      <c r="D660" s="3"/>
      <c r="E660" s="3"/>
      <c r="F660" s="2"/>
      <c r="G660" s="3"/>
      <c r="H660" s="3"/>
    </row>
    <row r="661">
      <c r="C661" s="3"/>
      <c r="D661" s="3"/>
      <c r="E661" s="3"/>
      <c r="F661" s="2"/>
      <c r="G661" s="3"/>
      <c r="H661" s="3"/>
    </row>
    <row r="662">
      <c r="C662" s="3"/>
      <c r="D662" s="3"/>
      <c r="E662" s="3"/>
      <c r="F662" s="2"/>
      <c r="G662" s="3"/>
      <c r="H662" s="3"/>
    </row>
    <row r="663">
      <c r="C663" s="3"/>
      <c r="D663" s="3"/>
      <c r="E663" s="3"/>
      <c r="F663" s="2"/>
      <c r="G663" s="3"/>
      <c r="H663" s="3"/>
    </row>
    <row r="664">
      <c r="C664" s="3"/>
      <c r="D664" s="3"/>
      <c r="E664" s="3"/>
      <c r="F664" s="2"/>
      <c r="G664" s="3"/>
      <c r="H664" s="3"/>
    </row>
    <row r="665">
      <c r="C665" s="3"/>
      <c r="D665" s="3"/>
      <c r="E665" s="3"/>
      <c r="F665" s="2"/>
      <c r="G665" s="3"/>
      <c r="H665" s="3"/>
    </row>
    <row r="666">
      <c r="C666" s="3"/>
      <c r="D666" s="3"/>
      <c r="E666" s="3"/>
      <c r="F666" s="2"/>
      <c r="G666" s="3"/>
      <c r="H666" s="3"/>
    </row>
    <row r="667">
      <c r="C667" s="3"/>
      <c r="D667" s="3"/>
      <c r="E667" s="3"/>
      <c r="F667" s="2"/>
      <c r="G667" s="3"/>
      <c r="H667" s="3"/>
    </row>
    <row r="668">
      <c r="C668" s="3"/>
      <c r="D668" s="3"/>
      <c r="E668" s="3"/>
      <c r="F668" s="2"/>
      <c r="G668" s="3"/>
      <c r="H668" s="3"/>
    </row>
    <row r="669">
      <c r="C669" s="3"/>
      <c r="D669" s="3"/>
      <c r="E669" s="3"/>
      <c r="F669" s="2"/>
      <c r="G669" s="3"/>
      <c r="H669" s="3"/>
    </row>
    <row r="670">
      <c r="C670" s="3"/>
      <c r="D670" s="3"/>
      <c r="E670" s="3"/>
      <c r="F670" s="2"/>
      <c r="G670" s="3"/>
      <c r="H670" s="3"/>
    </row>
    <row r="671">
      <c r="C671" s="3"/>
      <c r="D671" s="3"/>
      <c r="E671" s="3"/>
      <c r="F671" s="2"/>
      <c r="G671" s="3"/>
      <c r="H671" s="3"/>
    </row>
    <row r="672">
      <c r="C672" s="3"/>
      <c r="D672" s="3"/>
      <c r="E672" s="3"/>
      <c r="F672" s="2"/>
      <c r="G672" s="3"/>
      <c r="H672" s="3"/>
    </row>
    <row r="673">
      <c r="C673" s="3"/>
      <c r="D673" s="3"/>
      <c r="E673" s="3"/>
      <c r="F673" s="2"/>
      <c r="G673" s="3"/>
      <c r="H673" s="3"/>
    </row>
    <row r="674">
      <c r="C674" s="3"/>
      <c r="D674" s="3"/>
      <c r="E674" s="3"/>
      <c r="F674" s="2"/>
      <c r="G674" s="3"/>
      <c r="H674" s="3"/>
    </row>
    <row r="675">
      <c r="C675" s="3"/>
      <c r="D675" s="3"/>
      <c r="E675" s="3"/>
      <c r="F675" s="2"/>
      <c r="G675" s="3"/>
      <c r="H675" s="3"/>
    </row>
    <row r="676">
      <c r="C676" s="3"/>
      <c r="D676" s="3"/>
      <c r="E676" s="3"/>
      <c r="F676" s="2"/>
      <c r="G676" s="3"/>
      <c r="H676" s="3"/>
    </row>
    <row r="677">
      <c r="C677" s="3"/>
      <c r="D677" s="3"/>
      <c r="E677" s="3"/>
      <c r="F677" s="2"/>
      <c r="G677" s="3"/>
      <c r="H677" s="3"/>
    </row>
    <row r="678">
      <c r="C678" s="3"/>
      <c r="D678" s="3"/>
      <c r="E678" s="3"/>
      <c r="F678" s="2"/>
      <c r="G678" s="3"/>
      <c r="H678" s="3"/>
    </row>
    <row r="679">
      <c r="C679" s="3"/>
      <c r="D679" s="3"/>
      <c r="E679" s="3"/>
      <c r="F679" s="2"/>
      <c r="G679" s="3"/>
      <c r="H679" s="3"/>
    </row>
    <row r="680">
      <c r="C680" s="3"/>
      <c r="D680" s="3"/>
      <c r="E680" s="3"/>
      <c r="F680" s="2"/>
      <c r="G680" s="3"/>
      <c r="H680" s="3"/>
    </row>
    <row r="681">
      <c r="C681" s="3"/>
      <c r="D681" s="3"/>
      <c r="E681" s="3"/>
      <c r="F681" s="2"/>
      <c r="G681" s="3"/>
      <c r="H681" s="3"/>
    </row>
    <row r="682">
      <c r="C682" s="3"/>
      <c r="D682" s="3"/>
      <c r="E682" s="3"/>
      <c r="F682" s="2"/>
      <c r="G682" s="3"/>
      <c r="H682" s="3"/>
    </row>
    <row r="683">
      <c r="C683" s="3"/>
      <c r="D683" s="3"/>
      <c r="E683" s="3"/>
      <c r="F683" s="2"/>
      <c r="G683" s="3"/>
      <c r="H683" s="3"/>
    </row>
    <row r="684">
      <c r="C684" s="3"/>
      <c r="D684" s="3"/>
      <c r="E684" s="3"/>
      <c r="F684" s="2"/>
      <c r="G684" s="3"/>
      <c r="H684" s="3"/>
    </row>
    <row r="685">
      <c r="C685" s="3"/>
      <c r="D685" s="3"/>
      <c r="E685" s="3"/>
      <c r="F685" s="2"/>
      <c r="G685" s="3"/>
      <c r="H685" s="3"/>
    </row>
    <row r="686">
      <c r="C686" s="3"/>
      <c r="D686" s="3"/>
      <c r="E686" s="3"/>
      <c r="F686" s="2"/>
      <c r="G686" s="3"/>
      <c r="H686" s="3"/>
    </row>
    <row r="687">
      <c r="C687" s="3"/>
      <c r="D687" s="3"/>
      <c r="E687" s="3"/>
      <c r="F687" s="2"/>
      <c r="G687" s="3"/>
      <c r="H687" s="3"/>
    </row>
    <row r="688">
      <c r="C688" s="3"/>
      <c r="D688" s="3"/>
      <c r="E688" s="3"/>
      <c r="F688" s="2"/>
      <c r="G688" s="3"/>
      <c r="H688" s="3"/>
    </row>
    <row r="689">
      <c r="C689" s="3"/>
      <c r="D689" s="3"/>
      <c r="E689" s="3"/>
      <c r="F689" s="2"/>
      <c r="G689" s="3"/>
      <c r="H689" s="3"/>
    </row>
    <row r="690">
      <c r="C690" s="3"/>
      <c r="D690" s="3"/>
      <c r="E690" s="3"/>
      <c r="F690" s="2"/>
      <c r="G690" s="3"/>
      <c r="H690" s="3"/>
    </row>
    <row r="691">
      <c r="C691" s="3"/>
      <c r="D691" s="3"/>
      <c r="E691" s="3"/>
      <c r="F691" s="2"/>
      <c r="G691" s="3"/>
      <c r="H691" s="3"/>
    </row>
    <row r="692">
      <c r="C692" s="3"/>
      <c r="D692" s="3"/>
      <c r="E692" s="3"/>
      <c r="F692" s="2"/>
      <c r="G692" s="3"/>
      <c r="H692" s="3"/>
    </row>
    <row r="693">
      <c r="C693" s="3"/>
      <c r="D693" s="3"/>
      <c r="E693" s="3"/>
      <c r="F693" s="2"/>
      <c r="G693" s="3"/>
      <c r="H693" s="3"/>
    </row>
    <row r="694">
      <c r="C694" s="3"/>
      <c r="D694" s="3"/>
      <c r="E694" s="3"/>
      <c r="F694" s="2"/>
      <c r="G694" s="3"/>
      <c r="H694" s="3"/>
    </row>
    <row r="695">
      <c r="C695" s="3"/>
      <c r="D695" s="3"/>
      <c r="E695" s="3"/>
      <c r="F695" s="2"/>
      <c r="G695" s="3"/>
      <c r="H695" s="3"/>
    </row>
    <row r="696">
      <c r="C696" s="3"/>
      <c r="D696" s="3"/>
      <c r="E696" s="3"/>
      <c r="F696" s="2"/>
      <c r="G696" s="3"/>
      <c r="H696" s="3"/>
    </row>
    <row r="697">
      <c r="C697" s="3"/>
      <c r="D697" s="3"/>
      <c r="E697" s="3"/>
      <c r="F697" s="2"/>
      <c r="G697" s="3"/>
      <c r="H697" s="3"/>
    </row>
    <row r="698">
      <c r="C698" s="3"/>
      <c r="D698" s="3"/>
      <c r="E698" s="3"/>
      <c r="F698" s="2"/>
      <c r="G698" s="3"/>
      <c r="H698" s="3"/>
    </row>
    <row r="699">
      <c r="C699" s="3"/>
      <c r="D699" s="3"/>
      <c r="E699" s="3"/>
      <c r="F699" s="2"/>
      <c r="G699" s="3"/>
      <c r="H699" s="3"/>
    </row>
    <row r="700">
      <c r="C700" s="3"/>
      <c r="D700" s="3"/>
      <c r="E700" s="3"/>
      <c r="F700" s="2"/>
      <c r="G700" s="3"/>
      <c r="H700" s="3"/>
    </row>
    <row r="701">
      <c r="C701" s="3"/>
      <c r="D701" s="3"/>
      <c r="E701" s="3"/>
      <c r="F701" s="2"/>
      <c r="G701" s="3"/>
      <c r="H701" s="3"/>
    </row>
    <row r="702">
      <c r="C702" s="3"/>
      <c r="D702" s="3"/>
      <c r="E702" s="3"/>
      <c r="F702" s="2"/>
      <c r="G702" s="3"/>
      <c r="H702" s="3"/>
    </row>
    <row r="703">
      <c r="C703" s="3"/>
      <c r="D703" s="3"/>
      <c r="E703" s="3"/>
      <c r="F703" s="2"/>
      <c r="G703" s="3"/>
      <c r="H703" s="3"/>
    </row>
    <row r="704">
      <c r="C704" s="3"/>
      <c r="D704" s="3"/>
      <c r="E704" s="3"/>
      <c r="F704" s="2"/>
      <c r="G704" s="3"/>
      <c r="H704" s="3"/>
    </row>
    <row r="705">
      <c r="C705" s="3"/>
      <c r="D705" s="3"/>
      <c r="E705" s="3"/>
      <c r="F705" s="2"/>
      <c r="G705" s="3"/>
      <c r="H705" s="3"/>
    </row>
    <row r="706">
      <c r="C706" s="3"/>
      <c r="D706" s="3"/>
      <c r="E706" s="3"/>
      <c r="F706" s="2"/>
      <c r="G706" s="3"/>
      <c r="H706" s="3"/>
    </row>
    <row r="707">
      <c r="C707" s="3"/>
      <c r="D707" s="3"/>
      <c r="E707" s="3"/>
      <c r="F707" s="2"/>
      <c r="G707" s="3"/>
      <c r="H707" s="3"/>
    </row>
    <row r="708">
      <c r="C708" s="3"/>
      <c r="D708" s="3"/>
      <c r="E708" s="3"/>
      <c r="F708" s="2"/>
      <c r="G708" s="3"/>
      <c r="H708" s="3"/>
    </row>
    <row r="709">
      <c r="C709" s="3"/>
      <c r="D709" s="3"/>
      <c r="E709" s="3"/>
      <c r="F709" s="2"/>
      <c r="G709" s="3"/>
      <c r="H709" s="3"/>
    </row>
    <row r="710">
      <c r="C710" s="3"/>
      <c r="D710" s="3"/>
      <c r="E710" s="3"/>
      <c r="F710" s="2"/>
      <c r="G710" s="3"/>
      <c r="H710" s="3"/>
    </row>
    <row r="711">
      <c r="C711" s="3"/>
      <c r="D711" s="3"/>
      <c r="E711" s="3"/>
      <c r="F711" s="2"/>
      <c r="G711" s="3"/>
      <c r="H711" s="3"/>
    </row>
    <row r="712">
      <c r="C712" s="3"/>
      <c r="D712" s="3"/>
      <c r="E712" s="3"/>
      <c r="F712" s="2"/>
      <c r="G712" s="3"/>
      <c r="H712" s="3"/>
    </row>
    <row r="713">
      <c r="C713" s="3"/>
      <c r="D713" s="3"/>
      <c r="E713" s="3"/>
      <c r="F713" s="2"/>
      <c r="G713" s="3"/>
      <c r="H713" s="3"/>
    </row>
    <row r="714">
      <c r="C714" s="3"/>
      <c r="D714" s="3"/>
      <c r="E714" s="3"/>
      <c r="F714" s="2"/>
      <c r="G714" s="3"/>
      <c r="H714" s="3"/>
    </row>
    <row r="715">
      <c r="C715" s="3"/>
      <c r="D715" s="3"/>
      <c r="E715" s="3"/>
      <c r="F715" s="2"/>
      <c r="G715" s="3"/>
      <c r="H715" s="3"/>
    </row>
    <row r="716">
      <c r="C716" s="3"/>
      <c r="D716" s="3"/>
      <c r="E716" s="3"/>
      <c r="F716" s="2"/>
      <c r="G716" s="3"/>
      <c r="H716" s="3"/>
    </row>
    <row r="717">
      <c r="C717" s="3"/>
      <c r="D717" s="3"/>
      <c r="E717" s="3"/>
      <c r="F717" s="2"/>
      <c r="G717" s="3"/>
      <c r="H717" s="3"/>
    </row>
    <row r="718">
      <c r="C718" s="3"/>
      <c r="D718" s="3"/>
      <c r="E718" s="3"/>
      <c r="F718" s="2"/>
      <c r="G718" s="3"/>
      <c r="H718" s="3"/>
    </row>
    <row r="719">
      <c r="C719" s="3"/>
      <c r="D719" s="3"/>
      <c r="E719" s="3"/>
      <c r="F719" s="2"/>
      <c r="G719" s="3"/>
      <c r="H719" s="3"/>
    </row>
    <row r="720">
      <c r="C720" s="3"/>
      <c r="D720" s="3"/>
      <c r="E720" s="3"/>
      <c r="F720" s="2"/>
      <c r="G720" s="3"/>
      <c r="H720" s="3"/>
    </row>
    <row r="721">
      <c r="C721" s="3"/>
      <c r="D721" s="3"/>
      <c r="E721" s="3"/>
      <c r="F721" s="2"/>
      <c r="G721" s="3"/>
      <c r="H721" s="3"/>
    </row>
    <row r="722">
      <c r="C722" s="3"/>
      <c r="D722" s="3"/>
      <c r="E722" s="3"/>
      <c r="F722" s="2"/>
      <c r="G722" s="3"/>
      <c r="H722" s="3"/>
    </row>
    <row r="723">
      <c r="C723" s="3"/>
      <c r="D723" s="3"/>
      <c r="E723" s="3"/>
      <c r="F723" s="2"/>
      <c r="G723" s="3"/>
      <c r="H723" s="3"/>
    </row>
    <row r="724">
      <c r="C724" s="3"/>
      <c r="D724" s="3"/>
      <c r="E724" s="3"/>
      <c r="F724" s="2"/>
      <c r="G724" s="3"/>
      <c r="H724" s="3"/>
    </row>
    <row r="725">
      <c r="C725" s="3"/>
      <c r="D725" s="3"/>
      <c r="E725" s="3"/>
      <c r="F725" s="2"/>
      <c r="G725" s="3"/>
      <c r="H725" s="3"/>
    </row>
    <row r="726">
      <c r="C726" s="3"/>
      <c r="D726" s="3"/>
      <c r="E726" s="3"/>
      <c r="F726" s="2"/>
      <c r="G726" s="3"/>
      <c r="H726" s="3"/>
    </row>
    <row r="727">
      <c r="C727" s="3"/>
      <c r="D727" s="3"/>
      <c r="E727" s="3"/>
      <c r="F727" s="2"/>
      <c r="G727" s="3"/>
      <c r="H727" s="3"/>
    </row>
    <row r="728">
      <c r="C728" s="3"/>
      <c r="D728" s="3"/>
      <c r="E728" s="3"/>
      <c r="F728" s="2"/>
      <c r="G728" s="3"/>
      <c r="H728" s="3"/>
    </row>
    <row r="729">
      <c r="C729" s="3"/>
      <c r="D729" s="3"/>
      <c r="E729" s="3"/>
      <c r="F729" s="2"/>
      <c r="G729" s="3"/>
      <c r="H729" s="3"/>
    </row>
    <row r="730">
      <c r="C730" s="3"/>
      <c r="D730" s="3"/>
      <c r="E730" s="3"/>
      <c r="F730" s="2"/>
      <c r="G730" s="3"/>
      <c r="H730" s="3"/>
    </row>
    <row r="731">
      <c r="C731" s="3"/>
      <c r="D731" s="3"/>
      <c r="E731" s="3"/>
      <c r="F731" s="2"/>
      <c r="G731" s="3"/>
      <c r="H731" s="3"/>
    </row>
    <row r="732">
      <c r="C732" s="3"/>
      <c r="D732" s="3"/>
      <c r="E732" s="3"/>
      <c r="F732" s="2"/>
      <c r="G732" s="3"/>
      <c r="H732" s="3"/>
    </row>
    <row r="733">
      <c r="C733" s="3"/>
      <c r="D733" s="3"/>
      <c r="E733" s="3"/>
      <c r="F733" s="2"/>
      <c r="G733" s="3"/>
      <c r="H733" s="3"/>
    </row>
    <row r="734">
      <c r="C734" s="3"/>
      <c r="D734" s="3"/>
      <c r="E734" s="3"/>
      <c r="F734" s="2"/>
      <c r="G734" s="3"/>
      <c r="H734" s="3"/>
    </row>
    <row r="735">
      <c r="C735" s="3"/>
      <c r="D735" s="3"/>
      <c r="E735" s="3"/>
      <c r="F735" s="2"/>
      <c r="G735" s="3"/>
      <c r="H735" s="3"/>
    </row>
    <row r="736">
      <c r="C736" s="3"/>
      <c r="D736" s="3"/>
      <c r="E736" s="3"/>
      <c r="F736" s="2"/>
      <c r="G736" s="3"/>
      <c r="H736" s="3"/>
    </row>
    <row r="737">
      <c r="C737" s="3"/>
      <c r="D737" s="3"/>
      <c r="E737" s="3"/>
      <c r="F737" s="2"/>
      <c r="G737" s="3"/>
      <c r="H737" s="3"/>
    </row>
    <row r="738">
      <c r="C738" s="3"/>
      <c r="D738" s="3"/>
      <c r="E738" s="3"/>
      <c r="F738" s="2"/>
      <c r="G738" s="3"/>
      <c r="H738" s="3"/>
    </row>
    <row r="739">
      <c r="C739" s="3"/>
      <c r="D739" s="3"/>
      <c r="E739" s="3"/>
      <c r="F739" s="2"/>
      <c r="G739" s="3"/>
      <c r="H739" s="3"/>
    </row>
    <row r="740">
      <c r="C740" s="3"/>
      <c r="D740" s="3"/>
      <c r="E740" s="3"/>
      <c r="F740" s="2"/>
      <c r="G740" s="3"/>
      <c r="H740" s="3"/>
    </row>
    <row r="741">
      <c r="C741" s="3"/>
      <c r="D741" s="3"/>
      <c r="E741" s="3"/>
      <c r="F741" s="2"/>
      <c r="G741" s="3"/>
      <c r="H741" s="3"/>
    </row>
    <row r="742">
      <c r="C742" s="3"/>
      <c r="D742" s="3"/>
      <c r="E742" s="3"/>
      <c r="F742" s="2"/>
      <c r="G742" s="3"/>
      <c r="H742" s="3"/>
    </row>
    <row r="743">
      <c r="C743" s="3"/>
      <c r="D743" s="3"/>
      <c r="E743" s="3"/>
      <c r="F743" s="2"/>
      <c r="G743" s="3"/>
      <c r="H743" s="3"/>
    </row>
    <row r="744">
      <c r="C744" s="3"/>
      <c r="D744" s="3"/>
      <c r="E744" s="3"/>
      <c r="F744" s="2"/>
      <c r="G744" s="3"/>
      <c r="H744" s="3"/>
    </row>
    <row r="745">
      <c r="C745" s="3"/>
      <c r="D745" s="3"/>
      <c r="E745" s="3"/>
      <c r="F745" s="2"/>
      <c r="G745" s="3"/>
      <c r="H745" s="3"/>
    </row>
    <row r="746">
      <c r="C746" s="3"/>
      <c r="D746" s="3"/>
      <c r="E746" s="3"/>
      <c r="F746" s="2"/>
      <c r="G746" s="3"/>
      <c r="H746" s="3"/>
    </row>
    <row r="747">
      <c r="C747" s="3"/>
      <c r="D747" s="3"/>
      <c r="E747" s="3"/>
      <c r="F747" s="2"/>
      <c r="G747" s="3"/>
      <c r="H747" s="3"/>
    </row>
    <row r="748">
      <c r="C748" s="3"/>
      <c r="D748" s="3"/>
      <c r="E748" s="3"/>
      <c r="F748" s="2"/>
      <c r="G748" s="3"/>
      <c r="H748" s="3"/>
    </row>
    <row r="749">
      <c r="C749" s="3"/>
      <c r="D749" s="3"/>
      <c r="E749" s="3"/>
      <c r="F749" s="2"/>
      <c r="G749" s="3"/>
      <c r="H749" s="3"/>
    </row>
    <row r="750">
      <c r="C750" s="3"/>
      <c r="D750" s="3"/>
      <c r="E750" s="3"/>
      <c r="F750" s="2"/>
      <c r="G750" s="3"/>
      <c r="H750" s="3"/>
    </row>
    <row r="751">
      <c r="C751" s="3"/>
      <c r="D751" s="3"/>
      <c r="E751" s="3"/>
      <c r="F751" s="2"/>
      <c r="G751" s="3"/>
      <c r="H751" s="3"/>
    </row>
    <row r="752">
      <c r="C752" s="3"/>
      <c r="D752" s="3"/>
      <c r="E752" s="3"/>
      <c r="F752" s="2"/>
      <c r="G752" s="3"/>
      <c r="H752" s="3"/>
    </row>
    <row r="753">
      <c r="C753" s="3"/>
      <c r="D753" s="3"/>
      <c r="E753" s="3"/>
      <c r="F753" s="2"/>
      <c r="G753" s="3"/>
      <c r="H753" s="3"/>
    </row>
    <row r="754">
      <c r="C754" s="3"/>
      <c r="D754" s="3"/>
      <c r="E754" s="3"/>
      <c r="F754" s="2"/>
      <c r="G754" s="3"/>
      <c r="H754" s="3"/>
    </row>
    <row r="755">
      <c r="C755" s="3"/>
      <c r="D755" s="3"/>
      <c r="E755" s="3"/>
      <c r="F755" s="2"/>
      <c r="G755" s="3"/>
      <c r="H755" s="3"/>
    </row>
    <row r="756">
      <c r="C756" s="3"/>
      <c r="D756" s="3"/>
      <c r="E756" s="3"/>
      <c r="F756" s="2"/>
      <c r="G756" s="3"/>
      <c r="H756" s="3"/>
    </row>
    <row r="757">
      <c r="C757" s="3"/>
      <c r="D757" s="3"/>
      <c r="E757" s="3"/>
      <c r="F757" s="2"/>
      <c r="G757" s="3"/>
      <c r="H757" s="3"/>
    </row>
    <row r="758">
      <c r="C758" s="3"/>
      <c r="D758" s="3"/>
      <c r="E758" s="3"/>
      <c r="F758" s="2"/>
      <c r="G758" s="3"/>
      <c r="H758" s="3"/>
    </row>
    <row r="759">
      <c r="C759" s="3"/>
      <c r="D759" s="3"/>
      <c r="E759" s="3"/>
      <c r="F759" s="2"/>
      <c r="G759" s="3"/>
      <c r="H759" s="3"/>
    </row>
    <row r="760">
      <c r="C760" s="3"/>
      <c r="D760" s="3"/>
      <c r="E760" s="3"/>
      <c r="F760" s="2"/>
      <c r="G760" s="3"/>
      <c r="H760" s="3"/>
    </row>
    <row r="761">
      <c r="C761" s="3"/>
      <c r="D761" s="3"/>
      <c r="E761" s="3"/>
      <c r="F761" s="2"/>
      <c r="G761" s="3"/>
      <c r="H761" s="3"/>
    </row>
    <row r="762">
      <c r="C762" s="3"/>
      <c r="D762" s="3"/>
      <c r="E762" s="3"/>
      <c r="F762" s="2"/>
      <c r="G762" s="3"/>
      <c r="H762" s="3"/>
    </row>
    <row r="763">
      <c r="C763" s="3"/>
      <c r="D763" s="3"/>
      <c r="E763" s="3"/>
      <c r="F763" s="2"/>
      <c r="G763" s="3"/>
      <c r="H763" s="3"/>
    </row>
    <row r="764">
      <c r="C764" s="3"/>
      <c r="D764" s="3"/>
      <c r="E764" s="3"/>
      <c r="F764" s="2"/>
      <c r="G764" s="3"/>
      <c r="H764" s="3"/>
    </row>
    <row r="765">
      <c r="C765" s="3"/>
      <c r="D765" s="3"/>
      <c r="E765" s="3"/>
      <c r="F765" s="2"/>
      <c r="G765" s="3"/>
      <c r="H765" s="3"/>
    </row>
    <row r="766">
      <c r="C766" s="3"/>
      <c r="D766" s="3"/>
      <c r="E766" s="3"/>
      <c r="F766" s="2"/>
      <c r="G766" s="3"/>
      <c r="H766" s="3"/>
    </row>
    <row r="767">
      <c r="C767" s="3"/>
      <c r="D767" s="3"/>
      <c r="E767" s="3"/>
      <c r="F767" s="2"/>
      <c r="G767" s="3"/>
      <c r="H767" s="3"/>
    </row>
    <row r="768">
      <c r="C768" s="3"/>
      <c r="D768" s="3"/>
      <c r="E768" s="3"/>
      <c r="F768" s="2"/>
      <c r="G768" s="3"/>
      <c r="H768" s="3"/>
    </row>
    <row r="769">
      <c r="C769" s="3"/>
      <c r="D769" s="3"/>
      <c r="E769" s="3"/>
      <c r="F769" s="2"/>
      <c r="G769" s="3"/>
      <c r="H769" s="3"/>
    </row>
    <row r="770">
      <c r="C770" s="3"/>
      <c r="D770" s="3"/>
      <c r="E770" s="3"/>
      <c r="F770" s="2"/>
      <c r="G770" s="3"/>
      <c r="H770" s="3"/>
    </row>
    <row r="771">
      <c r="C771" s="3"/>
      <c r="D771" s="3"/>
      <c r="E771" s="3"/>
      <c r="F771" s="2"/>
      <c r="G771" s="3"/>
      <c r="H771" s="3"/>
    </row>
    <row r="772">
      <c r="C772" s="3"/>
      <c r="D772" s="3"/>
      <c r="E772" s="3"/>
      <c r="F772" s="2"/>
      <c r="G772" s="3"/>
      <c r="H772" s="3"/>
    </row>
    <row r="773">
      <c r="C773" s="3"/>
      <c r="D773" s="3"/>
      <c r="E773" s="3"/>
      <c r="F773" s="2"/>
      <c r="G773" s="3"/>
      <c r="H773" s="3"/>
    </row>
    <row r="774">
      <c r="C774" s="3"/>
      <c r="D774" s="3"/>
      <c r="E774" s="3"/>
      <c r="F774" s="2"/>
      <c r="G774" s="3"/>
      <c r="H774" s="3"/>
    </row>
    <row r="775">
      <c r="C775" s="3"/>
      <c r="D775" s="3"/>
      <c r="E775" s="3"/>
      <c r="F775" s="2"/>
      <c r="G775" s="3"/>
      <c r="H775" s="3"/>
    </row>
    <row r="776">
      <c r="C776" s="3"/>
      <c r="D776" s="3"/>
      <c r="E776" s="3"/>
      <c r="F776" s="2"/>
      <c r="G776" s="3"/>
      <c r="H776" s="3"/>
    </row>
    <row r="777">
      <c r="C777" s="3"/>
      <c r="D777" s="3"/>
      <c r="E777" s="3"/>
      <c r="F777" s="2"/>
      <c r="G777" s="3"/>
      <c r="H777" s="3"/>
    </row>
    <row r="778">
      <c r="C778" s="3"/>
      <c r="D778" s="3"/>
      <c r="E778" s="3"/>
      <c r="F778" s="2"/>
      <c r="G778" s="3"/>
      <c r="H778" s="3"/>
    </row>
    <row r="779">
      <c r="C779" s="3"/>
      <c r="D779" s="3"/>
      <c r="E779" s="3"/>
      <c r="F779" s="2"/>
      <c r="G779" s="3"/>
      <c r="H779" s="3"/>
    </row>
    <row r="780">
      <c r="C780" s="3"/>
      <c r="D780" s="3"/>
      <c r="E780" s="3"/>
      <c r="F780" s="2"/>
      <c r="G780" s="3"/>
      <c r="H780" s="3"/>
    </row>
    <row r="781">
      <c r="C781" s="3"/>
      <c r="D781" s="3"/>
      <c r="E781" s="3"/>
      <c r="F781" s="2"/>
      <c r="G781" s="3"/>
      <c r="H781" s="3"/>
    </row>
    <row r="782">
      <c r="C782" s="3"/>
      <c r="D782" s="3"/>
      <c r="E782" s="3"/>
      <c r="F782" s="2"/>
      <c r="G782" s="3"/>
      <c r="H782" s="3"/>
    </row>
    <row r="783">
      <c r="C783" s="3"/>
      <c r="D783" s="3"/>
      <c r="E783" s="3"/>
      <c r="F783" s="2"/>
      <c r="G783" s="3"/>
      <c r="H783" s="3"/>
    </row>
    <row r="784">
      <c r="C784" s="3"/>
      <c r="D784" s="3"/>
      <c r="E784" s="3"/>
      <c r="F784" s="2"/>
      <c r="G784" s="3"/>
      <c r="H784" s="3"/>
    </row>
    <row r="785">
      <c r="C785" s="3"/>
      <c r="D785" s="3"/>
      <c r="E785" s="3"/>
      <c r="F785" s="2"/>
      <c r="G785" s="3"/>
      <c r="H785" s="3"/>
    </row>
    <row r="786">
      <c r="C786" s="3"/>
      <c r="D786" s="3"/>
      <c r="E786" s="3"/>
      <c r="F786" s="2"/>
      <c r="G786" s="3"/>
      <c r="H786" s="3"/>
    </row>
    <row r="787">
      <c r="C787" s="3"/>
      <c r="D787" s="3"/>
      <c r="E787" s="3"/>
      <c r="F787" s="2"/>
      <c r="G787" s="3"/>
      <c r="H787" s="3"/>
    </row>
    <row r="788">
      <c r="C788" s="3"/>
      <c r="D788" s="3"/>
      <c r="E788" s="3"/>
      <c r="F788" s="2"/>
      <c r="G788" s="3"/>
      <c r="H788" s="3"/>
    </row>
    <row r="789">
      <c r="C789" s="3"/>
      <c r="D789" s="3"/>
      <c r="E789" s="3"/>
      <c r="F789" s="2"/>
      <c r="G789" s="3"/>
      <c r="H789" s="3"/>
    </row>
    <row r="790">
      <c r="C790" s="3"/>
      <c r="D790" s="3"/>
      <c r="E790" s="3"/>
      <c r="F790" s="2"/>
      <c r="G790" s="3"/>
      <c r="H790" s="3"/>
    </row>
    <row r="791">
      <c r="C791" s="3"/>
      <c r="D791" s="3"/>
      <c r="E791" s="3"/>
      <c r="F791" s="2"/>
      <c r="G791" s="3"/>
      <c r="H791" s="3"/>
    </row>
    <row r="792">
      <c r="C792" s="3"/>
      <c r="D792" s="3"/>
      <c r="E792" s="3"/>
      <c r="F792" s="2"/>
      <c r="G792" s="3"/>
      <c r="H792" s="3"/>
    </row>
    <row r="793">
      <c r="C793" s="3"/>
      <c r="D793" s="3"/>
      <c r="E793" s="3"/>
      <c r="F793" s="2"/>
      <c r="G793" s="3"/>
      <c r="H793" s="3"/>
    </row>
    <row r="794">
      <c r="C794" s="3"/>
      <c r="D794" s="3"/>
      <c r="E794" s="3"/>
      <c r="F794" s="2"/>
      <c r="G794" s="3"/>
      <c r="H794" s="3"/>
    </row>
    <row r="795">
      <c r="C795" s="3"/>
      <c r="D795" s="3"/>
      <c r="E795" s="3"/>
      <c r="F795" s="2"/>
      <c r="G795" s="3"/>
      <c r="H795" s="3"/>
    </row>
    <row r="796">
      <c r="C796" s="3"/>
      <c r="D796" s="3"/>
      <c r="E796" s="3"/>
      <c r="F796" s="2"/>
      <c r="G796" s="3"/>
      <c r="H796" s="3"/>
    </row>
    <row r="797">
      <c r="C797" s="3"/>
      <c r="D797" s="3"/>
      <c r="E797" s="3"/>
      <c r="F797" s="2"/>
      <c r="G797" s="3"/>
      <c r="H797" s="3"/>
    </row>
    <row r="798">
      <c r="C798" s="3"/>
      <c r="D798" s="3"/>
      <c r="E798" s="3"/>
      <c r="F798" s="2"/>
      <c r="G798" s="3"/>
      <c r="H798" s="3"/>
    </row>
    <row r="799">
      <c r="C799" s="3"/>
      <c r="D799" s="3"/>
      <c r="E799" s="3"/>
      <c r="F799" s="2"/>
      <c r="G799" s="3"/>
      <c r="H799" s="3"/>
    </row>
    <row r="800">
      <c r="C800" s="3"/>
      <c r="D800" s="3"/>
      <c r="E800" s="3"/>
      <c r="F800" s="2"/>
      <c r="G800" s="3"/>
      <c r="H800" s="3"/>
    </row>
    <row r="801">
      <c r="C801" s="3"/>
      <c r="D801" s="3"/>
      <c r="E801" s="3"/>
      <c r="F801" s="2"/>
      <c r="G801" s="3"/>
      <c r="H801" s="3"/>
    </row>
    <row r="802">
      <c r="C802" s="3"/>
      <c r="D802" s="3"/>
      <c r="E802" s="3"/>
      <c r="F802" s="2"/>
      <c r="G802" s="3"/>
      <c r="H802" s="3"/>
    </row>
    <row r="803">
      <c r="C803" s="3"/>
      <c r="D803" s="3"/>
      <c r="E803" s="3"/>
      <c r="F803" s="2"/>
      <c r="G803" s="3"/>
      <c r="H803" s="3"/>
    </row>
    <row r="804">
      <c r="C804" s="3"/>
      <c r="D804" s="3"/>
      <c r="E804" s="3"/>
      <c r="F804" s="2"/>
      <c r="G804" s="3"/>
      <c r="H804" s="3"/>
    </row>
    <row r="805">
      <c r="C805" s="3"/>
      <c r="D805" s="3"/>
      <c r="E805" s="3"/>
      <c r="F805" s="2"/>
      <c r="G805" s="3"/>
      <c r="H805" s="3"/>
    </row>
    <row r="806">
      <c r="C806" s="3"/>
      <c r="D806" s="3"/>
      <c r="E806" s="3"/>
      <c r="F806" s="2"/>
      <c r="G806" s="3"/>
      <c r="H806" s="3"/>
    </row>
    <row r="807">
      <c r="C807" s="3"/>
      <c r="D807" s="3"/>
      <c r="E807" s="3"/>
      <c r="F807" s="2"/>
      <c r="G807" s="3"/>
      <c r="H807" s="3"/>
    </row>
    <row r="808">
      <c r="C808" s="3"/>
      <c r="D808" s="3"/>
      <c r="E808" s="3"/>
      <c r="F808" s="2"/>
      <c r="G808" s="3"/>
      <c r="H808" s="3"/>
    </row>
    <row r="809">
      <c r="C809" s="3"/>
      <c r="D809" s="3"/>
      <c r="E809" s="3"/>
      <c r="F809" s="2"/>
      <c r="G809" s="3"/>
      <c r="H809" s="3"/>
    </row>
    <row r="810">
      <c r="C810" s="3"/>
      <c r="D810" s="3"/>
      <c r="E810" s="3"/>
      <c r="F810" s="2"/>
      <c r="G810" s="3"/>
      <c r="H810" s="3"/>
    </row>
    <row r="811">
      <c r="C811" s="3"/>
      <c r="D811" s="3"/>
      <c r="E811" s="3"/>
      <c r="F811" s="2"/>
      <c r="G811" s="3"/>
      <c r="H811" s="3"/>
    </row>
    <row r="812">
      <c r="C812" s="3"/>
      <c r="D812" s="3"/>
      <c r="E812" s="3"/>
      <c r="F812" s="2"/>
      <c r="G812" s="3"/>
      <c r="H812" s="3"/>
    </row>
    <row r="813">
      <c r="C813" s="3"/>
      <c r="D813" s="3"/>
      <c r="E813" s="3"/>
      <c r="F813" s="2"/>
      <c r="G813" s="3"/>
      <c r="H813" s="3"/>
    </row>
    <row r="814">
      <c r="C814" s="3"/>
      <c r="D814" s="3"/>
      <c r="E814" s="3"/>
      <c r="F814" s="2"/>
      <c r="G814" s="3"/>
      <c r="H814" s="3"/>
    </row>
    <row r="815">
      <c r="C815" s="3"/>
      <c r="D815" s="3"/>
      <c r="E815" s="3"/>
      <c r="F815" s="2"/>
      <c r="G815" s="3"/>
      <c r="H815" s="3"/>
    </row>
    <row r="816">
      <c r="C816" s="3"/>
      <c r="D816" s="3"/>
      <c r="E816" s="3"/>
      <c r="F816" s="2"/>
      <c r="G816" s="3"/>
      <c r="H816" s="3"/>
    </row>
    <row r="817">
      <c r="C817" s="3"/>
      <c r="D817" s="3"/>
      <c r="E817" s="3"/>
      <c r="F817" s="2"/>
      <c r="G817" s="3"/>
      <c r="H817" s="3"/>
    </row>
    <row r="818">
      <c r="C818" s="3"/>
      <c r="D818" s="3"/>
      <c r="E818" s="3"/>
      <c r="F818" s="2"/>
      <c r="G818" s="3"/>
      <c r="H818" s="3"/>
    </row>
    <row r="819">
      <c r="C819" s="3"/>
      <c r="D819" s="3"/>
      <c r="E819" s="3"/>
      <c r="F819" s="2"/>
      <c r="G819" s="3"/>
      <c r="H819" s="3"/>
    </row>
    <row r="820">
      <c r="C820" s="3"/>
      <c r="D820" s="3"/>
      <c r="E820" s="3"/>
      <c r="F820" s="2"/>
      <c r="G820" s="3"/>
      <c r="H820" s="3"/>
    </row>
    <row r="821">
      <c r="C821" s="3"/>
      <c r="D821" s="3"/>
      <c r="E821" s="3"/>
      <c r="F821" s="2"/>
      <c r="G821" s="3"/>
      <c r="H821" s="3"/>
    </row>
    <row r="822">
      <c r="C822" s="3"/>
      <c r="D822" s="3"/>
      <c r="E822" s="3"/>
      <c r="F822" s="2"/>
      <c r="G822" s="3"/>
      <c r="H822" s="3"/>
    </row>
    <row r="823">
      <c r="C823" s="3"/>
      <c r="D823" s="3"/>
      <c r="E823" s="3"/>
      <c r="F823" s="2"/>
      <c r="G823" s="3"/>
      <c r="H823" s="3"/>
    </row>
    <row r="824">
      <c r="C824" s="3"/>
      <c r="D824" s="3"/>
      <c r="E824" s="3"/>
      <c r="F824" s="2"/>
      <c r="G824" s="3"/>
      <c r="H824" s="3"/>
    </row>
    <row r="825">
      <c r="C825" s="3"/>
      <c r="D825" s="3"/>
      <c r="E825" s="3"/>
      <c r="F825" s="2"/>
      <c r="G825" s="3"/>
      <c r="H825" s="3"/>
    </row>
    <row r="826">
      <c r="C826" s="3"/>
      <c r="D826" s="3"/>
      <c r="E826" s="3"/>
      <c r="F826" s="2"/>
      <c r="G826" s="3"/>
      <c r="H826" s="3"/>
    </row>
    <row r="827">
      <c r="C827" s="3"/>
      <c r="D827" s="3"/>
      <c r="E827" s="3"/>
      <c r="F827" s="2"/>
      <c r="G827" s="3"/>
      <c r="H827" s="3"/>
    </row>
    <row r="828">
      <c r="C828" s="3"/>
      <c r="D828" s="3"/>
      <c r="E828" s="3"/>
      <c r="F828" s="2"/>
      <c r="G828" s="3"/>
      <c r="H828" s="3"/>
    </row>
    <row r="829">
      <c r="C829" s="3"/>
      <c r="D829" s="3"/>
      <c r="E829" s="3"/>
      <c r="F829" s="2"/>
      <c r="G829" s="3"/>
      <c r="H829" s="3"/>
    </row>
    <row r="830">
      <c r="C830" s="3"/>
      <c r="D830" s="3"/>
      <c r="E830" s="3"/>
      <c r="F830" s="2"/>
      <c r="G830" s="3"/>
      <c r="H830" s="3"/>
    </row>
    <row r="831">
      <c r="C831" s="3"/>
      <c r="D831" s="3"/>
      <c r="E831" s="3"/>
      <c r="F831" s="2"/>
      <c r="G831" s="3"/>
      <c r="H831" s="3"/>
    </row>
    <row r="832">
      <c r="C832" s="3"/>
      <c r="D832" s="3"/>
      <c r="E832" s="3"/>
      <c r="F832" s="2"/>
      <c r="G832" s="3"/>
      <c r="H832" s="3"/>
    </row>
    <row r="833">
      <c r="C833" s="3"/>
      <c r="D833" s="3"/>
      <c r="E833" s="3"/>
      <c r="F833" s="2"/>
      <c r="G833" s="3"/>
      <c r="H833" s="3"/>
    </row>
    <row r="834">
      <c r="C834" s="3"/>
      <c r="D834" s="3"/>
      <c r="E834" s="3"/>
      <c r="F834" s="2"/>
      <c r="G834" s="3"/>
      <c r="H834" s="3"/>
    </row>
    <row r="835">
      <c r="C835" s="3"/>
      <c r="D835" s="3"/>
      <c r="E835" s="3"/>
      <c r="F835" s="2"/>
      <c r="G835" s="3"/>
      <c r="H835" s="3"/>
    </row>
    <row r="836">
      <c r="C836" s="3"/>
      <c r="D836" s="3"/>
      <c r="E836" s="3"/>
      <c r="F836" s="2"/>
      <c r="G836" s="3"/>
      <c r="H836" s="3"/>
    </row>
    <row r="837">
      <c r="C837" s="3"/>
      <c r="D837" s="3"/>
      <c r="E837" s="3"/>
      <c r="F837" s="2"/>
      <c r="G837" s="3"/>
      <c r="H837" s="3"/>
    </row>
    <row r="838">
      <c r="C838" s="3"/>
      <c r="D838" s="3"/>
      <c r="E838" s="3"/>
      <c r="F838" s="2"/>
      <c r="G838" s="3"/>
      <c r="H838" s="3"/>
    </row>
    <row r="839">
      <c r="C839" s="3"/>
      <c r="D839" s="3"/>
      <c r="E839" s="3"/>
      <c r="F839" s="2"/>
      <c r="G839" s="3"/>
      <c r="H839" s="3"/>
    </row>
    <row r="840">
      <c r="C840" s="3"/>
      <c r="D840" s="3"/>
      <c r="E840" s="3"/>
      <c r="F840" s="2"/>
      <c r="G840" s="3"/>
      <c r="H840" s="3"/>
    </row>
    <row r="841">
      <c r="C841" s="3"/>
      <c r="D841" s="3"/>
      <c r="E841" s="3"/>
      <c r="F841" s="2"/>
      <c r="G841" s="3"/>
      <c r="H841" s="3"/>
    </row>
    <row r="842">
      <c r="C842" s="3"/>
      <c r="D842" s="3"/>
      <c r="E842" s="3"/>
      <c r="F842" s="2"/>
      <c r="G842" s="3"/>
      <c r="H842" s="3"/>
    </row>
    <row r="843">
      <c r="C843" s="3"/>
      <c r="D843" s="3"/>
      <c r="E843" s="3"/>
      <c r="F843" s="2"/>
      <c r="G843" s="3"/>
      <c r="H843" s="3"/>
    </row>
    <row r="844">
      <c r="C844" s="3"/>
      <c r="D844" s="3"/>
      <c r="E844" s="3"/>
      <c r="F844" s="2"/>
      <c r="G844" s="3"/>
      <c r="H844" s="3"/>
    </row>
    <row r="845">
      <c r="C845" s="3"/>
      <c r="D845" s="3"/>
      <c r="E845" s="3"/>
      <c r="F845" s="2"/>
      <c r="G845" s="3"/>
      <c r="H845" s="3"/>
    </row>
    <row r="846">
      <c r="C846" s="3"/>
      <c r="D846" s="3"/>
      <c r="E846" s="3"/>
      <c r="F846" s="2"/>
      <c r="G846" s="3"/>
      <c r="H846" s="3"/>
    </row>
    <row r="847">
      <c r="C847" s="3"/>
      <c r="D847" s="3"/>
      <c r="E847" s="3"/>
      <c r="F847" s="2"/>
      <c r="G847" s="3"/>
      <c r="H847" s="3"/>
    </row>
    <row r="848">
      <c r="C848" s="3"/>
      <c r="D848" s="3"/>
      <c r="E848" s="3"/>
      <c r="F848" s="2"/>
      <c r="G848" s="3"/>
      <c r="H848" s="3"/>
    </row>
    <row r="849">
      <c r="C849" s="3"/>
      <c r="D849" s="3"/>
      <c r="E849" s="3"/>
      <c r="F849" s="2"/>
      <c r="G849" s="3"/>
      <c r="H849" s="3"/>
    </row>
    <row r="850">
      <c r="C850" s="3"/>
      <c r="D850" s="3"/>
      <c r="E850" s="3"/>
      <c r="F850" s="2"/>
      <c r="G850" s="3"/>
      <c r="H850" s="3"/>
    </row>
    <row r="851">
      <c r="C851" s="3"/>
      <c r="D851" s="3"/>
      <c r="E851" s="3"/>
      <c r="F851" s="2"/>
      <c r="G851" s="3"/>
      <c r="H851" s="3"/>
    </row>
    <row r="852">
      <c r="C852" s="3"/>
      <c r="D852" s="3"/>
      <c r="E852" s="3"/>
      <c r="F852" s="2"/>
      <c r="G852" s="3"/>
      <c r="H852" s="3"/>
    </row>
    <row r="853">
      <c r="C853" s="3"/>
      <c r="D853" s="3"/>
      <c r="E853" s="3"/>
      <c r="F853" s="2"/>
      <c r="G853" s="3"/>
      <c r="H853" s="3"/>
    </row>
    <row r="854">
      <c r="C854" s="3"/>
      <c r="D854" s="3"/>
      <c r="E854" s="3"/>
      <c r="F854" s="2"/>
      <c r="G854" s="3"/>
      <c r="H854" s="3"/>
    </row>
    <row r="855">
      <c r="C855" s="3"/>
      <c r="D855" s="3"/>
      <c r="E855" s="3"/>
      <c r="F855" s="2"/>
      <c r="G855" s="3"/>
      <c r="H855" s="3"/>
    </row>
    <row r="856">
      <c r="C856" s="3"/>
      <c r="D856" s="3"/>
      <c r="E856" s="3"/>
      <c r="F856" s="2"/>
      <c r="G856" s="3"/>
      <c r="H856" s="3"/>
    </row>
    <row r="857">
      <c r="C857" s="3"/>
      <c r="D857" s="3"/>
      <c r="E857" s="3"/>
      <c r="F857" s="2"/>
      <c r="G857" s="3"/>
      <c r="H857" s="3"/>
    </row>
    <row r="858">
      <c r="C858" s="3"/>
      <c r="D858" s="3"/>
      <c r="E858" s="3"/>
      <c r="F858" s="2"/>
      <c r="G858" s="3"/>
      <c r="H858" s="3"/>
    </row>
    <row r="859">
      <c r="C859" s="3"/>
      <c r="D859" s="3"/>
      <c r="E859" s="3"/>
      <c r="F859" s="2"/>
      <c r="G859" s="3"/>
      <c r="H859" s="3"/>
    </row>
    <row r="860">
      <c r="C860" s="3"/>
      <c r="D860" s="3"/>
      <c r="E860" s="3"/>
      <c r="F860" s="2"/>
      <c r="G860" s="3"/>
      <c r="H860" s="3"/>
    </row>
    <row r="861">
      <c r="C861" s="3"/>
      <c r="D861" s="3"/>
      <c r="E861" s="3"/>
      <c r="F861" s="2"/>
      <c r="G861" s="3"/>
      <c r="H861" s="3"/>
    </row>
    <row r="862">
      <c r="C862" s="3"/>
      <c r="D862" s="3"/>
      <c r="E862" s="3"/>
      <c r="F862" s="2"/>
      <c r="G862" s="3"/>
      <c r="H862" s="3"/>
    </row>
    <row r="863">
      <c r="C863" s="3"/>
      <c r="D863" s="3"/>
      <c r="E863" s="3"/>
      <c r="F863" s="2"/>
      <c r="G863" s="3"/>
      <c r="H863" s="3"/>
    </row>
    <row r="864">
      <c r="C864" s="3"/>
      <c r="D864" s="3"/>
      <c r="E864" s="3"/>
      <c r="F864" s="2"/>
      <c r="G864" s="3"/>
      <c r="H864" s="3"/>
    </row>
    <row r="865">
      <c r="C865" s="3"/>
      <c r="D865" s="3"/>
      <c r="E865" s="3"/>
      <c r="F865" s="2"/>
      <c r="G865" s="3"/>
      <c r="H865" s="3"/>
    </row>
    <row r="866">
      <c r="C866" s="3"/>
      <c r="D866" s="3"/>
      <c r="E866" s="3"/>
      <c r="F866" s="2"/>
      <c r="G866" s="3"/>
      <c r="H866" s="3"/>
    </row>
    <row r="867">
      <c r="C867" s="3"/>
      <c r="D867" s="3"/>
      <c r="E867" s="3"/>
      <c r="F867" s="2"/>
      <c r="G867" s="3"/>
      <c r="H867" s="3"/>
    </row>
    <row r="868">
      <c r="C868" s="3"/>
      <c r="D868" s="3"/>
      <c r="E868" s="3"/>
      <c r="F868" s="2"/>
      <c r="G868" s="3"/>
      <c r="H868" s="3"/>
    </row>
    <row r="869">
      <c r="C869" s="3"/>
      <c r="D869" s="3"/>
      <c r="E869" s="3"/>
      <c r="F869" s="2"/>
      <c r="G869" s="3"/>
      <c r="H869" s="3"/>
    </row>
    <row r="870">
      <c r="C870" s="3"/>
      <c r="D870" s="3"/>
      <c r="E870" s="3"/>
      <c r="F870" s="2"/>
      <c r="G870" s="3"/>
      <c r="H870" s="3"/>
    </row>
    <row r="871">
      <c r="C871" s="3"/>
      <c r="D871" s="3"/>
      <c r="E871" s="3"/>
      <c r="F871" s="2"/>
      <c r="G871" s="3"/>
      <c r="H871" s="3"/>
    </row>
    <row r="872">
      <c r="C872" s="3"/>
      <c r="D872" s="3"/>
      <c r="E872" s="3"/>
      <c r="F872" s="2"/>
      <c r="G872" s="3"/>
      <c r="H872" s="3"/>
    </row>
    <row r="873">
      <c r="C873" s="3"/>
      <c r="D873" s="3"/>
      <c r="E873" s="3"/>
      <c r="F873" s="2"/>
      <c r="G873" s="3"/>
      <c r="H873" s="3"/>
    </row>
    <row r="874">
      <c r="C874" s="3"/>
      <c r="D874" s="3"/>
      <c r="E874" s="3"/>
      <c r="F874" s="2"/>
      <c r="G874" s="3"/>
      <c r="H874" s="3"/>
    </row>
    <row r="875">
      <c r="C875" s="3"/>
      <c r="D875" s="3"/>
      <c r="E875" s="3"/>
      <c r="F875" s="2"/>
      <c r="G875" s="3"/>
      <c r="H875" s="3"/>
    </row>
    <row r="876">
      <c r="C876" s="3"/>
      <c r="D876" s="3"/>
      <c r="E876" s="3"/>
      <c r="F876" s="2"/>
      <c r="G876" s="3"/>
      <c r="H876" s="3"/>
    </row>
    <row r="877">
      <c r="C877" s="3"/>
      <c r="D877" s="3"/>
      <c r="E877" s="3"/>
      <c r="F877" s="2"/>
      <c r="G877" s="3"/>
      <c r="H877" s="3"/>
    </row>
    <row r="878">
      <c r="C878" s="3"/>
      <c r="D878" s="3"/>
      <c r="E878" s="3"/>
      <c r="F878" s="2"/>
      <c r="G878" s="3"/>
      <c r="H878" s="3"/>
    </row>
    <row r="879">
      <c r="C879" s="3"/>
      <c r="D879" s="3"/>
      <c r="E879" s="3"/>
      <c r="F879" s="2"/>
      <c r="G879" s="3"/>
      <c r="H879" s="3"/>
    </row>
    <row r="880">
      <c r="C880" s="3"/>
      <c r="D880" s="3"/>
      <c r="E880" s="3"/>
      <c r="F880" s="2"/>
      <c r="G880" s="3"/>
      <c r="H880" s="3"/>
    </row>
    <row r="881">
      <c r="C881" s="3"/>
      <c r="D881" s="3"/>
      <c r="E881" s="3"/>
      <c r="F881" s="2"/>
      <c r="G881" s="3"/>
      <c r="H881" s="3"/>
    </row>
    <row r="882">
      <c r="C882" s="3"/>
      <c r="D882" s="3"/>
      <c r="E882" s="3"/>
      <c r="F882" s="2"/>
      <c r="G882" s="3"/>
      <c r="H882" s="3"/>
    </row>
    <row r="883">
      <c r="C883" s="3"/>
      <c r="D883" s="3"/>
      <c r="E883" s="3"/>
      <c r="F883" s="2"/>
      <c r="G883" s="3"/>
      <c r="H883" s="3"/>
    </row>
    <row r="884">
      <c r="C884" s="3"/>
      <c r="D884" s="3"/>
      <c r="E884" s="3"/>
      <c r="F884" s="2"/>
      <c r="G884" s="3"/>
      <c r="H884" s="3"/>
    </row>
    <row r="885">
      <c r="C885" s="3"/>
      <c r="D885" s="3"/>
      <c r="E885" s="3"/>
      <c r="F885" s="2"/>
      <c r="G885" s="3"/>
      <c r="H885" s="3"/>
    </row>
    <row r="886">
      <c r="C886" s="3"/>
      <c r="D886" s="3"/>
      <c r="E886" s="3"/>
      <c r="F886" s="2"/>
      <c r="G886" s="3"/>
      <c r="H886" s="3"/>
    </row>
    <row r="887">
      <c r="C887" s="3"/>
      <c r="D887" s="3"/>
      <c r="E887" s="3"/>
      <c r="F887" s="2"/>
      <c r="G887" s="3"/>
      <c r="H887" s="3"/>
    </row>
    <row r="888">
      <c r="C888" s="3"/>
      <c r="D888" s="3"/>
      <c r="E888" s="3"/>
      <c r="F888" s="2"/>
      <c r="G888" s="3"/>
      <c r="H888" s="3"/>
    </row>
    <row r="889">
      <c r="C889" s="3"/>
      <c r="D889" s="3"/>
      <c r="E889" s="3"/>
      <c r="F889" s="2"/>
      <c r="G889" s="3"/>
      <c r="H889" s="3"/>
    </row>
    <row r="890">
      <c r="C890" s="3"/>
      <c r="D890" s="3"/>
      <c r="E890" s="3"/>
      <c r="F890" s="2"/>
      <c r="G890" s="3"/>
      <c r="H890" s="3"/>
    </row>
    <row r="891">
      <c r="C891" s="3"/>
      <c r="D891" s="3"/>
      <c r="E891" s="3"/>
      <c r="F891" s="2"/>
      <c r="G891" s="3"/>
      <c r="H891" s="3"/>
    </row>
    <row r="892">
      <c r="C892" s="3"/>
      <c r="D892" s="3"/>
      <c r="E892" s="3"/>
      <c r="F892" s="2"/>
      <c r="G892" s="3"/>
      <c r="H892" s="3"/>
    </row>
    <row r="893">
      <c r="C893" s="3"/>
      <c r="D893" s="3"/>
      <c r="E893" s="3"/>
      <c r="F893" s="2"/>
      <c r="G893" s="3"/>
      <c r="H893" s="3"/>
    </row>
    <row r="894">
      <c r="C894" s="3"/>
      <c r="D894" s="3"/>
      <c r="E894" s="3"/>
      <c r="F894" s="2"/>
      <c r="G894" s="3"/>
      <c r="H894" s="3"/>
    </row>
    <row r="895">
      <c r="C895" s="3"/>
      <c r="D895" s="3"/>
      <c r="E895" s="3"/>
      <c r="F895" s="2"/>
      <c r="G895" s="3"/>
      <c r="H895" s="3"/>
    </row>
    <row r="896">
      <c r="C896" s="3"/>
      <c r="D896" s="3"/>
      <c r="E896" s="3"/>
      <c r="F896" s="2"/>
      <c r="G896" s="3"/>
      <c r="H896" s="3"/>
    </row>
    <row r="897">
      <c r="C897" s="3"/>
      <c r="D897" s="3"/>
      <c r="E897" s="3"/>
      <c r="F897" s="2"/>
      <c r="G897" s="3"/>
      <c r="H897" s="3"/>
    </row>
    <row r="898">
      <c r="C898" s="3"/>
      <c r="D898" s="3"/>
      <c r="E898" s="3"/>
      <c r="F898" s="2"/>
      <c r="G898" s="3"/>
      <c r="H898" s="3"/>
    </row>
    <row r="899">
      <c r="C899" s="3"/>
      <c r="D899" s="3"/>
      <c r="E899" s="3"/>
      <c r="F899" s="2"/>
      <c r="G899" s="3"/>
      <c r="H899" s="3"/>
    </row>
    <row r="900">
      <c r="C900" s="3"/>
      <c r="D900" s="3"/>
      <c r="E900" s="3"/>
      <c r="F900" s="2"/>
      <c r="G900" s="3"/>
      <c r="H900" s="3"/>
    </row>
    <row r="901">
      <c r="C901" s="3"/>
      <c r="D901" s="3"/>
      <c r="E901" s="3"/>
      <c r="F901" s="2"/>
      <c r="G901" s="3"/>
      <c r="H901" s="3"/>
    </row>
    <row r="902">
      <c r="C902" s="3"/>
      <c r="D902" s="3"/>
      <c r="E902" s="3"/>
      <c r="F902" s="2"/>
      <c r="G902" s="3"/>
      <c r="H902" s="3"/>
    </row>
    <row r="903">
      <c r="C903" s="3"/>
      <c r="D903" s="3"/>
      <c r="E903" s="3"/>
      <c r="F903" s="2"/>
      <c r="G903" s="3"/>
      <c r="H903" s="3"/>
    </row>
    <row r="904">
      <c r="C904" s="3"/>
      <c r="D904" s="3"/>
      <c r="E904" s="3"/>
      <c r="F904" s="2"/>
      <c r="G904" s="3"/>
      <c r="H904" s="3"/>
    </row>
    <row r="905">
      <c r="C905" s="3"/>
      <c r="D905" s="3"/>
      <c r="E905" s="3"/>
      <c r="F905" s="2"/>
      <c r="G905" s="3"/>
      <c r="H905" s="3"/>
    </row>
    <row r="906">
      <c r="C906" s="3"/>
      <c r="D906" s="3"/>
      <c r="E906" s="3"/>
      <c r="F906" s="2"/>
      <c r="G906" s="3"/>
      <c r="H906" s="3"/>
    </row>
    <row r="907">
      <c r="C907" s="3"/>
      <c r="D907" s="3"/>
      <c r="E907" s="3"/>
      <c r="F907" s="2"/>
      <c r="G907" s="3"/>
      <c r="H907" s="3"/>
    </row>
    <row r="908">
      <c r="C908" s="3"/>
      <c r="D908" s="3"/>
      <c r="E908" s="3"/>
      <c r="F908" s="2"/>
      <c r="G908" s="3"/>
      <c r="H908" s="3"/>
    </row>
    <row r="909">
      <c r="C909" s="3"/>
      <c r="D909" s="3"/>
      <c r="E909" s="3"/>
      <c r="F909" s="2"/>
      <c r="G909" s="3"/>
      <c r="H909" s="3"/>
    </row>
    <row r="910">
      <c r="C910" s="3"/>
      <c r="D910" s="3"/>
      <c r="E910" s="3"/>
      <c r="F910" s="2"/>
      <c r="G910" s="3"/>
      <c r="H910" s="3"/>
    </row>
    <row r="911">
      <c r="C911" s="3"/>
      <c r="D911" s="3"/>
      <c r="E911" s="3"/>
      <c r="F911" s="2"/>
      <c r="G911" s="3"/>
      <c r="H911" s="3"/>
    </row>
    <row r="912">
      <c r="C912" s="3"/>
      <c r="D912" s="3"/>
      <c r="E912" s="3"/>
      <c r="F912" s="2"/>
      <c r="G912" s="3"/>
      <c r="H912" s="3"/>
    </row>
    <row r="913">
      <c r="C913" s="3"/>
      <c r="D913" s="3"/>
      <c r="E913" s="3"/>
      <c r="F913" s="2"/>
      <c r="G913" s="3"/>
      <c r="H913" s="3"/>
    </row>
    <row r="914">
      <c r="C914" s="3"/>
      <c r="D914" s="3"/>
      <c r="E914" s="3"/>
      <c r="F914" s="2"/>
      <c r="G914" s="3"/>
      <c r="H914" s="3"/>
    </row>
    <row r="915">
      <c r="C915" s="3"/>
      <c r="D915" s="3"/>
      <c r="E915" s="3"/>
      <c r="F915" s="2"/>
      <c r="G915" s="3"/>
      <c r="H915" s="3"/>
    </row>
    <row r="916">
      <c r="C916" s="3"/>
      <c r="D916" s="3"/>
      <c r="E916" s="3"/>
      <c r="F916" s="2"/>
      <c r="G916" s="3"/>
      <c r="H916" s="3"/>
    </row>
    <row r="917">
      <c r="C917" s="3"/>
      <c r="D917" s="3"/>
      <c r="E917" s="3"/>
      <c r="F917" s="2"/>
      <c r="G917" s="3"/>
      <c r="H917" s="3"/>
    </row>
    <row r="918">
      <c r="C918" s="3"/>
      <c r="D918" s="3"/>
      <c r="E918" s="3"/>
      <c r="F918" s="2"/>
      <c r="G918" s="3"/>
      <c r="H918" s="3"/>
    </row>
    <row r="919">
      <c r="C919" s="3"/>
      <c r="D919" s="3"/>
      <c r="E919" s="3"/>
      <c r="F919" s="2"/>
      <c r="G919" s="3"/>
      <c r="H919" s="3"/>
    </row>
    <row r="920">
      <c r="C920" s="3"/>
      <c r="D920" s="3"/>
      <c r="E920" s="3"/>
      <c r="F920" s="2"/>
      <c r="G920" s="3"/>
      <c r="H920" s="3"/>
    </row>
    <row r="921">
      <c r="C921" s="3"/>
      <c r="D921" s="3"/>
      <c r="E921" s="3"/>
      <c r="F921" s="2"/>
      <c r="G921" s="3"/>
      <c r="H921" s="3"/>
    </row>
    <row r="922">
      <c r="C922" s="3"/>
      <c r="D922" s="3"/>
      <c r="E922" s="3"/>
      <c r="F922" s="2"/>
      <c r="G922" s="3"/>
      <c r="H922" s="3"/>
    </row>
    <row r="923">
      <c r="C923" s="3"/>
      <c r="D923" s="3"/>
      <c r="E923" s="3"/>
      <c r="F923" s="2"/>
      <c r="G923" s="3"/>
      <c r="H923" s="3"/>
    </row>
    <row r="924">
      <c r="C924" s="3"/>
      <c r="D924" s="3"/>
      <c r="E924" s="3"/>
      <c r="F924" s="2"/>
      <c r="G924" s="3"/>
      <c r="H924" s="3"/>
    </row>
    <row r="925">
      <c r="C925" s="3"/>
      <c r="D925" s="3"/>
      <c r="E925" s="3"/>
      <c r="F925" s="2"/>
      <c r="G925" s="3"/>
      <c r="H925" s="3"/>
    </row>
    <row r="926">
      <c r="C926" s="3"/>
      <c r="D926" s="3"/>
      <c r="E926" s="3"/>
      <c r="F926" s="2"/>
      <c r="G926" s="3"/>
      <c r="H926" s="3"/>
    </row>
    <row r="927">
      <c r="C927" s="3"/>
      <c r="D927" s="3"/>
      <c r="E927" s="3"/>
      <c r="F927" s="2"/>
      <c r="G927" s="3"/>
      <c r="H927" s="3"/>
    </row>
    <row r="928">
      <c r="C928" s="3"/>
      <c r="D928" s="3"/>
      <c r="E928" s="3"/>
      <c r="F928" s="2"/>
      <c r="G928" s="3"/>
      <c r="H928" s="3"/>
    </row>
    <row r="929">
      <c r="C929" s="3"/>
      <c r="D929" s="3"/>
      <c r="E929" s="3"/>
      <c r="F929" s="2"/>
      <c r="G929" s="3"/>
      <c r="H929" s="3"/>
    </row>
    <row r="930">
      <c r="C930" s="3"/>
      <c r="D930" s="3"/>
      <c r="E930" s="3"/>
      <c r="F930" s="2"/>
      <c r="G930" s="3"/>
      <c r="H930" s="3"/>
    </row>
    <row r="931">
      <c r="C931" s="3"/>
      <c r="D931" s="3"/>
      <c r="E931" s="3"/>
      <c r="F931" s="2"/>
      <c r="G931" s="3"/>
      <c r="H931" s="3"/>
    </row>
    <row r="932">
      <c r="C932" s="3"/>
      <c r="D932" s="3"/>
      <c r="E932" s="3"/>
      <c r="F932" s="2"/>
      <c r="G932" s="3"/>
      <c r="H932" s="3"/>
    </row>
    <row r="933">
      <c r="C933" s="3"/>
      <c r="D933" s="3"/>
      <c r="E933" s="3"/>
      <c r="F933" s="2"/>
      <c r="G933" s="3"/>
      <c r="H933" s="3"/>
    </row>
    <row r="934">
      <c r="C934" s="3"/>
      <c r="D934" s="3"/>
      <c r="E934" s="3"/>
      <c r="F934" s="2"/>
      <c r="G934" s="3"/>
      <c r="H934" s="3"/>
    </row>
    <row r="935">
      <c r="C935" s="3"/>
      <c r="D935" s="3"/>
      <c r="E935" s="3"/>
      <c r="F935" s="2"/>
      <c r="G935" s="3"/>
      <c r="H935" s="3"/>
    </row>
    <row r="936">
      <c r="C936" s="3"/>
      <c r="D936" s="3"/>
      <c r="E936" s="3"/>
      <c r="F936" s="2"/>
      <c r="G936" s="3"/>
      <c r="H936" s="3"/>
    </row>
    <row r="937">
      <c r="C937" s="3"/>
      <c r="D937" s="3"/>
      <c r="E937" s="3"/>
      <c r="F937" s="2"/>
      <c r="G937" s="3"/>
      <c r="H937" s="3"/>
    </row>
    <row r="938">
      <c r="C938" s="3"/>
      <c r="D938" s="3"/>
      <c r="E938" s="3"/>
      <c r="F938" s="2"/>
      <c r="G938" s="3"/>
      <c r="H938" s="3"/>
    </row>
    <row r="939">
      <c r="C939" s="3"/>
      <c r="D939" s="3"/>
      <c r="E939" s="3"/>
      <c r="F939" s="2"/>
      <c r="G939" s="3"/>
      <c r="H939" s="3"/>
    </row>
    <row r="940">
      <c r="C940" s="3"/>
      <c r="D940" s="3"/>
      <c r="E940" s="3"/>
      <c r="F940" s="2"/>
      <c r="G940" s="3"/>
      <c r="H940" s="3"/>
    </row>
    <row r="941">
      <c r="C941" s="3"/>
      <c r="D941" s="3"/>
      <c r="E941" s="3"/>
      <c r="F941" s="2"/>
      <c r="G941" s="3"/>
      <c r="H941" s="3"/>
    </row>
    <row r="942">
      <c r="C942" s="3"/>
      <c r="D942" s="3"/>
      <c r="E942" s="3"/>
      <c r="F942" s="2"/>
      <c r="G942" s="3"/>
      <c r="H942" s="3"/>
    </row>
    <row r="943">
      <c r="C943" s="3"/>
      <c r="D943" s="3"/>
      <c r="E943" s="3"/>
      <c r="F943" s="2"/>
      <c r="G943" s="3"/>
      <c r="H943" s="3"/>
    </row>
    <row r="944">
      <c r="C944" s="3"/>
      <c r="D944" s="3"/>
      <c r="E944" s="3"/>
      <c r="F944" s="2"/>
      <c r="G944" s="3"/>
      <c r="H944" s="3"/>
    </row>
    <row r="945">
      <c r="C945" s="3"/>
      <c r="D945" s="3"/>
      <c r="E945" s="3"/>
      <c r="F945" s="2"/>
      <c r="G945" s="3"/>
      <c r="H945" s="3"/>
    </row>
    <row r="946">
      <c r="C946" s="3"/>
      <c r="D946" s="3"/>
      <c r="E946" s="3"/>
      <c r="F946" s="2"/>
      <c r="G946" s="3"/>
      <c r="H946" s="3"/>
    </row>
    <row r="947">
      <c r="C947" s="3"/>
      <c r="D947" s="3"/>
      <c r="E947" s="3"/>
      <c r="F947" s="2"/>
      <c r="G947" s="3"/>
      <c r="H947" s="3"/>
    </row>
    <row r="948">
      <c r="C948" s="3"/>
      <c r="D948" s="3"/>
      <c r="E948" s="3"/>
      <c r="F948" s="2"/>
      <c r="G948" s="3"/>
      <c r="H948" s="3"/>
    </row>
    <row r="949">
      <c r="C949" s="3"/>
      <c r="D949" s="3"/>
      <c r="E949" s="3"/>
      <c r="F949" s="2"/>
      <c r="G949" s="3"/>
      <c r="H949" s="3"/>
    </row>
    <row r="950">
      <c r="C950" s="3"/>
      <c r="D950" s="3"/>
      <c r="E950" s="3"/>
      <c r="F950" s="2"/>
      <c r="G950" s="3"/>
      <c r="H950" s="3"/>
    </row>
    <row r="951">
      <c r="C951" s="3"/>
      <c r="D951" s="3"/>
      <c r="E951" s="3"/>
      <c r="F951" s="2"/>
      <c r="G951" s="3"/>
      <c r="H951" s="3"/>
    </row>
    <row r="952">
      <c r="C952" s="3"/>
      <c r="D952" s="3"/>
      <c r="E952" s="3"/>
      <c r="F952" s="2"/>
      <c r="G952" s="3"/>
      <c r="H952" s="3"/>
    </row>
    <row r="953">
      <c r="C953" s="3"/>
      <c r="D953" s="3"/>
      <c r="E953" s="3"/>
      <c r="F953" s="2"/>
      <c r="G953" s="3"/>
      <c r="H953" s="3"/>
    </row>
    <row r="954">
      <c r="C954" s="3"/>
      <c r="D954" s="3"/>
      <c r="E954" s="3"/>
      <c r="F954" s="2"/>
      <c r="G954" s="3"/>
      <c r="H954" s="3"/>
    </row>
    <row r="955">
      <c r="C955" s="3"/>
      <c r="D955" s="3"/>
      <c r="E955" s="3"/>
      <c r="F955" s="2"/>
      <c r="G955" s="3"/>
      <c r="H955" s="3"/>
    </row>
    <row r="956">
      <c r="C956" s="3"/>
      <c r="D956" s="3"/>
      <c r="E956" s="3"/>
      <c r="F956" s="2"/>
      <c r="G956" s="3"/>
      <c r="H956" s="3"/>
    </row>
    <row r="957">
      <c r="C957" s="3"/>
      <c r="D957" s="3"/>
      <c r="E957" s="3"/>
      <c r="F957" s="2"/>
      <c r="G957" s="3"/>
      <c r="H957" s="3"/>
    </row>
    <row r="958">
      <c r="C958" s="3"/>
      <c r="D958" s="3"/>
      <c r="E958" s="3"/>
      <c r="F958" s="2"/>
      <c r="G958" s="3"/>
      <c r="H958" s="3"/>
    </row>
    <row r="959">
      <c r="C959" s="3"/>
      <c r="D959" s="3"/>
      <c r="E959" s="3"/>
      <c r="F959" s="2"/>
      <c r="G959" s="3"/>
      <c r="H959" s="3"/>
    </row>
    <row r="960">
      <c r="C960" s="3"/>
      <c r="D960" s="3"/>
      <c r="E960" s="3"/>
      <c r="F960" s="2"/>
      <c r="G960" s="3"/>
      <c r="H960" s="3"/>
    </row>
    <row r="961">
      <c r="C961" s="3"/>
      <c r="D961" s="3"/>
      <c r="E961" s="3"/>
      <c r="F961" s="2"/>
      <c r="G961" s="3"/>
      <c r="H961" s="3"/>
    </row>
    <row r="962">
      <c r="C962" s="3"/>
      <c r="D962" s="3"/>
      <c r="E962" s="3"/>
      <c r="F962" s="2"/>
      <c r="G962" s="3"/>
      <c r="H962" s="3"/>
    </row>
    <row r="963">
      <c r="C963" s="3"/>
      <c r="D963" s="3"/>
      <c r="E963" s="3"/>
      <c r="F963" s="2"/>
      <c r="G963" s="3"/>
      <c r="H963" s="3"/>
    </row>
    <row r="964">
      <c r="C964" s="3"/>
      <c r="D964" s="3"/>
      <c r="E964" s="3"/>
      <c r="F964" s="2"/>
      <c r="G964" s="3"/>
      <c r="H964" s="3"/>
    </row>
    <row r="965">
      <c r="C965" s="3"/>
      <c r="D965" s="3"/>
      <c r="E965" s="3"/>
      <c r="F965" s="2"/>
      <c r="G965" s="3"/>
      <c r="H965" s="3"/>
    </row>
    <row r="966">
      <c r="C966" s="3"/>
      <c r="D966" s="3"/>
      <c r="E966" s="3"/>
      <c r="F966" s="2"/>
      <c r="G966" s="3"/>
      <c r="H966" s="3"/>
    </row>
    <row r="967">
      <c r="C967" s="3"/>
      <c r="D967" s="3"/>
      <c r="E967" s="3"/>
      <c r="F967" s="2"/>
      <c r="G967" s="3"/>
      <c r="H967" s="3"/>
    </row>
    <row r="968">
      <c r="C968" s="3"/>
      <c r="D968" s="3"/>
      <c r="E968" s="3"/>
      <c r="F968" s="2"/>
      <c r="G968" s="3"/>
      <c r="H968" s="3"/>
    </row>
    <row r="969">
      <c r="C969" s="3"/>
      <c r="D969" s="3"/>
      <c r="E969" s="3"/>
      <c r="F969" s="2"/>
      <c r="G969" s="3"/>
      <c r="H969" s="3"/>
    </row>
    <row r="970">
      <c r="C970" s="3"/>
      <c r="D970" s="3"/>
      <c r="E970" s="3"/>
      <c r="F970" s="2"/>
      <c r="G970" s="3"/>
      <c r="H970" s="3"/>
    </row>
    <row r="971">
      <c r="C971" s="3"/>
      <c r="D971" s="3"/>
      <c r="E971" s="3"/>
      <c r="F971" s="2"/>
      <c r="G971" s="3"/>
      <c r="H971" s="3"/>
    </row>
    <row r="972">
      <c r="C972" s="3"/>
      <c r="D972" s="3"/>
      <c r="E972" s="3"/>
      <c r="F972" s="2"/>
      <c r="G972" s="3"/>
      <c r="H972" s="3"/>
    </row>
    <row r="973">
      <c r="C973" s="3"/>
      <c r="D973" s="3"/>
      <c r="E973" s="3"/>
      <c r="F973" s="2"/>
      <c r="G973" s="3"/>
      <c r="H973" s="3"/>
    </row>
    <row r="974">
      <c r="C974" s="3"/>
      <c r="D974" s="3"/>
      <c r="E974" s="3"/>
      <c r="F974" s="2"/>
      <c r="G974" s="3"/>
      <c r="H974" s="3"/>
    </row>
    <row r="975">
      <c r="C975" s="3"/>
      <c r="D975" s="3"/>
      <c r="E975" s="3"/>
      <c r="F975" s="2"/>
      <c r="G975" s="3"/>
      <c r="H975" s="3"/>
    </row>
    <row r="976">
      <c r="C976" s="3"/>
      <c r="D976" s="3"/>
      <c r="E976" s="3"/>
      <c r="F976" s="2"/>
      <c r="G976" s="3"/>
      <c r="H976" s="3"/>
    </row>
    <row r="977">
      <c r="C977" s="3"/>
      <c r="D977" s="3"/>
      <c r="E977" s="3"/>
      <c r="F977" s="2"/>
      <c r="G977" s="3"/>
      <c r="H977" s="3"/>
    </row>
    <row r="978">
      <c r="C978" s="3"/>
      <c r="D978" s="3"/>
      <c r="E978" s="3"/>
      <c r="F978" s="2"/>
      <c r="G978" s="3"/>
      <c r="H978" s="3"/>
    </row>
    <row r="979">
      <c r="C979" s="3"/>
      <c r="D979" s="3"/>
      <c r="E979" s="3"/>
      <c r="F979" s="2"/>
      <c r="G979" s="3"/>
      <c r="H979" s="3"/>
    </row>
    <row r="980">
      <c r="C980" s="3"/>
      <c r="D980" s="3"/>
      <c r="E980" s="3"/>
      <c r="F980" s="2"/>
      <c r="G980" s="3"/>
      <c r="H980" s="3"/>
    </row>
    <row r="981">
      <c r="C981" s="3"/>
      <c r="D981" s="3"/>
      <c r="E981" s="3"/>
      <c r="F981" s="2"/>
      <c r="G981" s="3"/>
      <c r="H981" s="3"/>
    </row>
    <row r="982">
      <c r="C982" s="3"/>
      <c r="D982" s="3"/>
      <c r="E982" s="3"/>
      <c r="F982" s="2"/>
      <c r="G982" s="3"/>
      <c r="H982" s="3"/>
    </row>
    <row r="983">
      <c r="C983" s="3"/>
      <c r="D983" s="3"/>
      <c r="E983" s="3"/>
      <c r="F983" s="2"/>
      <c r="G983" s="3"/>
      <c r="H983" s="3"/>
    </row>
    <row r="984">
      <c r="C984" s="3"/>
      <c r="D984" s="3"/>
      <c r="E984" s="3"/>
      <c r="F984" s="2"/>
      <c r="G984" s="3"/>
      <c r="H984" s="3"/>
    </row>
    <row r="985">
      <c r="C985" s="3"/>
      <c r="D985" s="3"/>
      <c r="E985" s="3"/>
      <c r="F985" s="2"/>
      <c r="G985" s="3"/>
      <c r="H985" s="3"/>
    </row>
    <row r="986">
      <c r="C986" s="3"/>
      <c r="D986" s="3"/>
      <c r="E986" s="3"/>
      <c r="F986" s="2"/>
      <c r="G986" s="3"/>
      <c r="H986" s="3"/>
    </row>
    <row r="987">
      <c r="C987" s="3"/>
      <c r="D987" s="3"/>
      <c r="E987" s="3"/>
      <c r="F987" s="2"/>
      <c r="G987" s="3"/>
      <c r="H987" s="3"/>
    </row>
    <row r="988">
      <c r="C988" s="3"/>
      <c r="D988" s="3"/>
      <c r="E988" s="3"/>
      <c r="F988" s="2"/>
      <c r="G988" s="3"/>
      <c r="H988" s="3"/>
    </row>
    <row r="989">
      <c r="C989" s="3"/>
      <c r="D989" s="3"/>
      <c r="E989" s="3"/>
      <c r="F989" s="2"/>
      <c r="G989" s="3"/>
      <c r="H989" s="3"/>
    </row>
    <row r="990">
      <c r="C990" s="3"/>
      <c r="D990" s="3"/>
      <c r="E990" s="3"/>
      <c r="F990" s="2"/>
      <c r="G990" s="3"/>
      <c r="H990" s="3"/>
    </row>
    <row r="991">
      <c r="C991" s="3"/>
      <c r="D991" s="3"/>
      <c r="E991" s="3"/>
      <c r="F991" s="2"/>
      <c r="G991" s="3"/>
      <c r="H991" s="3"/>
    </row>
    <row r="992">
      <c r="C992" s="3"/>
      <c r="D992" s="3"/>
      <c r="E992" s="3"/>
      <c r="F992" s="2"/>
      <c r="G992" s="3"/>
      <c r="H992" s="3"/>
    </row>
    <row r="993">
      <c r="C993" s="3"/>
      <c r="D993" s="3"/>
      <c r="E993" s="3"/>
      <c r="F993" s="2"/>
      <c r="G993" s="3"/>
      <c r="H993" s="3"/>
    </row>
    <row r="994">
      <c r="C994" s="3"/>
      <c r="D994" s="3"/>
      <c r="E994" s="3"/>
      <c r="F994" s="2"/>
      <c r="G994" s="3"/>
      <c r="H994" s="3"/>
    </row>
    <row r="995">
      <c r="C995" s="3"/>
      <c r="D995" s="3"/>
      <c r="E995" s="3"/>
      <c r="F995" s="2"/>
      <c r="G995" s="3"/>
      <c r="H995" s="3"/>
    </row>
    <row r="996">
      <c r="C996" s="3"/>
      <c r="D996" s="3"/>
      <c r="E996" s="3"/>
      <c r="F996" s="2"/>
      <c r="G996" s="3"/>
      <c r="H996" s="3"/>
    </row>
    <row r="997">
      <c r="C997" s="3"/>
      <c r="D997" s="3"/>
      <c r="E997" s="3"/>
      <c r="F997" s="2"/>
      <c r="G997" s="3"/>
      <c r="H997" s="3"/>
    </row>
    <row r="998">
      <c r="C998" s="3"/>
      <c r="D998" s="3"/>
      <c r="E998" s="3"/>
      <c r="F998" s="2"/>
      <c r="G998" s="3"/>
      <c r="H998" s="3"/>
    </row>
    <row r="999">
      <c r="C999" s="3"/>
      <c r="D999" s="3"/>
      <c r="E999" s="3"/>
      <c r="F999" s="2"/>
      <c r="G999" s="3"/>
      <c r="H999" s="3"/>
    </row>
    <row r="1000">
      <c r="C1000" s="3"/>
      <c r="D1000" s="3"/>
      <c r="E1000" s="3"/>
      <c r="F1000" s="2"/>
      <c r="G1000" s="3"/>
      <c r="H1000" s="3"/>
    </row>
  </sheetData>
  <dataValidations>
    <dataValidation type="list" allowBlank="1" sqref="D2:D1000">
      <formula1>Projects!$B$2:$B1000</formula1>
    </dataValidation>
    <dataValidation type="list" allowBlank="1" sqref="E16:E1000">
      <formula1>Settings!$A$2:$A1000</formula1>
    </dataValidation>
    <dataValidation type="list" allowBlank="1" sqref="H16:H1000">
      <formula1>Settings!$C$2:$C1000</formula1>
    </dataValidation>
    <dataValidation type="list" allowBlank="1" sqref="G16:G1000">
      <formula1>Settings!$D$2:$D1000</formula1>
    </dataValidation>
    <dataValidation type="list" allowBlank="1" sqref="C2:C15 E2:E15 G2:H15">
      <formula1>#REF!</formula1>
    </dataValidation>
    <dataValidation type="custom" allowBlank="1" showDropDown="1" sqref="F2:F15">
      <formula1>AND(ISNUMBER(F2),(NOT(OR(NOT(ISERROR(DATEVALUE(F2))), AND(ISNUMBER(F2), LEFT(CELL("format", F2))="D")))))</formula1>
    </dataValidation>
    <dataValidation type="list" allowBlank="1" sqref="C16:C1000">
      <formula1>Clients!$B$2:$B1000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25"/>
    <col customWidth="1" min="2" max="2" width="19.38"/>
    <col customWidth="1" min="3" max="3" width="22.5"/>
    <col customWidth="1" min="4" max="4" width="21.63"/>
    <col customWidth="1" min="5" max="5" width="15.5"/>
    <col customWidth="1" min="6" max="6" width="12.25"/>
    <col customWidth="1" min="7" max="7" width="13.0"/>
    <col customWidth="1" min="8" max="8" width="21.63"/>
    <col customWidth="1" min="9" max="9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D2" s="2"/>
      <c r="E2" s="2"/>
      <c r="F2" s="2"/>
      <c r="G2" s="3" t="str">
        <f t="shared" ref="G2:G1000" si="1">IF(ISBLANK(A2), "", IF(D2&gt;0, "Expense", IF(E2&gt;0, "Income", "")))</f>
        <v/>
      </c>
      <c r="H2" s="3" t="str">
        <f>IF(ISBLANK(A2), "", IF(D2&gt;0, IF(COUNTIF(Expenses!E:E, D2)&gt;0, "Matched", "Unmatched"), IF(E2&gt;0, IF(COUNTIF(Income!F:F, E2)&gt;0, "Matched", "Unmatched"), "")))</f>
        <v/>
      </c>
    </row>
    <row r="3">
      <c r="D3" s="2"/>
      <c r="E3" s="2"/>
      <c r="F3" s="2"/>
      <c r="G3" s="3" t="str">
        <f t="shared" si="1"/>
        <v/>
      </c>
      <c r="H3" s="3" t="str">
        <f>IF(ISBLANK(A3), "", IF(D3&gt;0, IF(COUNTIF(Expenses!E:E, D3)&gt;0, "Matched", "Unmatched"), IF(E3&gt;0, IF(COUNTIF(Income!F:F, E3)&gt;0, "Matched", "Unmatched"), "")))</f>
        <v/>
      </c>
    </row>
    <row r="4">
      <c r="D4" s="2"/>
      <c r="E4" s="2"/>
      <c r="F4" s="2"/>
      <c r="G4" s="3" t="str">
        <f t="shared" si="1"/>
        <v/>
      </c>
      <c r="H4" s="3" t="str">
        <f>IF(ISBLANK(A4), "", IF(D4&gt;0, IF(COUNTIF(Expenses!E:E, D4)&gt;0, "Matched", "Unmatched"), IF(E4&gt;0, IF(COUNTIF(Income!F:F, E4)&gt;0, "Matched", "Unmatched"), "")))</f>
        <v/>
      </c>
    </row>
    <row r="5">
      <c r="D5" s="2"/>
      <c r="E5" s="2"/>
      <c r="F5" s="2"/>
      <c r="G5" s="3" t="str">
        <f t="shared" si="1"/>
        <v/>
      </c>
      <c r="H5" s="3" t="str">
        <f>IF(ISBLANK(A5), "", IF(D5&gt;0, IF(COUNTIF(Expenses!E:E, D5)&gt;0, "Matched", "Unmatched"), IF(E5&gt;0, IF(COUNTIF(Income!F:F, E5)&gt;0, "Matched", "Unmatched"), "")))</f>
        <v/>
      </c>
    </row>
    <row r="6">
      <c r="D6" s="2"/>
      <c r="E6" s="2"/>
      <c r="F6" s="2"/>
      <c r="G6" s="3" t="str">
        <f t="shared" si="1"/>
        <v/>
      </c>
      <c r="H6" s="3" t="str">
        <f>IF(ISBLANK(A6), "", IF(D6&gt;0, IF(COUNTIF(Expenses!E:E, D6)&gt;0, "Matched", "Unmatched"), IF(E6&gt;0, IF(COUNTIF(Income!F:F, E6)&gt;0, "Matched", "Unmatched"), "")))</f>
        <v/>
      </c>
    </row>
    <row r="7">
      <c r="D7" s="2"/>
      <c r="E7" s="2"/>
      <c r="F7" s="2"/>
      <c r="G7" s="3" t="str">
        <f t="shared" si="1"/>
        <v/>
      </c>
      <c r="H7" s="3" t="str">
        <f>IF(ISBLANK(A7), "", IF(D7&gt;0, IF(COUNTIF(Expenses!E:E, D7)&gt;0, "Matched", "Unmatched"), IF(E7&gt;0, IF(COUNTIF(Income!F:F, E7)&gt;0, "Matched", "Unmatched"), "")))</f>
        <v/>
      </c>
    </row>
    <row r="8">
      <c r="D8" s="2"/>
      <c r="E8" s="2"/>
      <c r="F8" s="2"/>
      <c r="G8" s="3" t="str">
        <f t="shared" si="1"/>
        <v/>
      </c>
      <c r="H8" s="3" t="str">
        <f>IF(ISBLANK(A8), "", IF(D8&gt;0, IF(COUNTIF(Expenses!E:E, D8)&gt;0, "Matched", "Unmatched"), IF(E8&gt;0, IF(COUNTIF(Income!F:F, E8)&gt;0, "Matched", "Unmatched"), "")))</f>
        <v/>
      </c>
    </row>
    <row r="9">
      <c r="D9" s="2"/>
      <c r="E9" s="2"/>
      <c r="F9" s="2"/>
      <c r="G9" s="3" t="str">
        <f t="shared" si="1"/>
        <v/>
      </c>
      <c r="H9" s="3" t="str">
        <f>IF(ISBLANK(A9), "", IF(D9&gt;0, IF(COUNTIF(Expenses!E:E, D9)&gt;0, "Matched", "Unmatched"), IF(E9&gt;0, IF(COUNTIF(Income!F:F, E9)&gt;0, "Matched", "Unmatched"), "")))</f>
        <v/>
      </c>
    </row>
    <row r="10">
      <c r="D10" s="2"/>
      <c r="E10" s="2"/>
      <c r="F10" s="2"/>
      <c r="G10" s="3" t="str">
        <f t="shared" si="1"/>
        <v/>
      </c>
      <c r="H10" s="3" t="str">
        <f>IF(ISBLANK(A10), "", IF(D10&gt;0, IF(COUNTIF(Expenses!E:E, D10)&gt;0, "Matched", "Unmatched"), IF(E10&gt;0, IF(COUNTIF(Income!F:F, E10)&gt;0, "Matched", "Unmatched"), "")))</f>
        <v/>
      </c>
    </row>
    <row r="11">
      <c r="D11" s="2"/>
      <c r="E11" s="2"/>
      <c r="F11" s="2"/>
      <c r="G11" s="3" t="str">
        <f t="shared" si="1"/>
        <v/>
      </c>
      <c r="H11" s="3" t="str">
        <f>IF(ISBLANK(A11), "", IF(D11&gt;0, IF(COUNTIF(Expenses!E:E, D11)&gt;0, "Matched", "Unmatched"), IF(E11&gt;0, IF(COUNTIF(Income!F:F, E11)&gt;0, "Matched", "Unmatched"), "")))</f>
        <v/>
      </c>
    </row>
    <row r="12">
      <c r="D12" s="2"/>
      <c r="E12" s="2"/>
      <c r="F12" s="2"/>
      <c r="G12" s="3" t="str">
        <f t="shared" si="1"/>
        <v/>
      </c>
      <c r="H12" s="3" t="str">
        <f>IF(ISBLANK(A12), "", IF(D12&gt;0, IF(COUNTIF(Expenses!E:E, D12)&gt;0, "Matched", "Unmatched"), IF(E12&gt;0, IF(COUNTIF(Income!F:F, E12)&gt;0, "Matched", "Unmatched"), "")))</f>
        <v/>
      </c>
    </row>
    <row r="13">
      <c r="D13" s="2"/>
      <c r="E13" s="2"/>
      <c r="F13" s="2"/>
      <c r="G13" s="3" t="str">
        <f t="shared" si="1"/>
        <v/>
      </c>
      <c r="H13" s="3" t="str">
        <f>IF(ISBLANK(A13), "", IF(D13&gt;0, IF(COUNTIF(Expenses!E:E, D13)&gt;0, "Matched", "Unmatched"), IF(E13&gt;0, IF(COUNTIF(Income!F:F, E13)&gt;0, "Matched", "Unmatched"), "")))</f>
        <v/>
      </c>
    </row>
    <row r="14">
      <c r="D14" s="2"/>
      <c r="E14" s="2"/>
      <c r="F14" s="2"/>
      <c r="G14" s="3" t="str">
        <f t="shared" si="1"/>
        <v/>
      </c>
      <c r="H14" s="3" t="str">
        <f>IF(ISBLANK(A14), "", IF(D14&gt;0, IF(COUNTIF(Expenses!E:E, D14)&gt;0, "Matched", "Unmatched"), IF(E14&gt;0, IF(COUNTIF(Income!F:F, E14)&gt;0, "Matched", "Unmatched"), "")))</f>
        <v/>
      </c>
    </row>
    <row r="15">
      <c r="D15" s="2"/>
      <c r="E15" s="2"/>
      <c r="F15" s="2"/>
      <c r="G15" s="3" t="str">
        <f t="shared" si="1"/>
        <v/>
      </c>
      <c r="H15" s="3" t="str">
        <f>IF(ISBLANK(A15), "", IF(D15&gt;0, IF(COUNTIF(Expenses!E:E, D15)&gt;0, "Matched", "Unmatched"), IF(E15&gt;0, IF(COUNTIF(Income!F:F, E15)&gt;0, "Matched", "Unmatched"), "")))</f>
        <v/>
      </c>
    </row>
    <row r="16">
      <c r="D16" s="2"/>
      <c r="E16" s="2"/>
      <c r="F16" s="2"/>
      <c r="G16" s="3" t="str">
        <f t="shared" si="1"/>
        <v/>
      </c>
      <c r="H16" s="3" t="str">
        <f>IF(ISBLANK(A16), "", IF(D16&gt;0, IF(COUNTIF(Expenses!E:E, D16)&gt;0, "Matched", "Unmatched"), IF(E16&gt;0, IF(COUNTIF(Income!F:F, E16)&gt;0, "Matched", "Unmatched"), "")))</f>
        <v/>
      </c>
    </row>
    <row r="17">
      <c r="D17" s="2"/>
      <c r="E17" s="2"/>
      <c r="F17" s="2"/>
      <c r="G17" s="3" t="str">
        <f t="shared" si="1"/>
        <v/>
      </c>
      <c r="H17" s="3" t="str">
        <f>IF(ISBLANK(A17), "", IF(D17&gt;0, IF(COUNTIF(Expenses!E:E, D17)&gt;0, "Matched", "Unmatched"), IF(E17&gt;0, IF(COUNTIF(Income!F:F, E17)&gt;0, "Matched", "Unmatched"), "")))</f>
        <v/>
      </c>
    </row>
    <row r="18">
      <c r="D18" s="2"/>
      <c r="E18" s="2"/>
      <c r="F18" s="2"/>
      <c r="G18" s="3" t="str">
        <f t="shared" si="1"/>
        <v/>
      </c>
      <c r="H18" s="3" t="str">
        <f>IF(ISBLANK(A18), "", IF(D18&gt;0, IF(COUNTIF(Expenses!E:E, D18)&gt;0, "Matched", "Unmatched"), IF(E18&gt;0, IF(COUNTIF(Income!F:F, E18)&gt;0, "Matched", "Unmatched"), "")))</f>
        <v/>
      </c>
    </row>
    <row r="19">
      <c r="D19" s="2"/>
      <c r="E19" s="2"/>
      <c r="F19" s="2"/>
      <c r="G19" s="3" t="str">
        <f t="shared" si="1"/>
        <v/>
      </c>
      <c r="H19" s="3" t="str">
        <f>IF(ISBLANK(A19), "", IF(D19&gt;0, IF(COUNTIF(Expenses!E:E, D19)&gt;0, "Matched", "Unmatched"), IF(E19&gt;0, IF(COUNTIF(Income!F:F, E19)&gt;0, "Matched", "Unmatched"), "")))</f>
        <v/>
      </c>
    </row>
    <row r="20">
      <c r="D20" s="2"/>
      <c r="E20" s="2"/>
      <c r="F20" s="2"/>
      <c r="G20" s="3" t="str">
        <f t="shared" si="1"/>
        <v/>
      </c>
      <c r="H20" s="3" t="str">
        <f>IF(ISBLANK(A20), "", IF(D20&gt;0, IF(COUNTIF(Expenses!E:E, D20)&gt;0, "Matched", "Unmatched"), IF(E20&gt;0, IF(COUNTIF(Income!F:F, E20)&gt;0, "Matched", "Unmatched"), "")))</f>
        <v/>
      </c>
    </row>
    <row r="21">
      <c r="D21" s="2"/>
      <c r="E21" s="2"/>
      <c r="F21" s="2"/>
      <c r="G21" s="3" t="str">
        <f t="shared" si="1"/>
        <v/>
      </c>
      <c r="H21" s="3" t="str">
        <f>IF(ISBLANK(A21), "", IF(D21&gt;0, IF(COUNTIF(Expenses!E:E, D21)&gt;0, "Matched", "Unmatched"), IF(E21&gt;0, IF(COUNTIF(Income!F:F, E21)&gt;0, "Matched", "Unmatched"), "")))</f>
        <v/>
      </c>
    </row>
    <row r="22">
      <c r="D22" s="2"/>
      <c r="E22" s="2"/>
      <c r="F22" s="2"/>
      <c r="G22" s="3" t="str">
        <f t="shared" si="1"/>
        <v/>
      </c>
      <c r="H22" s="3" t="str">
        <f>IF(ISBLANK(A22), "", IF(D22&gt;0, IF(COUNTIF(Expenses!E:E, D22)&gt;0, "Matched", "Unmatched"), IF(E22&gt;0, IF(COUNTIF(Income!F:F, E22)&gt;0, "Matched", "Unmatched"), "")))</f>
        <v/>
      </c>
    </row>
    <row r="23">
      <c r="D23" s="2"/>
      <c r="E23" s="2"/>
      <c r="F23" s="2"/>
      <c r="G23" s="3" t="str">
        <f t="shared" si="1"/>
        <v/>
      </c>
      <c r="H23" s="3" t="str">
        <f>IF(ISBLANK(A23), "", IF(D23&gt;0, IF(COUNTIF(Expenses!E:E, D23)&gt;0, "Matched", "Unmatched"), IF(E23&gt;0, IF(COUNTIF(Income!F:F, E23)&gt;0, "Matched", "Unmatched"), "")))</f>
        <v/>
      </c>
    </row>
    <row r="24">
      <c r="D24" s="2"/>
      <c r="E24" s="2"/>
      <c r="F24" s="2"/>
      <c r="G24" s="3" t="str">
        <f t="shared" si="1"/>
        <v/>
      </c>
      <c r="H24" s="3" t="str">
        <f>IF(ISBLANK(A24), "", IF(D24&gt;0, IF(COUNTIF(Expenses!E:E, D24)&gt;0, "Matched", "Unmatched"), IF(E24&gt;0, IF(COUNTIF(Income!F:F, E24)&gt;0, "Matched", "Unmatched"), "")))</f>
        <v/>
      </c>
    </row>
    <row r="25">
      <c r="D25" s="2"/>
      <c r="E25" s="2"/>
      <c r="F25" s="2"/>
      <c r="G25" s="3" t="str">
        <f t="shared" si="1"/>
        <v/>
      </c>
      <c r="H25" s="3" t="str">
        <f>IF(ISBLANK(A25), "", IF(D25&gt;0, IF(COUNTIF(Expenses!E:E, D25)&gt;0, "Matched", "Unmatched"), IF(E25&gt;0, IF(COUNTIF(Income!F:F, E25)&gt;0, "Matched", "Unmatched"), "")))</f>
        <v/>
      </c>
    </row>
    <row r="26">
      <c r="D26" s="2"/>
      <c r="E26" s="2"/>
      <c r="F26" s="2"/>
      <c r="G26" s="3" t="str">
        <f t="shared" si="1"/>
        <v/>
      </c>
      <c r="H26" s="3" t="str">
        <f>IF(ISBLANK(A26), "", IF(D26&gt;0, IF(COUNTIF(Expenses!E:E, D26)&gt;0, "Matched", "Unmatched"), IF(E26&gt;0, IF(COUNTIF(Income!F:F, E26)&gt;0, "Matched", "Unmatched"), "")))</f>
        <v/>
      </c>
    </row>
    <row r="27">
      <c r="D27" s="2"/>
      <c r="E27" s="2"/>
      <c r="F27" s="2"/>
      <c r="G27" s="3" t="str">
        <f t="shared" si="1"/>
        <v/>
      </c>
      <c r="H27" s="3" t="str">
        <f>IF(ISBLANK(A27), "", IF(D27&gt;0, IF(COUNTIF(Expenses!E:E, D27)&gt;0, "Matched", "Unmatched"), IF(E27&gt;0, IF(COUNTIF(Income!F:F, E27)&gt;0, "Matched", "Unmatched"), "")))</f>
        <v/>
      </c>
    </row>
    <row r="28">
      <c r="D28" s="2"/>
      <c r="E28" s="2"/>
      <c r="F28" s="2"/>
      <c r="G28" s="3" t="str">
        <f t="shared" si="1"/>
        <v/>
      </c>
      <c r="H28" s="3" t="str">
        <f>IF(ISBLANK(A28), "", IF(D28&gt;0, IF(COUNTIF(Expenses!E:E, D28)&gt;0, "Matched", "Unmatched"), IF(E28&gt;0, IF(COUNTIF(Income!F:F, E28)&gt;0, "Matched", "Unmatched"), "")))</f>
        <v/>
      </c>
    </row>
    <row r="29">
      <c r="D29" s="2"/>
      <c r="E29" s="2"/>
      <c r="F29" s="2"/>
      <c r="G29" s="3" t="str">
        <f t="shared" si="1"/>
        <v/>
      </c>
      <c r="H29" s="3" t="str">
        <f>IF(ISBLANK(A29), "", IF(D29&gt;0, IF(COUNTIF(Expenses!E:E, D29)&gt;0, "Matched", "Unmatched"), IF(E29&gt;0, IF(COUNTIF(Income!F:F, E29)&gt;0, "Matched", "Unmatched"), "")))</f>
        <v/>
      </c>
    </row>
    <row r="30">
      <c r="D30" s="2"/>
      <c r="E30" s="2"/>
      <c r="F30" s="2"/>
      <c r="G30" s="3" t="str">
        <f t="shared" si="1"/>
        <v/>
      </c>
      <c r="H30" s="3" t="str">
        <f>IF(ISBLANK(A30), "", IF(D30&gt;0, IF(COUNTIF(Expenses!E:E, D30)&gt;0, "Matched", "Unmatched"), IF(E30&gt;0, IF(COUNTIF(Income!F:F, E30)&gt;0, "Matched", "Unmatched"), "")))</f>
        <v/>
      </c>
    </row>
    <row r="31">
      <c r="D31" s="2"/>
      <c r="E31" s="2"/>
      <c r="F31" s="2"/>
      <c r="G31" s="3" t="str">
        <f t="shared" si="1"/>
        <v/>
      </c>
      <c r="H31" s="3" t="str">
        <f>IF(ISBLANK(A31), "", IF(D31&gt;0, IF(COUNTIF(Expenses!E:E, D31)&gt;0, "Matched", "Unmatched"), IF(E31&gt;0, IF(COUNTIF(Income!F:F, E31)&gt;0, "Matched", "Unmatched"), "")))</f>
        <v/>
      </c>
    </row>
    <row r="32">
      <c r="D32" s="2"/>
      <c r="E32" s="2"/>
      <c r="F32" s="2"/>
      <c r="G32" s="3" t="str">
        <f t="shared" si="1"/>
        <v/>
      </c>
      <c r="H32" s="3" t="str">
        <f>IF(ISBLANK(A32), "", IF(D32&gt;0, IF(COUNTIF(Expenses!E:E, D32)&gt;0, "Matched", "Unmatched"), IF(E32&gt;0, IF(COUNTIF(Income!F:F, E32)&gt;0, "Matched", "Unmatched"), "")))</f>
        <v/>
      </c>
    </row>
    <row r="33">
      <c r="D33" s="2"/>
      <c r="E33" s="2"/>
      <c r="F33" s="2"/>
      <c r="G33" s="3" t="str">
        <f t="shared" si="1"/>
        <v/>
      </c>
      <c r="H33" s="3" t="str">
        <f>IF(ISBLANK(A33), "", IF(D33&gt;0, IF(COUNTIF(Expenses!E:E, D33)&gt;0, "Matched", "Unmatched"), IF(E33&gt;0, IF(COUNTIF(Income!F:F, E33)&gt;0, "Matched", "Unmatched"), "")))</f>
        <v/>
      </c>
    </row>
    <row r="34">
      <c r="D34" s="2"/>
      <c r="E34" s="2"/>
      <c r="F34" s="2"/>
      <c r="G34" s="3" t="str">
        <f t="shared" si="1"/>
        <v/>
      </c>
      <c r="H34" s="3" t="str">
        <f>IF(ISBLANK(A34), "", IF(D34&gt;0, IF(COUNTIF(Expenses!E:E, D34)&gt;0, "Matched", "Unmatched"), IF(E34&gt;0, IF(COUNTIF(Income!F:F, E34)&gt;0, "Matched", "Unmatched"), "")))</f>
        <v/>
      </c>
    </row>
    <row r="35">
      <c r="D35" s="2"/>
      <c r="E35" s="2"/>
      <c r="F35" s="2"/>
      <c r="G35" s="3" t="str">
        <f t="shared" si="1"/>
        <v/>
      </c>
      <c r="H35" s="3" t="str">
        <f>IF(ISBLANK(A35), "", IF(D35&gt;0, IF(COUNTIF(Expenses!E:E, D35)&gt;0, "Matched", "Unmatched"), IF(E35&gt;0, IF(COUNTIF(Income!F:F, E35)&gt;0, "Matched", "Unmatched"), "")))</f>
        <v/>
      </c>
    </row>
    <row r="36">
      <c r="D36" s="2"/>
      <c r="E36" s="2"/>
      <c r="F36" s="2"/>
      <c r="G36" s="3" t="str">
        <f t="shared" si="1"/>
        <v/>
      </c>
      <c r="H36" s="3" t="str">
        <f>IF(ISBLANK(A36), "", IF(D36&gt;0, IF(COUNTIF(Expenses!E:E, D36)&gt;0, "Matched", "Unmatched"), IF(E36&gt;0, IF(COUNTIF(Income!F:F, E36)&gt;0, "Matched", "Unmatched"), "")))</f>
        <v/>
      </c>
    </row>
    <row r="37">
      <c r="D37" s="2"/>
      <c r="E37" s="2"/>
      <c r="F37" s="2"/>
      <c r="G37" s="3" t="str">
        <f t="shared" si="1"/>
        <v/>
      </c>
      <c r="H37" s="3" t="str">
        <f>IF(ISBLANK(A37), "", IF(D37&gt;0, IF(COUNTIF(Expenses!E:E, D37)&gt;0, "Matched", "Unmatched"), IF(E37&gt;0, IF(COUNTIF(Income!F:F, E37)&gt;0, "Matched", "Unmatched"), "")))</f>
        <v/>
      </c>
    </row>
    <row r="38">
      <c r="D38" s="2"/>
      <c r="E38" s="2"/>
      <c r="F38" s="2"/>
      <c r="G38" s="3" t="str">
        <f t="shared" si="1"/>
        <v/>
      </c>
      <c r="H38" s="3" t="str">
        <f>IF(ISBLANK(A38), "", IF(D38&gt;0, IF(COUNTIF(Expenses!E:E, D38)&gt;0, "Matched", "Unmatched"), IF(E38&gt;0, IF(COUNTIF(Income!F:F, E38)&gt;0, "Matched", "Unmatched"), "")))</f>
        <v/>
      </c>
    </row>
    <row r="39">
      <c r="D39" s="2"/>
      <c r="E39" s="2"/>
      <c r="F39" s="2"/>
      <c r="G39" s="3" t="str">
        <f t="shared" si="1"/>
        <v/>
      </c>
      <c r="H39" s="3" t="str">
        <f>IF(ISBLANK(A39), "", IF(D39&gt;0, IF(COUNTIF(Expenses!E:E, D39)&gt;0, "Matched", "Unmatched"), IF(E39&gt;0, IF(COUNTIF(Income!F:F, E39)&gt;0, "Matched", "Unmatched"), "")))</f>
        <v/>
      </c>
    </row>
    <row r="40">
      <c r="D40" s="2"/>
      <c r="E40" s="2"/>
      <c r="F40" s="2"/>
      <c r="G40" s="3" t="str">
        <f t="shared" si="1"/>
        <v/>
      </c>
      <c r="H40" s="3" t="str">
        <f>IF(ISBLANK(A40), "", IF(D40&gt;0, IF(COUNTIF(Expenses!E:E, D40)&gt;0, "Matched", "Unmatched"), IF(E40&gt;0, IF(COUNTIF(Income!F:F, E40)&gt;0, "Matched", "Unmatched"), "")))</f>
        <v/>
      </c>
    </row>
    <row r="41">
      <c r="D41" s="2"/>
      <c r="E41" s="2"/>
      <c r="F41" s="2"/>
      <c r="G41" s="3" t="str">
        <f t="shared" si="1"/>
        <v/>
      </c>
      <c r="H41" s="3" t="str">
        <f>IF(ISBLANK(A41), "", IF(D41&gt;0, IF(COUNTIF(Expenses!E:E, D41)&gt;0, "Matched", "Unmatched"), IF(E41&gt;0, IF(COUNTIF(Income!F:F, E41)&gt;0, "Matched", "Unmatched"), "")))</f>
        <v/>
      </c>
    </row>
    <row r="42">
      <c r="D42" s="2"/>
      <c r="E42" s="2"/>
      <c r="F42" s="2"/>
      <c r="G42" s="3" t="str">
        <f t="shared" si="1"/>
        <v/>
      </c>
      <c r="H42" s="3" t="str">
        <f>IF(ISBLANK(A42), "", IF(D42&gt;0, IF(COUNTIF(Expenses!E:E, D42)&gt;0, "Matched", "Unmatched"), IF(E42&gt;0, IF(COUNTIF(Income!F:F, E42)&gt;0, "Matched", "Unmatched"), "")))</f>
        <v/>
      </c>
    </row>
    <row r="43">
      <c r="D43" s="2"/>
      <c r="E43" s="2"/>
      <c r="F43" s="2"/>
      <c r="G43" s="3" t="str">
        <f t="shared" si="1"/>
        <v/>
      </c>
      <c r="H43" s="3" t="str">
        <f>IF(ISBLANK(A43), "", IF(D43&gt;0, IF(COUNTIF(Expenses!E:E, D43)&gt;0, "Matched", "Unmatched"), IF(E43&gt;0, IF(COUNTIF(Income!F:F, E43)&gt;0, "Matched", "Unmatched"), "")))</f>
        <v/>
      </c>
    </row>
    <row r="44">
      <c r="D44" s="2"/>
      <c r="E44" s="2"/>
      <c r="F44" s="2"/>
      <c r="G44" s="3" t="str">
        <f t="shared" si="1"/>
        <v/>
      </c>
      <c r="H44" s="3" t="str">
        <f>IF(ISBLANK(A44), "", IF(D44&gt;0, IF(COUNTIF(Expenses!E:E, D44)&gt;0, "Matched", "Unmatched"), IF(E44&gt;0, IF(COUNTIF(Income!F:F, E44)&gt;0, "Matched", "Unmatched"), "")))</f>
        <v/>
      </c>
    </row>
    <row r="45">
      <c r="D45" s="2"/>
      <c r="E45" s="2"/>
      <c r="F45" s="2"/>
      <c r="G45" s="3" t="str">
        <f t="shared" si="1"/>
        <v/>
      </c>
      <c r="H45" s="3" t="str">
        <f>IF(ISBLANK(A45), "", IF(D45&gt;0, IF(COUNTIF(Expenses!E:E, D45)&gt;0, "Matched", "Unmatched"), IF(E45&gt;0, IF(COUNTIF(Income!F:F, E45)&gt;0, "Matched", "Unmatched"), "")))</f>
        <v/>
      </c>
    </row>
    <row r="46">
      <c r="D46" s="2"/>
      <c r="E46" s="2"/>
      <c r="F46" s="2"/>
      <c r="G46" s="3" t="str">
        <f t="shared" si="1"/>
        <v/>
      </c>
      <c r="H46" s="3" t="str">
        <f>IF(ISBLANK(A46), "", IF(D46&gt;0, IF(COUNTIF(Expenses!E:E, D46)&gt;0, "Matched", "Unmatched"), IF(E46&gt;0, IF(COUNTIF(Income!F:F, E46)&gt;0, "Matched", "Unmatched"), "")))</f>
        <v/>
      </c>
    </row>
    <row r="47">
      <c r="D47" s="2"/>
      <c r="E47" s="2"/>
      <c r="F47" s="2"/>
      <c r="G47" s="3" t="str">
        <f t="shared" si="1"/>
        <v/>
      </c>
      <c r="H47" s="3" t="str">
        <f>IF(ISBLANK(A47), "", IF(D47&gt;0, IF(COUNTIF(Expenses!E:E, D47)&gt;0, "Matched", "Unmatched"), IF(E47&gt;0, IF(COUNTIF(Income!F:F, E47)&gt;0, "Matched", "Unmatched"), "")))</f>
        <v/>
      </c>
    </row>
    <row r="48">
      <c r="D48" s="2"/>
      <c r="E48" s="2"/>
      <c r="F48" s="2"/>
      <c r="G48" s="3" t="str">
        <f t="shared" si="1"/>
        <v/>
      </c>
      <c r="H48" s="3" t="str">
        <f>IF(ISBLANK(A48), "", IF(D48&gt;0, IF(COUNTIF(Expenses!E:E, D48)&gt;0, "Matched", "Unmatched"), IF(E48&gt;0, IF(COUNTIF(Income!F:F, E48)&gt;0, "Matched", "Unmatched"), "")))</f>
        <v/>
      </c>
    </row>
    <row r="49">
      <c r="D49" s="2"/>
      <c r="E49" s="2"/>
      <c r="F49" s="2"/>
      <c r="G49" s="3" t="str">
        <f t="shared" si="1"/>
        <v/>
      </c>
      <c r="H49" s="3" t="str">
        <f>IF(ISBLANK(A49), "", IF(D49&gt;0, IF(COUNTIF(Expenses!E:E, D49)&gt;0, "Matched", "Unmatched"), IF(E49&gt;0, IF(COUNTIF(Income!F:F, E49)&gt;0, "Matched", "Unmatched"), "")))</f>
        <v/>
      </c>
    </row>
    <row r="50">
      <c r="D50" s="2"/>
      <c r="E50" s="2"/>
      <c r="F50" s="2"/>
      <c r="G50" s="3" t="str">
        <f t="shared" si="1"/>
        <v/>
      </c>
      <c r="H50" s="3" t="str">
        <f>IF(ISBLANK(A50), "", IF(D50&gt;0, IF(COUNTIF(Expenses!E:E, D50)&gt;0, "Matched", "Unmatched"), IF(E50&gt;0, IF(COUNTIF(Income!F:F, E50)&gt;0, "Matched", "Unmatched"), "")))</f>
        <v/>
      </c>
    </row>
    <row r="51">
      <c r="D51" s="2"/>
      <c r="E51" s="2"/>
      <c r="F51" s="2"/>
      <c r="G51" s="3" t="str">
        <f t="shared" si="1"/>
        <v/>
      </c>
      <c r="H51" s="3" t="str">
        <f>IF(ISBLANK(A51), "", IF(D51&gt;0, IF(COUNTIF(Expenses!E:E, D51)&gt;0, "Matched", "Unmatched"), IF(E51&gt;0, IF(COUNTIF(Income!F:F, E51)&gt;0, "Matched", "Unmatched"), "")))</f>
        <v/>
      </c>
    </row>
    <row r="52">
      <c r="D52" s="2"/>
      <c r="E52" s="2"/>
      <c r="F52" s="2"/>
      <c r="G52" s="3" t="str">
        <f t="shared" si="1"/>
        <v/>
      </c>
      <c r="H52" s="3" t="str">
        <f>IF(ISBLANK(A52), "", IF(D52&gt;0, IF(COUNTIF(Expenses!E:E, D52)&gt;0, "Matched", "Unmatched"), IF(E52&gt;0, IF(COUNTIF(Income!F:F, E52)&gt;0, "Matched", "Unmatched"), "")))</f>
        <v/>
      </c>
    </row>
    <row r="53">
      <c r="D53" s="2"/>
      <c r="E53" s="2"/>
      <c r="F53" s="2"/>
      <c r="G53" s="3" t="str">
        <f t="shared" si="1"/>
        <v/>
      </c>
      <c r="H53" s="3" t="str">
        <f>IF(ISBLANK(A53), "", IF(D53&gt;0, IF(COUNTIF(Expenses!E:E, D53)&gt;0, "Matched", "Unmatched"), IF(E53&gt;0, IF(COUNTIF(Income!F:F, E53)&gt;0, "Matched", "Unmatched"), "")))</f>
        <v/>
      </c>
    </row>
    <row r="54">
      <c r="D54" s="2"/>
      <c r="E54" s="2"/>
      <c r="F54" s="2"/>
      <c r="G54" s="3" t="str">
        <f t="shared" si="1"/>
        <v/>
      </c>
      <c r="H54" s="3" t="str">
        <f>IF(ISBLANK(A54), "", IF(D54&gt;0, IF(COUNTIF(Expenses!E:E, D54)&gt;0, "Matched", "Unmatched"), IF(E54&gt;0, IF(COUNTIF(Income!F:F, E54)&gt;0, "Matched", "Unmatched"), "")))</f>
        <v/>
      </c>
    </row>
    <row r="55">
      <c r="D55" s="2"/>
      <c r="E55" s="2"/>
      <c r="F55" s="2"/>
      <c r="G55" s="3" t="str">
        <f t="shared" si="1"/>
        <v/>
      </c>
      <c r="H55" s="3" t="str">
        <f>IF(ISBLANK(A55), "", IF(D55&gt;0, IF(COUNTIF(Expenses!E:E, D55)&gt;0, "Matched", "Unmatched"), IF(E55&gt;0, IF(COUNTIF(Income!F:F, E55)&gt;0, "Matched", "Unmatched"), "")))</f>
        <v/>
      </c>
    </row>
    <row r="56">
      <c r="D56" s="2"/>
      <c r="E56" s="2"/>
      <c r="F56" s="2"/>
      <c r="G56" s="3" t="str">
        <f t="shared" si="1"/>
        <v/>
      </c>
      <c r="H56" s="3" t="str">
        <f>IF(ISBLANK(A56), "", IF(D56&gt;0, IF(COUNTIF(Expenses!E:E, D56)&gt;0, "Matched", "Unmatched"), IF(E56&gt;0, IF(COUNTIF(Income!F:F, E56)&gt;0, "Matched", "Unmatched"), "")))</f>
        <v/>
      </c>
    </row>
    <row r="57">
      <c r="D57" s="2"/>
      <c r="E57" s="2"/>
      <c r="F57" s="2"/>
      <c r="G57" s="3" t="str">
        <f t="shared" si="1"/>
        <v/>
      </c>
      <c r="H57" s="3" t="str">
        <f>IF(ISBLANK(A57), "", IF(D57&gt;0, IF(COUNTIF(Expenses!E:E, D57)&gt;0, "Matched", "Unmatched"), IF(E57&gt;0, IF(COUNTIF(Income!F:F, E57)&gt;0, "Matched", "Unmatched"), "")))</f>
        <v/>
      </c>
    </row>
    <row r="58">
      <c r="D58" s="2"/>
      <c r="E58" s="2"/>
      <c r="F58" s="2"/>
      <c r="G58" s="3" t="str">
        <f t="shared" si="1"/>
        <v/>
      </c>
      <c r="H58" s="3" t="str">
        <f>IF(ISBLANK(A58), "", IF(D58&gt;0, IF(COUNTIF(Expenses!E:E, D58)&gt;0, "Matched", "Unmatched"), IF(E58&gt;0, IF(COUNTIF(Income!F:F, E58)&gt;0, "Matched", "Unmatched"), "")))</f>
        <v/>
      </c>
    </row>
    <row r="59">
      <c r="D59" s="2"/>
      <c r="E59" s="2"/>
      <c r="F59" s="2"/>
      <c r="G59" s="3" t="str">
        <f t="shared" si="1"/>
        <v/>
      </c>
      <c r="H59" s="3" t="str">
        <f>IF(ISBLANK(A59), "", IF(D59&gt;0, IF(COUNTIF(Expenses!E:E, D59)&gt;0, "Matched", "Unmatched"), IF(E59&gt;0, IF(COUNTIF(Income!F:F, E59)&gt;0, "Matched", "Unmatched"), "")))</f>
        <v/>
      </c>
    </row>
    <row r="60">
      <c r="D60" s="2"/>
      <c r="E60" s="2"/>
      <c r="F60" s="2"/>
      <c r="G60" s="3" t="str">
        <f t="shared" si="1"/>
        <v/>
      </c>
      <c r="H60" s="3" t="str">
        <f>IF(ISBLANK(A60), "", IF(D60&gt;0, IF(COUNTIF(Expenses!E:E, D60)&gt;0, "Matched", "Unmatched"), IF(E60&gt;0, IF(COUNTIF(Income!F:F, E60)&gt;0, "Matched", "Unmatched"), "")))</f>
        <v/>
      </c>
    </row>
    <row r="61">
      <c r="D61" s="2"/>
      <c r="E61" s="2"/>
      <c r="F61" s="2"/>
      <c r="G61" s="3" t="str">
        <f t="shared" si="1"/>
        <v/>
      </c>
      <c r="H61" s="3" t="str">
        <f>IF(ISBLANK(A61), "", IF(D61&gt;0, IF(COUNTIF(Expenses!E:E, D61)&gt;0, "Matched", "Unmatched"), IF(E61&gt;0, IF(COUNTIF(Income!F:F, E61)&gt;0, "Matched", "Unmatched"), "")))</f>
        <v/>
      </c>
    </row>
    <row r="62">
      <c r="D62" s="2"/>
      <c r="E62" s="2"/>
      <c r="F62" s="2"/>
      <c r="G62" s="3" t="str">
        <f t="shared" si="1"/>
        <v/>
      </c>
      <c r="H62" s="3" t="str">
        <f>IF(ISBLANK(A62), "", IF(D62&gt;0, IF(COUNTIF(Expenses!E:E, D62)&gt;0, "Matched", "Unmatched"), IF(E62&gt;0, IF(COUNTIF(Income!F:F, E62)&gt;0, "Matched", "Unmatched"), "")))</f>
        <v/>
      </c>
    </row>
    <row r="63">
      <c r="D63" s="2"/>
      <c r="E63" s="2"/>
      <c r="F63" s="2"/>
      <c r="G63" s="3" t="str">
        <f t="shared" si="1"/>
        <v/>
      </c>
      <c r="H63" s="3" t="str">
        <f>IF(ISBLANK(A63), "", IF(D63&gt;0, IF(COUNTIF(Expenses!E:E, D63)&gt;0, "Matched", "Unmatched"), IF(E63&gt;0, IF(COUNTIF(Income!F:F, E63)&gt;0, "Matched", "Unmatched"), "")))</f>
        <v/>
      </c>
    </row>
    <row r="64">
      <c r="D64" s="2"/>
      <c r="E64" s="2"/>
      <c r="F64" s="2"/>
      <c r="G64" s="3" t="str">
        <f t="shared" si="1"/>
        <v/>
      </c>
      <c r="H64" s="3" t="str">
        <f>IF(ISBLANK(A64), "", IF(D64&gt;0, IF(COUNTIF(Expenses!E:E, D64)&gt;0, "Matched", "Unmatched"), IF(E64&gt;0, IF(COUNTIF(Income!F:F, E64)&gt;0, "Matched", "Unmatched"), "")))</f>
        <v/>
      </c>
    </row>
    <row r="65">
      <c r="D65" s="2"/>
      <c r="E65" s="2"/>
      <c r="F65" s="2"/>
      <c r="G65" s="3" t="str">
        <f t="shared" si="1"/>
        <v/>
      </c>
      <c r="H65" s="3" t="str">
        <f>IF(ISBLANK(A65), "", IF(D65&gt;0, IF(COUNTIF(Expenses!E:E, D65)&gt;0, "Matched", "Unmatched"), IF(E65&gt;0, IF(COUNTIF(Income!F:F, E65)&gt;0, "Matched", "Unmatched"), "")))</f>
        <v/>
      </c>
    </row>
    <row r="66">
      <c r="D66" s="2"/>
      <c r="E66" s="2"/>
      <c r="F66" s="2"/>
      <c r="G66" s="3" t="str">
        <f t="shared" si="1"/>
        <v/>
      </c>
      <c r="H66" s="3" t="str">
        <f>IF(ISBLANK(A66), "", IF(D66&gt;0, IF(COUNTIF(Expenses!E:E, D66)&gt;0, "Matched", "Unmatched"), IF(E66&gt;0, IF(COUNTIF(Income!F:F, E66)&gt;0, "Matched", "Unmatched"), "")))</f>
        <v/>
      </c>
    </row>
    <row r="67">
      <c r="D67" s="2"/>
      <c r="E67" s="2"/>
      <c r="F67" s="2"/>
      <c r="G67" s="3" t="str">
        <f t="shared" si="1"/>
        <v/>
      </c>
      <c r="H67" s="3" t="str">
        <f>IF(ISBLANK(A67), "", IF(D67&gt;0, IF(COUNTIF(Expenses!E:E, D67)&gt;0, "Matched", "Unmatched"), IF(E67&gt;0, IF(COUNTIF(Income!F:F, E67)&gt;0, "Matched", "Unmatched"), "")))</f>
        <v/>
      </c>
    </row>
    <row r="68">
      <c r="D68" s="2"/>
      <c r="E68" s="2"/>
      <c r="F68" s="2"/>
      <c r="G68" s="3" t="str">
        <f t="shared" si="1"/>
        <v/>
      </c>
      <c r="H68" s="3" t="str">
        <f>IF(ISBLANK(A68), "", IF(D68&gt;0, IF(COUNTIF(Expenses!E:E, D68)&gt;0, "Matched", "Unmatched"), IF(E68&gt;0, IF(COUNTIF(Income!F:F, E68)&gt;0, "Matched", "Unmatched"), "")))</f>
        <v/>
      </c>
    </row>
    <row r="69">
      <c r="D69" s="2"/>
      <c r="E69" s="2"/>
      <c r="F69" s="2"/>
      <c r="G69" s="3" t="str">
        <f t="shared" si="1"/>
        <v/>
      </c>
      <c r="H69" s="3" t="str">
        <f>IF(ISBLANK(A69), "", IF(D69&gt;0, IF(COUNTIF(Expenses!E:E, D69)&gt;0, "Matched", "Unmatched"), IF(E69&gt;0, IF(COUNTIF(Income!F:F, E69)&gt;0, "Matched", "Unmatched"), "")))</f>
        <v/>
      </c>
    </row>
    <row r="70">
      <c r="D70" s="2"/>
      <c r="E70" s="2"/>
      <c r="F70" s="2"/>
      <c r="G70" s="3" t="str">
        <f t="shared" si="1"/>
        <v/>
      </c>
      <c r="H70" s="3" t="str">
        <f>IF(ISBLANK(A70), "", IF(D70&gt;0, IF(COUNTIF(Expenses!E:E, D70)&gt;0, "Matched", "Unmatched"), IF(E70&gt;0, IF(COUNTIF(Income!F:F, E70)&gt;0, "Matched", "Unmatched"), "")))</f>
        <v/>
      </c>
    </row>
    <row r="71">
      <c r="D71" s="2"/>
      <c r="E71" s="2"/>
      <c r="F71" s="2"/>
      <c r="G71" s="3" t="str">
        <f t="shared" si="1"/>
        <v/>
      </c>
      <c r="H71" s="3" t="str">
        <f>IF(ISBLANK(A71), "", IF(D71&gt;0, IF(COUNTIF(Expenses!E:E, D71)&gt;0, "Matched", "Unmatched"), IF(E71&gt;0, IF(COUNTIF(Income!F:F, E71)&gt;0, "Matched", "Unmatched"), "")))</f>
        <v/>
      </c>
    </row>
    <row r="72">
      <c r="D72" s="2"/>
      <c r="E72" s="2"/>
      <c r="F72" s="2"/>
      <c r="G72" s="3" t="str">
        <f t="shared" si="1"/>
        <v/>
      </c>
      <c r="H72" s="3" t="str">
        <f>IF(ISBLANK(A72), "", IF(D72&gt;0, IF(COUNTIF(Expenses!E:E, D72)&gt;0, "Matched", "Unmatched"), IF(E72&gt;0, IF(COUNTIF(Income!F:F, E72)&gt;0, "Matched", "Unmatched"), "")))</f>
        <v/>
      </c>
    </row>
    <row r="73">
      <c r="D73" s="2"/>
      <c r="E73" s="2"/>
      <c r="F73" s="2"/>
      <c r="G73" s="3" t="str">
        <f t="shared" si="1"/>
        <v/>
      </c>
      <c r="H73" s="3" t="str">
        <f>IF(ISBLANK(A73), "", IF(D73&gt;0, IF(COUNTIF(Expenses!E:E, D73)&gt;0, "Matched", "Unmatched"), IF(E73&gt;0, IF(COUNTIF(Income!F:F, E73)&gt;0, "Matched", "Unmatched"), "")))</f>
        <v/>
      </c>
    </row>
    <row r="74">
      <c r="D74" s="2"/>
      <c r="E74" s="2"/>
      <c r="F74" s="2"/>
      <c r="G74" s="3" t="str">
        <f t="shared" si="1"/>
        <v/>
      </c>
      <c r="H74" s="3" t="str">
        <f>IF(ISBLANK(A74), "", IF(D74&gt;0, IF(COUNTIF(Expenses!E:E, D74)&gt;0, "Matched", "Unmatched"), IF(E74&gt;0, IF(COUNTIF(Income!F:F, E74)&gt;0, "Matched", "Unmatched"), "")))</f>
        <v/>
      </c>
    </row>
    <row r="75">
      <c r="D75" s="2"/>
      <c r="E75" s="2"/>
      <c r="F75" s="2"/>
      <c r="G75" s="3" t="str">
        <f t="shared" si="1"/>
        <v/>
      </c>
      <c r="H75" s="3" t="str">
        <f>IF(ISBLANK(A75), "", IF(D75&gt;0, IF(COUNTIF(Expenses!E:E, D75)&gt;0, "Matched", "Unmatched"), IF(E75&gt;0, IF(COUNTIF(Income!F:F, E75)&gt;0, "Matched", "Unmatched"), "")))</f>
        <v/>
      </c>
    </row>
    <row r="76">
      <c r="D76" s="2"/>
      <c r="E76" s="2"/>
      <c r="F76" s="2"/>
      <c r="G76" s="3" t="str">
        <f t="shared" si="1"/>
        <v/>
      </c>
      <c r="H76" s="3" t="str">
        <f>IF(ISBLANK(A76), "", IF(D76&gt;0, IF(COUNTIF(Expenses!E:E, D76)&gt;0, "Matched", "Unmatched"), IF(E76&gt;0, IF(COUNTIF(Income!F:F, E76)&gt;0, "Matched", "Unmatched"), "")))</f>
        <v/>
      </c>
    </row>
    <row r="77">
      <c r="D77" s="2"/>
      <c r="E77" s="2"/>
      <c r="F77" s="2"/>
      <c r="G77" s="3" t="str">
        <f t="shared" si="1"/>
        <v/>
      </c>
      <c r="H77" s="3" t="str">
        <f>IF(ISBLANK(A77), "", IF(D77&gt;0, IF(COUNTIF(Expenses!E:E, D77)&gt;0, "Matched", "Unmatched"), IF(E77&gt;0, IF(COUNTIF(Income!F:F, E77)&gt;0, "Matched", "Unmatched"), "")))</f>
        <v/>
      </c>
    </row>
    <row r="78">
      <c r="D78" s="2"/>
      <c r="E78" s="2"/>
      <c r="F78" s="2"/>
      <c r="G78" s="3" t="str">
        <f t="shared" si="1"/>
        <v/>
      </c>
      <c r="H78" s="3" t="str">
        <f>IF(ISBLANK(A78), "", IF(D78&gt;0, IF(COUNTIF(Expenses!E:E, D78)&gt;0, "Matched", "Unmatched"), IF(E78&gt;0, IF(COUNTIF(Income!F:F, E78)&gt;0, "Matched", "Unmatched"), "")))</f>
        <v/>
      </c>
    </row>
    <row r="79">
      <c r="D79" s="2"/>
      <c r="E79" s="2"/>
      <c r="F79" s="2"/>
      <c r="G79" s="3" t="str">
        <f t="shared" si="1"/>
        <v/>
      </c>
      <c r="H79" s="3" t="str">
        <f>IF(ISBLANK(A79), "", IF(D79&gt;0, IF(COUNTIF(Expenses!E:E, D79)&gt;0, "Matched", "Unmatched"), IF(E79&gt;0, IF(COUNTIF(Income!F:F, E79)&gt;0, "Matched", "Unmatched"), "")))</f>
        <v/>
      </c>
    </row>
    <row r="80">
      <c r="D80" s="2"/>
      <c r="E80" s="2"/>
      <c r="F80" s="2"/>
      <c r="G80" s="3" t="str">
        <f t="shared" si="1"/>
        <v/>
      </c>
      <c r="H80" s="3" t="str">
        <f>IF(ISBLANK(A80), "", IF(D80&gt;0, IF(COUNTIF(Expenses!E:E, D80)&gt;0, "Matched", "Unmatched"), IF(E80&gt;0, IF(COUNTIF(Income!F:F, E80)&gt;0, "Matched", "Unmatched"), "")))</f>
        <v/>
      </c>
    </row>
    <row r="81">
      <c r="D81" s="2"/>
      <c r="E81" s="2"/>
      <c r="F81" s="2"/>
      <c r="G81" s="3" t="str">
        <f t="shared" si="1"/>
        <v/>
      </c>
      <c r="H81" s="3" t="str">
        <f>IF(ISBLANK(A81), "", IF(D81&gt;0, IF(COUNTIF(Expenses!E:E, D81)&gt;0, "Matched", "Unmatched"), IF(E81&gt;0, IF(COUNTIF(Income!F:F, E81)&gt;0, "Matched", "Unmatched"), "")))</f>
        <v/>
      </c>
    </row>
    <row r="82">
      <c r="D82" s="2"/>
      <c r="E82" s="2"/>
      <c r="F82" s="2"/>
      <c r="G82" s="3" t="str">
        <f t="shared" si="1"/>
        <v/>
      </c>
      <c r="H82" s="3" t="str">
        <f>IF(ISBLANK(A82), "", IF(D82&gt;0, IF(COUNTIF(Expenses!E:E, D82)&gt;0, "Matched", "Unmatched"), IF(E82&gt;0, IF(COUNTIF(Income!F:F, E82)&gt;0, "Matched", "Unmatched"), "")))</f>
        <v/>
      </c>
    </row>
    <row r="83">
      <c r="D83" s="2"/>
      <c r="E83" s="2"/>
      <c r="F83" s="2"/>
      <c r="G83" s="3" t="str">
        <f t="shared" si="1"/>
        <v/>
      </c>
      <c r="H83" s="3" t="str">
        <f>IF(ISBLANK(A83), "", IF(D83&gt;0, IF(COUNTIF(Expenses!E:E, D83)&gt;0, "Matched", "Unmatched"), IF(E83&gt;0, IF(COUNTIF(Income!F:F, E83)&gt;0, "Matched", "Unmatched"), "")))</f>
        <v/>
      </c>
    </row>
    <row r="84">
      <c r="D84" s="2"/>
      <c r="E84" s="2"/>
      <c r="F84" s="2"/>
      <c r="G84" s="3" t="str">
        <f t="shared" si="1"/>
        <v/>
      </c>
      <c r="H84" s="3" t="str">
        <f>IF(ISBLANK(A84), "", IF(D84&gt;0, IF(COUNTIF(Expenses!E:E, D84)&gt;0, "Matched", "Unmatched"), IF(E84&gt;0, IF(COUNTIF(Income!F:F, E84)&gt;0, "Matched", "Unmatched"), "")))</f>
        <v/>
      </c>
    </row>
    <row r="85">
      <c r="D85" s="2"/>
      <c r="E85" s="2"/>
      <c r="F85" s="2"/>
      <c r="G85" s="3" t="str">
        <f t="shared" si="1"/>
        <v/>
      </c>
      <c r="H85" s="3" t="str">
        <f>IF(ISBLANK(A85), "", IF(D85&gt;0, IF(COUNTIF(Expenses!E:E, D85)&gt;0, "Matched", "Unmatched"), IF(E85&gt;0, IF(COUNTIF(Income!F:F, E85)&gt;0, "Matched", "Unmatched"), "")))</f>
        <v/>
      </c>
    </row>
    <row r="86">
      <c r="D86" s="2"/>
      <c r="E86" s="2"/>
      <c r="F86" s="2"/>
      <c r="G86" s="3" t="str">
        <f t="shared" si="1"/>
        <v/>
      </c>
      <c r="H86" s="3" t="str">
        <f>IF(ISBLANK(A86), "", IF(D86&gt;0, IF(COUNTIF(Expenses!E:E, D86)&gt;0, "Matched", "Unmatched"), IF(E86&gt;0, IF(COUNTIF(Income!F:F, E86)&gt;0, "Matched", "Unmatched"), "")))</f>
        <v/>
      </c>
    </row>
    <row r="87">
      <c r="D87" s="2"/>
      <c r="E87" s="2"/>
      <c r="F87" s="2"/>
      <c r="G87" s="3" t="str">
        <f t="shared" si="1"/>
        <v/>
      </c>
      <c r="H87" s="3" t="str">
        <f>IF(ISBLANK(A87), "", IF(D87&gt;0, IF(COUNTIF(Expenses!E:E, D87)&gt;0, "Matched", "Unmatched"), IF(E87&gt;0, IF(COUNTIF(Income!F:F, E87)&gt;0, "Matched", "Unmatched"), "")))</f>
        <v/>
      </c>
    </row>
    <row r="88">
      <c r="D88" s="2"/>
      <c r="E88" s="2"/>
      <c r="F88" s="2"/>
      <c r="G88" s="3" t="str">
        <f t="shared" si="1"/>
        <v/>
      </c>
      <c r="H88" s="3" t="str">
        <f>IF(ISBLANK(A88), "", IF(D88&gt;0, IF(COUNTIF(Expenses!E:E, D88)&gt;0, "Matched", "Unmatched"), IF(E88&gt;0, IF(COUNTIF(Income!F:F, E88)&gt;0, "Matched", "Unmatched"), "")))</f>
        <v/>
      </c>
    </row>
    <row r="89">
      <c r="D89" s="2"/>
      <c r="E89" s="2"/>
      <c r="F89" s="2"/>
      <c r="G89" s="3" t="str">
        <f t="shared" si="1"/>
        <v/>
      </c>
      <c r="H89" s="3" t="str">
        <f>IF(ISBLANK(A89), "", IF(D89&gt;0, IF(COUNTIF(Expenses!E:E, D89)&gt;0, "Matched", "Unmatched"), IF(E89&gt;0, IF(COUNTIF(Income!F:F, E89)&gt;0, "Matched", "Unmatched"), "")))</f>
        <v/>
      </c>
    </row>
    <row r="90">
      <c r="D90" s="2"/>
      <c r="E90" s="2"/>
      <c r="F90" s="2"/>
      <c r="G90" s="3" t="str">
        <f t="shared" si="1"/>
        <v/>
      </c>
      <c r="H90" s="3" t="str">
        <f>IF(ISBLANK(A90), "", IF(D90&gt;0, IF(COUNTIF(Expenses!E:E, D90)&gt;0, "Matched", "Unmatched"), IF(E90&gt;0, IF(COUNTIF(Income!F:F, E90)&gt;0, "Matched", "Unmatched"), "")))</f>
        <v/>
      </c>
    </row>
    <row r="91">
      <c r="D91" s="2"/>
      <c r="E91" s="2"/>
      <c r="F91" s="2"/>
      <c r="G91" s="3" t="str">
        <f t="shared" si="1"/>
        <v/>
      </c>
      <c r="H91" s="3" t="str">
        <f>IF(ISBLANK(A91), "", IF(D91&gt;0, IF(COUNTIF(Expenses!E:E, D91)&gt;0, "Matched", "Unmatched"), IF(E91&gt;0, IF(COUNTIF(Income!F:F, E91)&gt;0, "Matched", "Unmatched"), "")))</f>
        <v/>
      </c>
    </row>
    <row r="92">
      <c r="D92" s="2"/>
      <c r="E92" s="2"/>
      <c r="F92" s="2"/>
      <c r="G92" s="3" t="str">
        <f t="shared" si="1"/>
        <v/>
      </c>
      <c r="H92" s="3" t="str">
        <f>IF(ISBLANK(A92), "", IF(D92&gt;0, IF(COUNTIF(Expenses!E:E, D92)&gt;0, "Matched", "Unmatched"), IF(E92&gt;0, IF(COUNTIF(Income!F:F, E92)&gt;0, "Matched", "Unmatched"), "")))</f>
        <v/>
      </c>
    </row>
    <row r="93">
      <c r="D93" s="2"/>
      <c r="E93" s="2"/>
      <c r="F93" s="2"/>
      <c r="G93" s="3" t="str">
        <f t="shared" si="1"/>
        <v/>
      </c>
      <c r="H93" s="3" t="str">
        <f>IF(ISBLANK(A93), "", IF(D93&gt;0, IF(COUNTIF(Expenses!E:E, D93)&gt;0, "Matched", "Unmatched"), IF(E93&gt;0, IF(COUNTIF(Income!F:F, E93)&gt;0, "Matched", "Unmatched"), "")))</f>
        <v/>
      </c>
    </row>
    <row r="94">
      <c r="D94" s="2"/>
      <c r="E94" s="2"/>
      <c r="F94" s="2"/>
      <c r="G94" s="3" t="str">
        <f t="shared" si="1"/>
        <v/>
      </c>
      <c r="H94" s="3" t="str">
        <f>IF(ISBLANK(A94), "", IF(D94&gt;0, IF(COUNTIF(Expenses!E:E, D94)&gt;0, "Matched", "Unmatched"), IF(E94&gt;0, IF(COUNTIF(Income!F:F, E94)&gt;0, "Matched", "Unmatched"), "")))</f>
        <v/>
      </c>
    </row>
    <row r="95">
      <c r="D95" s="2"/>
      <c r="E95" s="2"/>
      <c r="F95" s="2"/>
      <c r="G95" s="3" t="str">
        <f t="shared" si="1"/>
        <v/>
      </c>
      <c r="H95" s="3" t="str">
        <f>IF(ISBLANK(A95), "", IF(D95&gt;0, IF(COUNTIF(Expenses!E:E, D95)&gt;0, "Matched", "Unmatched"), IF(E95&gt;0, IF(COUNTIF(Income!F:F, E95)&gt;0, "Matched", "Unmatched"), "")))</f>
        <v/>
      </c>
    </row>
    <row r="96">
      <c r="D96" s="2"/>
      <c r="E96" s="2"/>
      <c r="F96" s="2"/>
      <c r="G96" s="3" t="str">
        <f t="shared" si="1"/>
        <v/>
      </c>
      <c r="H96" s="3" t="str">
        <f>IF(ISBLANK(A96), "", IF(D96&gt;0, IF(COUNTIF(Expenses!E:E, D96)&gt;0, "Matched", "Unmatched"), IF(E96&gt;0, IF(COUNTIF(Income!F:F, E96)&gt;0, "Matched", "Unmatched"), "")))</f>
        <v/>
      </c>
    </row>
    <row r="97">
      <c r="D97" s="2"/>
      <c r="E97" s="2"/>
      <c r="F97" s="2"/>
      <c r="G97" s="3" t="str">
        <f t="shared" si="1"/>
        <v/>
      </c>
      <c r="H97" s="3" t="str">
        <f>IF(ISBLANK(A97), "", IF(D97&gt;0, IF(COUNTIF(Expenses!E:E, D97)&gt;0, "Matched", "Unmatched"), IF(E97&gt;0, IF(COUNTIF(Income!F:F, E97)&gt;0, "Matched", "Unmatched"), "")))</f>
        <v/>
      </c>
    </row>
    <row r="98">
      <c r="D98" s="2"/>
      <c r="E98" s="2"/>
      <c r="F98" s="2"/>
      <c r="G98" s="3" t="str">
        <f t="shared" si="1"/>
        <v/>
      </c>
      <c r="H98" s="3" t="str">
        <f>IF(ISBLANK(A98), "", IF(D98&gt;0, IF(COUNTIF(Expenses!E:E, D98)&gt;0, "Matched", "Unmatched"), IF(E98&gt;0, IF(COUNTIF(Income!F:F, E98)&gt;0, "Matched", "Unmatched"), "")))</f>
        <v/>
      </c>
    </row>
    <row r="99">
      <c r="D99" s="2"/>
      <c r="E99" s="2"/>
      <c r="F99" s="2"/>
      <c r="G99" s="3" t="str">
        <f t="shared" si="1"/>
        <v/>
      </c>
      <c r="H99" s="3" t="str">
        <f>IF(ISBLANK(A99), "", IF(D99&gt;0, IF(COUNTIF(Expenses!E:E, D99)&gt;0, "Matched", "Unmatched"), IF(E99&gt;0, IF(COUNTIF(Income!F:F, E99)&gt;0, "Matched", "Unmatched"), "")))</f>
        <v/>
      </c>
    </row>
    <row r="100">
      <c r="D100" s="2"/>
      <c r="E100" s="2"/>
      <c r="F100" s="2"/>
      <c r="G100" s="3" t="str">
        <f t="shared" si="1"/>
        <v/>
      </c>
      <c r="H100" s="3" t="str">
        <f>IF(ISBLANK(A100), "", IF(D100&gt;0, IF(COUNTIF(Expenses!E:E, D100)&gt;0, "Matched", "Unmatched"), IF(E100&gt;0, IF(COUNTIF(Income!F:F, E100)&gt;0, "Matched", "Unmatched"), "")))</f>
        <v/>
      </c>
    </row>
    <row r="101">
      <c r="D101" s="2"/>
      <c r="E101" s="2"/>
      <c r="F101" s="2"/>
      <c r="G101" s="3" t="str">
        <f t="shared" si="1"/>
        <v/>
      </c>
      <c r="H101" s="3" t="str">
        <f>IF(ISBLANK(A101), "", IF(D101&gt;0, IF(COUNTIF(Expenses!E:E, D101)&gt;0, "Matched", "Unmatched"), IF(E101&gt;0, IF(COUNTIF(Income!F:F, E101)&gt;0, "Matched", "Unmatched"), "")))</f>
        <v/>
      </c>
    </row>
    <row r="102">
      <c r="D102" s="2"/>
      <c r="E102" s="2"/>
      <c r="F102" s="2"/>
      <c r="G102" s="3" t="str">
        <f t="shared" si="1"/>
        <v/>
      </c>
      <c r="H102" s="3" t="str">
        <f>IF(ISBLANK(A102), "", IF(D102&gt;0, IF(COUNTIF(Expenses!E:E, D102)&gt;0, "Matched", "Unmatched"), IF(E102&gt;0, IF(COUNTIF(Income!F:F, E102)&gt;0, "Matched", "Unmatched"), "")))</f>
        <v/>
      </c>
    </row>
    <row r="103">
      <c r="D103" s="2"/>
      <c r="E103" s="2"/>
      <c r="F103" s="2"/>
      <c r="G103" s="3" t="str">
        <f t="shared" si="1"/>
        <v/>
      </c>
      <c r="H103" s="3" t="str">
        <f>IF(ISBLANK(A103), "", IF(D103&gt;0, IF(COUNTIF(Expenses!E:E, D103)&gt;0, "Matched", "Unmatched"), IF(E103&gt;0, IF(COUNTIF(Income!F:F, E103)&gt;0, "Matched", "Unmatched"), "")))</f>
        <v/>
      </c>
    </row>
    <row r="104">
      <c r="D104" s="2"/>
      <c r="E104" s="2"/>
      <c r="F104" s="2"/>
      <c r="G104" s="3" t="str">
        <f t="shared" si="1"/>
        <v/>
      </c>
      <c r="H104" s="3" t="str">
        <f>IF(ISBLANK(A104), "", IF(D104&gt;0, IF(COUNTIF(Expenses!E:E, D104)&gt;0, "Matched", "Unmatched"), IF(E104&gt;0, IF(COUNTIF(Income!F:F, E104)&gt;0, "Matched", "Unmatched"), "")))</f>
        <v/>
      </c>
    </row>
    <row r="105">
      <c r="D105" s="2"/>
      <c r="E105" s="2"/>
      <c r="F105" s="2"/>
      <c r="G105" s="3" t="str">
        <f t="shared" si="1"/>
        <v/>
      </c>
      <c r="H105" s="3" t="str">
        <f>IF(ISBLANK(A105), "", IF(D105&gt;0, IF(COUNTIF(Expenses!E:E, D105)&gt;0, "Matched", "Unmatched"), IF(E105&gt;0, IF(COUNTIF(Income!F:F, E105)&gt;0, "Matched", "Unmatched"), "")))</f>
        <v/>
      </c>
    </row>
    <row r="106">
      <c r="D106" s="2"/>
      <c r="E106" s="2"/>
      <c r="F106" s="2"/>
      <c r="G106" s="3" t="str">
        <f t="shared" si="1"/>
        <v/>
      </c>
      <c r="H106" s="3" t="str">
        <f>IF(ISBLANK(A106), "", IF(D106&gt;0, IF(COUNTIF(Expenses!E:E, D106)&gt;0, "Matched", "Unmatched"), IF(E106&gt;0, IF(COUNTIF(Income!F:F, E106)&gt;0, "Matched", "Unmatched"), "")))</f>
        <v/>
      </c>
    </row>
    <row r="107">
      <c r="D107" s="2"/>
      <c r="E107" s="2"/>
      <c r="F107" s="2"/>
      <c r="G107" s="3" t="str">
        <f t="shared" si="1"/>
        <v/>
      </c>
      <c r="H107" s="3" t="str">
        <f>IF(ISBLANK(A107), "", IF(D107&gt;0, IF(COUNTIF(Expenses!E:E, D107)&gt;0, "Matched", "Unmatched"), IF(E107&gt;0, IF(COUNTIF(Income!F:F, E107)&gt;0, "Matched", "Unmatched"), "")))</f>
        <v/>
      </c>
    </row>
    <row r="108">
      <c r="D108" s="2"/>
      <c r="E108" s="2"/>
      <c r="F108" s="2"/>
      <c r="G108" s="3" t="str">
        <f t="shared" si="1"/>
        <v/>
      </c>
      <c r="H108" s="3" t="str">
        <f>IF(ISBLANK(A108), "", IF(D108&gt;0, IF(COUNTIF(Expenses!E:E, D108)&gt;0, "Matched", "Unmatched"), IF(E108&gt;0, IF(COUNTIF(Income!F:F, E108)&gt;0, "Matched", "Unmatched"), "")))</f>
        <v/>
      </c>
    </row>
    <row r="109">
      <c r="D109" s="2"/>
      <c r="E109" s="2"/>
      <c r="F109" s="2"/>
      <c r="G109" s="3" t="str">
        <f t="shared" si="1"/>
        <v/>
      </c>
      <c r="H109" s="3" t="str">
        <f>IF(ISBLANK(A109), "", IF(D109&gt;0, IF(COUNTIF(Expenses!E:E, D109)&gt;0, "Matched", "Unmatched"), IF(E109&gt;0, IF(COUNTIF(Income!F:F, E109)&gt;0, "Matched", "Unmatched"), "")))</f>
        <v/>
      </c>
    </row>
    <row r="110">
      <c r="D110" s="2"/>
      <c r="E110" s="2"/>
      <c r="F110" s="2"/>
      <c r="G110" s="3" t="str">
        <f t="shared" si="1"/>
        <v/>
      </c>
      <c r="H110" s="3" t="str">
        <f>IF(ISBLANK(A110), "", IF(D110&gt;0, IF(COUNTIF(Expenses!E:E, D110)&gt;0, "Matched", "Unmatched"), IF(E110&gt;0, IF(COUNTIF(Income!F:F, E110)&gt;0, "Matched", "Unmatched"), "")))</f>
        <v/>
      </c>
    </row>
    <row r="111">
      <c r="D111" s="2"/>
      <c r="E111" s="2"/>
      <c r="F111" s="2"/>
      <c r="G111" s="3" t="str">
        <f t="shared" si="1"/>
        <v/>
      </c>
      <c r="H111" s="3" t="str">
        <f>IF(ISBLANK(A111), "", IF(D111&gt;0, IF(COUNTIF(Expenses!E:E, D111)&gt;0, "Matched", "Unmatched"), IF(E111&gt;0, IF(COUNTIF(Income!F:F, E111)&gt;0, "Matched", "Unmatched"), "")))</f>
        <v/>
      </c>
    </row>
    <row r="112">
      <c r="D112" s="2"/>
      <c r="E112" s="2"/>
      <c r="F112" s="2"/>
      <c r="G112" s="3" t="str">
        <f t="shared" si="1"/>
        <v/>
      </c>
      <c r="H112" s="3" t="str">
        <f>IF(ISBLANK(A112), "", IF(D112&gt;0, IF(COUNTIF(Expenses!E:E, D112)&gt;0, "Matched", "Unmatched"), IF(E112&gt;0, IF(COUNTIF(Income!F:F, E112)&gt;0, "Matched", "Unmatched"), "")))</f>
        <v/>
      </c>
    </row>
    <row r="113">
      <c r="D113" s="2"/>
      <c r="E113" s="2"/>
      <c r="F113" s="2"/>
      <c r="G113" s="3" t="str">
        <f t="shared" si="1"/>
        <v/>
      </c>
      <c r="H113" s="3" t="str">
        <f>IF(ISBLANK(A113), "", IF(D113&gt;0, IF(COUNTIF(Expenses!E:E, D113)&gt;0, "Matched", "Unmatched"), IF(E113&gt;0, IF(COUNTIF(Income!F:F, E113)&gt;0, "Matched", "Unmatched"), "")))</f>
        <v/>
      </c>
    </row>
    <row r="114">
      <c r="D114" s="2"/>
      <c r="E114" s="2"/>
      <c r="F114" s="2"/>
      <c r="G114" s="3" t="str">
        <f t="shared" si="1"/>
        <v/>
      </c>
      <c r="H114" s="3" t="str">
        <f>IF(ISBLANK(A114), "", IF(D114&gt;0, IF(COUNTIF(Expenses!E:E, D114)&gt;0, "Matched", "Unmatched"), IF(E114&gt;0, IF(COUNTIF(Income!F:F, E114)&gt;0, "Matched", "Unmatched"), "")))</f>
        <v/>
      </c>
    </row>
    <row r="115">
      <c r="D115" s="2"/>
      <c r="E115" s="2"/>
      <c r="F115" s="2"/>
      <c r="G115" s="3" t="str">
        <f t="shared" si="1"/>
        <v/>
      </c>
      <c r="H115" s="3" t="str">
        <f>IF(ISBLANK(A115), "", IF(D115&gt;0, IF(COUNTIF(Expenses!E:E, D115)&gt;0, "Matched", "Unmatched"), IF(E115&gt;0, IF(COUNTIF(Income!F:F, E115)&gt;0, "Matched", "Unmatched"), "")))</f>
        <v/>
      </c>
    </row>
    <row r="116">
      <c r="D116" s="2"/>
      <c r="E116" s="2"/>
      <c r="F116" s="2"/>
      <c r="G116" s="3" t="str">
        <f t="shared" si="1"/>
        <v/>
      </c>
      <c r="H116" s="3" t="str">
        <f>IF(ISBLANK(A116), "", IF(D116&gt;0, IF(COUNTIF(Expenses!E:E, D116)&gt;0, "Matched", "Unmatched"), IF(E116&gt;0, IF(COUNTIF(Income!F:F, E116)&gt;0, "Matched", "Unmatched"), "")))</f>
        <v/>
      </c>
    </row>
    <row r="117">
      <c r="D117" s="2"/>
      <c r="E117" s="2"/>
      <c r="F117" s="2"/>
      <c r="G117" s="3" t="str">
        <f t="shared" si="1"/>
        <v/>
      </c>
      <c r="H117" s="3" t="str">
        <f>IF(ISBLANK(A117), "", IF(D117&gt;0, IF(COUNTIF(Expenses!E:E, D117)&gt;0, "Matched", "Unmatched"), IF(E117&gt;0, IF(COUNTIF(Income!F:F, E117)&gt;0, "Matched", "Unmatched"), "")))</f>
        <v/>
      </c>
    </row>
    <row r="118">
      <c r="D118" s="2"/>
      <c r="E118" s="2"/>
      <c r="F118" s="2"/>
      <c r="G118" s="3" t="str">
        <f t="shared" si="1"/>
        <v/>
      </c>
      <c r="H118" s="3" t="str">
        <f>IF(ISBLANK(A118), "", IF(D118&gt;0, IF(COUNTIF(Expenses!E:E, D118)&gt;0, "Matched", "Unmatched"), IF(E118&gt;0, IF(COUNTIF(Income!F:F, E118)&gt;0, "Matched", "Unmatched"), "")))</f>
        <v/>
      </c>
    </row>
    <row r="119">
      <c r="D119" s="2"/>
      <c r="E119" s="2"/>
      <c r="F119" s="2"/>
      <c r="G119" s="3" t="str">
        <f t="shared" si="1"/>
        <v/>
      </c>
      <c r="H119" s="3" t="str">
        <f>IF(ISBLANK(A119), "", IF(D119&gt;0, IF(COUNTIF(Expenses!E:E, D119)&gt;0, "Matched", "Unmatched"), IF(E119&gt;0, IF(COUNTIF(Income!F:F, E119)&gt;0, "Matched", "Unmatched"), "")))</f>
        <v/>
      </c>
    </row>
    <row r="120">
      <c r="D120" s="2"/>
      <c r="E120" s="2"/>
      <c r="F120" s="2"/>
      <c r="G120" s="3" t="str">
        <f t="shared" si="1"/>
        <v/>
      </c>
      <c r="H120" s="3" t="str">
        <f>IF(ISBLANK(A120), "", IF(D120&gt;0, IF(COUNTIF(Expenses!E:E, D120)&gt;0, "Matched", "Unmatched"), IF(E120&gt;0, IF(COUNTIF(Income!F:F, E120)&gt;0, "Matched", "Unmatched"), "")))</f>
        <v/>
      </c>
    </row>
    <row r="121">
      <c r="D121" s="2"/>
      <c r="E121" s="2"/>
      <c r="F121" s="2"/>
      <c r="G121" s="3" t="str">
        <f t="shared" si="1"/>
        <v/>
      </c>
      <c r="H121" s="3" t="str">
        <f>IF(ISBLANK(A121), "", IF(D121&gt;0, IF(COUNTIF(Expenses!E:E, D121)&gt;0, "Matched", "Unmatched"), IF(E121&gt;0, IF(COUNTIF(Income!F:F, E121)&gt;0, "Matched", "Unmatched"), "")))</f>
        <v/>
      </c>
    </row>
    <row r="122">
      <c r="D122" s="2"/>
      <c r="E122" s="2"/>
      <c r="F122" s="2"/>
      <c r="G122" s="3" t="str">
        <f t="shared" si="1"/>
        <v/>
      </c>
      <c r="H122" s="3" t="str">
        <f>IF(ISBLANK(A122), "", IF(D122&gt;0, IF(COUNTIF(Expenses!E:E, D122)&gt;0, "Matched", "Unmatched"), IF(E122&gt;0, IF(COUNTIF(Income!F:F, E122)&gt;0, "Matched", "Unmatched"), "")))</f>
        <v/>
      </c>
    </row>
    <row r="123">
      <c r="D123" s="2"/>
      <c r="E123" s="2"/>
      <c r="F123" s="2"/>
      <c r="G123" s="3" t="str">
        <f t="shared" si="1"/>
        <v/>
      </c>
      <c r="H123" s="3" t="str">
        <f>IF(ISBLANK(A123), "", IF(D123&gt;0, IF(COUNTIF(Expenses!E:E, D123)&gt;0, "Matched", "Unmatched"), IF(E123&gt;0, IF(COUNTIF(Income!F:F, E123)&gt;0, "Matched", "Unmatched"), "")))</f>
        <v/>
      </c>
    </row>
    <row r="124">
      <c r="D124" s="2"/>
      <c r="E124" s="2"/>
      <c r="F124" s="2"/>
      <c r="G124" s="3" t="str">
        <f t="shared" si="1"/>
        <v/>
      </c>
      <c r="H124" s="3" t="str">
        <f>IF(ISBLANK(A124), "", IF(D124&gt;0, IF(COUNTIF(Expenses!E:E, D124)&gt;0, "Matched", "Unmatched"), IF(E124&gt;0, IF(COUNTIF(Income!F:F, E124)&gt;0, "Matched", "Unmatched"), "")))</f>
        <v/>
      </c>
    </row>
    <row r="125">
      <c r="D125" s="2"/>
      <c r="E125" s="2"/>
      <c r="F125" s="2"/>
      <c r="G125" s="3" t="str">
        <f t="shared" si="1"/>
        <v/>
      </c>
      <c r="H125" s="3" t="str">
        <f>IF(ISBLANK(A125), "", IF(D125&gt;0, IF(COUNTIF(Expenses!E:E, D125)&gt;0, "Matched", "Unmatched"), IF(E125&gt;0, IF(COUNTIF(Income!F:F, E125)&gt;0, "Matched", "Unmatched"), "")))</f>
        <v/>
      </c>
    </row>
    <row r="126">
      <c r="D126" s="2"/>
      <c r="E126" s="2"/>
      <c r="F126" s="2"/>
      <c r="G126" s="3" t="str">
        <f t="shared" si="1"/>
        <v/>
      </c>
      <c r="H126" s="3" t="str">
        <f>IF(ISBLANK(A126), "", IF(D126&gt;0, IF(COUNTIF(Expenses!E:E, D126)&gt;0, "Matched", "Unmatched"), IF(E126&gt;0, IF(COUNTIF(Income!F:F, E126)&gt;0, "Matched", "Unmatched"), "")))</f>
        <v/>
      </c>
    </row>
    <row r="127">
      <c r="D127" s="2"/>
      <c r="E127" s="2"/>
      <c r="F127" s="2"/>
      <c r="G127" s="3" t="str">
        <f t="shared" si="1"/>
        <v/>
      </c>
      <c r="H127" s="3" t="str">
        <f>IF(ISBLANK(A127), "", IF(D127&gt;0, IF(COUNTIF(Expenses!E:E, D127)&gt;0, "Matched", "Unmatched"), IF(E127&gt;0, IF(COUNTIF(Income!F:F, E127)&gt;0, "Matched", "Unmatched"), "")))</f>
        <v/>
      </c>
    </row>
    <row r="128">
      <c r="D128" s="2"/>
      <c r="E128" s="2"/>
      <c r="F128" s="2"/>
      <c r="G128" s="3" t="str">
        <f t="shared" si="1"/>
        <v/>
      </c>
      <c r="H128" s="3" t="str">
        <f>IF(ISBLANK(A128), "", IF(D128&gt;0, IF(COUNTIF(Expenses!E:E, D128)&gt;0, "Matched", "Unmatched"), IF(E128&gt;0, IF(COUNTIF(Income!F:F, E128)&gt;0, "Matched", "Unmatched"), "")))</f>
        <v/>
      </c>
    </row>
    <row r="129">
      <c r="D129" s="2"/>
      <c r="E129" s="2"/>
      <c r="F129" s="2"/>
      <c r="G129" s="3" t="str">
        <f t="shared" si="1"/>
        <v/>
      </c>
      <c r="H129" s="3" t="str">
        <f>IF(ISBLANK(A129), "", IF(D129&gt;0, IF(COUNTIF(Expenses!E:E, D129)&gt;0, "Matched", "Unmatched"), IF(E129&gt;0, IF(COUNTIF(Income!F:F, E129)&gt;0, "Matched", "Unmatched"), "")))</f>
        <v/>
      </c>
    </row>
    <row r="130">
      <c r="D130" s="2"/>
      <c r="E130" s="2"/>
      <c r="F130" s="2"/>
      <c r="G130" s="3" t="str">
        <f t="shared" si="1"/>
        <v/>
      </c>
      <c r="H130" s="3" t="str">
        <f>IF(ISBLANK(A130), "", IF(D130&gt;0, IF(COUNTIF(Expenses!E:E, D130)&gt;0, "Matched", "Unmatched"), IF(E130&gt;0, IF(COUNTIF(Income!F:F, E130)&gt;0, "Matched", "Unmatched"), "")))</f>
        <v/>
      </c>
    </row>
    <row r="131">
      <c r="D131" s="2"/>
      <c r="E131" s="2"/>
      <c r="F131" s="2"/>
      <c r="G131" s="3" t="str">
        <f t="shared" si="1"/>
        <v/>
      </c>
      <c r="H131" s="3" t="str">
        <f>IF(ISBLANK(A131), "", IF(D131&gt;0, IF(COUNTIF(Expenses!E:E, D131)&gt;0, "Matched", "Unmatched"), IF(E131&gt;0, IF(COUNTIF(Income!F:F, E131)&gt;0, "Matched", "Unmatched"), "")))</f>
        <v/>
      </c>
    </row>
    <row r="132">
      <c r="D132" s="2"/>
      <c r="E132" s="2"/>
      <c r="F132" s="2"/>
      <c r="G132" s="3" t="str">
        <f t="shared" si="1"/>
        <v/>
      </c>
      <c r="H132" s="3" t="str">
        <f>IF(ISBLANK(A132), "", IF(D132&gt;0, IF(COUNTIF(Expenses!E:E, D132)&gt;0, "Matched", "Unmatched"), IF(E132&gt;0, IF(COUNTIF(Income!F:F, E132)&gt;0, "Matched", "Unmatched"), "")))</f>
        <v/>
      </c>
    </row>
    <row r="133">
      <c r="D133" s="2"/>
      <c r="E133" s="2"/>
      <c r="F133" s="2"/>
      <c r="G133" s="3" t="str">
        <f t="shared" si="1"/>
        <v/>
      </c>
      <c r="H133" s="3" t="str">
        <f>IF(ISBLANK(A133), "", IF(D133&gt;0, IF(COUNTIF(Expenses!E:E, D133)&gt;0, "Matched", "Unmatched"), IF(E133&gt;0, IF(COUNTIF(Income!F:F, E133)&gt;0, "Matched", "Unmatched"), "")))</f>
        <v/>
      </c>
    </row>
    <row r="134">
      <c r="D134" s="2"/>
      <c r="E134" s="2"/>
      <c r="F134" s="2"/>
      <c r="G134" s="3" t="str">
        <f t="shared" si="1"/>
        <v/>
      </c>
      <c r="H134" s="3" t="str">
        <f>IF(ISBLANK(A134), "", IF(D134&gt;0, IF(COUNTIF(Expenses!E:E, D134)&gt;0, "Matched", "Unmatched"), IF(E134&gt;0, IF(COUNTIF(Income!F:F, E134)&gt;0, "Matched", "Unmatched"), "")))</f>
        <v/>
      </c>
    </row>
    <row r="135">
      <c r="D135" s="2"/>
      <c r="E135" s="2"/>
      <c r="F135" s="2"/>
      <c r="G135" s="3" t="str">
        <f t="shared" si="1"/>
        <v/>
      </c>
      <c r="H135" s="3" t="str">
        <f>IF(ISBLANK(A135), "", IF(D135&gt;0, IF(COUNTIF(Expenses!E:E, D135)&gt;0, "Matched", "Unmatched"), IF(E135&gt;0, IF(COUNTIF(Income!F:F, E135)&gt;0, "Matched", "Unmatched"), "")))</f>
        <v/>
      </c>
    </row>
    <row r="136">
      <c r="D136" s="2"/>
      <c r="E136" s="2"/>
      <c r="F136" s="2"/>
      <c r="G136" s="3" t="str">
        <f t="shared" si="1"/>
        <v/>
      </c>
      <c r="H136" s="3" t="str">
        <f>IF(ISBLANK(A136), "", IF(D136&gt;0, IF(COUNTIF(Expenses!E:E, D136)&gt;0, "Matched", "Unmatched"), IF(E136&gt;0, IF(COUNTIF(Income!F:F, E136)&gt;0, "Matched", "Unmatched"), "")))</f>
        <v/>
      </c>
    </row>
    <row r="137">
      <c r="D137" s="2"/>
      <c r="E137" s="2"/>
      <c r="F137" s="2"/>
      <c r="G137" s="3" t="str">
        <f t="shared" si="1"/>
        <v/>
      </c>
      <c r="H137" s="3" t="str">
        <f>IF(ISBLANK(A137), "", IF(D137&gt;0, IF(COUNTIF(Expenses!E:E, D137)&gt;0, "Matched", "Unmatched"), IF(E137&gt;0, IF(COUNTIF(Income!F:F, E137)&gt;0, "Matched", "Unmatched"), "")))</f>
        <v/>
      </c>
    </row>
    <row r="138">
      <c r="D138" s="2"/>
      <c r="E138" s="2"/>
      <c r="F138" s="2"/>
      <c r="G138" s="3" t="str">
        <f t="shared" si="1"/>
        <v/>
      </c>
      <c r="H138" s="3" t="str">
        <f>IF(ISBLANK(A138), "", IF(D138&gt;0, IF(COUNTIF(Expenses!E:E, D138)&gt;0, "Matched", "Unmatched"), IF(E138&gt;0, IF(COUNTIF(Income!F:F, E138)&gt;0, "Matched", "Unmatched"), "")))</f>
        <v/>
      </c>
    </row>
    <row r="139">
      <c r="D139" s="2"/>
      <c r="E139" s="2"/>
      <c r="F139" s="2"/>
      <c r="G139" s="3" t="str">
        <f t="shared" si="1"/>
        <v/>
      </c>
      <c r="H139" s="3" t="str">
        <f>IF(ISBLANK(A139), "", IF(D139&gt;0, IF(COUNTIF(Expenses!E:E, D139)&gt;0, "Matched", "Unmatched"), IF(E139&gt;0, IF(COUNTIF(Income!F:F, E139)&gt;0, "Matched", "Unmatched"), "")))</f>
        <v/>
      </c>
    </row>
    <row r="140">
      <c r="D140" s="2"/>
      <c r="E140" s="2"/>
      <c r="F140" s="2"/>
      <c r="G140" s="3" t="str">
        <f t="shared" si="1"/>
        <v/>
      </c>
      <c r="H140" s="3" t="str">
        <f>IF(ISBLANK(A140), "", IF(D140&gt;0, IF(COUNTIF(Expenses!E:E, D140)&gt;0, "Matched", "Unmatched"), IF(E140&gt;0, IF(COUNTIF(Income!F:F, E140)&gt;0, "Matched", "Unmatched"), "")))</f>
        <v/>
      </c>
    </row>
    <row r="141">
      <c r="D141" s="2"/>
      <c r="E141" s="2"/>
      <c r="F141" s="2"/>
      <c r="G141" s="3" t="str">
        <f t="shared" si="1"/>
        <v/>
      </c>
      <c r="H141" s="3" t="str">
        <f>IF(ISBLANK(A141), "", IF(D141&gt;0, IF(COUNTIF(Expenses!E:E, D141)&gt;0, "Matched", "Unmatched"), IF(E141&gt;0, IF(COUNTIF(Income!F:F, E141)&gt;0, "Matched", "Unmatched"), "")))</f>
        <v/>
      </c>
    </row>
    <row r="142">
      <c r="D142" s="2"/>
      <c r="E142" s="2"/>
      <c r="F142" s="2"/>
      <c r="G142" s="3" t="str">
        <f t="shared" si="1"/>
        <v/>
      </c>
      <c r="H142" s="3" t="str">
        <f>IF(ISBLANK(A142), "", IF(D142&gt;0, IF(COUNTIF(Expenses!E:E, D142)&gt;0, "Matched", "Unmatched"), IF(E142&gt;0, IF(COUNTIF(Income!F:F, E142)&gt;0, "Matched", "Unmatched"), "")))</f>
        <v/>
      </c>
    </row>
    <row r="143">
      <c r="D143" s="2"/>
      <c r="E143" s="2"/>
      <c r="F143" s="2"/>
      <c r="G143" s="3" t="str">
        <f t="shared" si="1"/>
        <v/>
      </c>
      <c r="H143" s="3" t="str">
        <f>IF(ISBLANK(A143), "", IF(D143&gt;0, IF(COUNTIF(Expenses!E:E, D143)&gt;0, "Matched", "Unmatched"), IF(E143&gt;0, IF(COUNTIF(Income!F:F, E143)&gt;0, "Matched", "Unmatched"), "")))</f>
        <v/>
      </c>
    </row>
    <row r="144">
      <c r="D144" s="2"/>
      <c r="E144" s="2"/>
      <c r="F144" s="2"/>
      <c r="G144" s="3" t="str">
        <f t="shared" si="1"/>
        <v/>
      </c>
      <c r="H144" s="3" t="str">
        <f>IF(ISBLANK(A144), "", IF(D144&gt;0, IF(COUNTIF(Expenses!E:E, D144)&gt;0, "Matched", "Unmatched"), IF(E144&gt;0, IF(COUNTIF(Income!F:F, E144)&gt;0, "Matched", "Unmatched"), "")))</f>
        <v/>
      </c>
    </row>
    <row r="145">
      <c r="D145" s="2"/>
      <c r="E145" s="2"/>
      <c r="F145" s="2"/>
      <c r="G145" s="3" t="str">
        <f t="shared" si="1"/>
        <v/>
      </c>
      <c r="H145" s="3" t="str">
        <f>IF(ISBLANK(A145), "", IF(D145&gt;0, IF(COUNTIF(Expenses!E:E, D145)&gt;0, "Matched", "Unmatched"), IF(E145&gt;0, IF(COUNTIF(Income!F:F, E145)&gt;0, "Matched", "Unmatched"), "")))</f>
        <v/>
      </c>
    </row>
    <row r="146">
      <c r="D146" s="2"/>
      <c r="E146" s="2"/>
      <c r="F146" s="2"/>
      <c r="G146" s="3" t="str">
        <f t="shared" si="1"/>
        <v/>
      </c>
      <c r="H146" s="3" t="str">
        <f>IF(ISBLANK(A146), "", IF(D146&gt;0, IF(COUNTIF(Expenses!E:E, D146)&gt;0, "Matched", "Unmatched"), IF(E146&gt;0, IF(COUNTIF(Income!F:F, E146)&gt;0, "Matched", "Unmatched"), "")))</f>
        <v/>
      </c>
    </row>
    <row r="147">
      <c r="D147" s="2"/>
      <c r="E147" s="2"/>
      <c r="F147" s="2"/>
      <c r="G147" s="3" t="str">
        <f t="shared" si="1"/>
        <v/>
      </c>
      <c r="H147" s="3" t="str">
        <f>IF(ISBLANK(A147), "", IF(D147&gt;0, IF(COUNTIF(Expenses!E:E, D147)&gt;0, "Matched", "Unmatched"), IF(E147&gt;0, IF(COUNTIF(Income!F:F, E147)&gt;0, "Matched", "Unmatched"), "")))</f>
        <v/>
      </c>
    </row>
    <row r="148">
      <c r="D148" s="2"/>
      <c r="E148" s="2"/>
      <c r="F148" s="2"/>
      <c r="G148" s="3" t="str">
        <f t="shared" si="1"/>
        <v/>
      </c>
      <c r="H148" s="3" t="str">
        <f>IF(ISBLANK(A148), "", IF(D148&gt;0, IF(COUNTIF(Expenses!E:E, D148)&gt;0, "Matched", "Unmatched"), IF(E148&gt;0, IF(COUNTIF(Income!F:F, E148)&gt;0, "Matched", "Unmatched"), "")))</f>
        <v/>
      </c>
    </row>
    <row r="149">
      <c r="D149" s="2"/>
      <c r="E149" s="2"/>
      <c r="F149" s="2"/>
      <c r="G149" s="3" t="str">
        <f t="shared" si="1"/>
        <v/>
      </c>
      <c r="H149" s="3" t="str">
        <f>IF(ISBLANK(A149), "", IF(D149&gt;0, IF(COUNTIF(Expenses!E:E, D149)&gt;0, "Matched", "Unmatched"), IF(E149&gt;0, IF(COUNTIF(Income!F:F, E149)&gt;0, "Matched", "Unmatched"), "")))</f>
        <v/>
      </c>
    </row>
    <row r="150">
      <c r="D150" s="2"/>
      <c r="E150" s="2"/>
      <c r="F150" s="2"/>
      <c r="G150" s="3" t="str">
        <f t="shared" si="1"/>
        <v/>
      </c>
      <c r="H150" s="3" t="str">
        <f>IF(ISBLANK(A150), "", IF(D150&gt;0, IF(COUNTIF(Expenses!E:E, D150)&gt;0, "Matched", "Unmatched"), IF(E150&gt;0, IF(COUNTIF(Income!F:F, E150)&gt;0, "Matched", "Unmatched"), "")))</f>
        <v/>
      </c>
    </row>
    <row r="151">
      <c r="D151" s="2"/>
      <c r="E151" s="2"/>
      <c r="F151" s="2"/>
      <c r="G151" s="3" t="str">
        <f t="shared" si="1"/>
        <v/>
      </c>
      <c r="H151" s="3" t="str">
        <f>IF(ISBLANK(A151), "", IF(D151&gt;0, IF(COUNTIF(Expenses!E:E, D151)&gt;0, "Matched", "Unmatched"), IF(E151&gt;0, IF(COUNTIF(Income!F:F, E151)&gt;0, "Matched", "Unmatched"), "")))</f>
        <v/>
      </c>
    </row>
    <row r="152">
      <c r="D152" s="2"/>
      <c r="E152" s="2"/>
      <c r="F152" s="2"/>
      <c r="G152" s="3" t="str">
        <f t="shared" si="1"/>
        <v/>
      </c>
      <c r="H152" s="3" t="str">
        <f>IF(ISBLANK(A152), "", IF(D152&gt;0, IF(COUNTIF(Expenses!E:E, D152)&gt;0, "Matched", "Unmatched"), IF(E152&gt;0, IF(COUNTIF(Income!F:F, E152)&gt;0, "Matched", "Unmatched"), "")))</f>
        <v/>
      </c>
    </row>
    <row r="153">
      <c r="D153" s="2"/>
      <c r="E153" s="2"/>
      <c r="F153" s="2"/>
      <c r="G153" s="3" t="str">
        <f t="shared" si="1"/>
        <v/>
      </c>
      <c r="H153" s="3" t="str">
        <f>IF(ISBLANK(A153), "", IF(D153&gt;0, IF(COUNTIF(Expenses!E:E, D153)&gt;0, "Matched", "Unmatched"), IF(E153&gt;0, IF(COUNTIF(Income!F:F, E153)&gt;0, "Matched", "Unmatched"), "")))</f>
        <v/>
      </c>
    </row>
    <row r="154">
      <c r="D154" s="2"/>
      <c r="E154" s="2"/>
      <c r="F154" s="2"/>
      <c r="G154" s="3" t="str">
        <f t="shared" si="1"/>
        <v/>
      </c>
      <c r="H154" s="3" t="str">
        <f>IF(ISBLANK(A154), "", IF(D154&gt;0, IF(COUNTIF(Expenses!E:E, D154)&gt;0, "Matched", "Unmatched"), IF(E154&gt;0, IF(COUNTIF(Income!F:F, E154)&gt;0, "Matched", "Unmatched"), "")))</f>
        <v/>
      </c>
    </row>
    <row r="155">
      <c r="D155" s="2"/>
      <c r="E155" s="2"/>
      <c r="F155" s="2"/>
      <c r="G155" s="3" t="str">
        <f t="shared" si="1"/>
        <v/>
      </c>
      <c r="H155" s="3" t="str">
        <f>IF(ISBLANK(A155), "", IF(D155&gt;0, IF(COUNTIF(Expenses!E:E, D155)&gt;0, "Matched", "Unmatched"), IF(E155&gt;0, IF(COUNTIF(Income!F:F, E155)&gt;0, "Matched", "Unmatched"), "")))</f>
        <v/>
      </c>
    </row>
    <row r="156">
      <c r="D156" s="2"/>
      <c r="E156" s="2"/>
      <c r="F156" s="2"/>
      <c r="G156" s="3" t="str">
        <f t="shared" si="1"/>
        <v/>
      </c>
      <c r="H156" s="3" t="str">
        <f>IF(ISBLANK(A156), "", IF(D156&gt;0, IF(COUNTIF(Expenses!E:E, D156)&gt;0, "Matched", "Unmatched"), IF(E156&gt;0, IF(COUNTIF(Income!F:F, E156)&gt;0, "Matched", "Unmatched"), "")))</f>
        <v/>
      </c>
    </row>
    <row r="157">
      <c r="D157" s="2"/>
      <c r="E157" s="2"/>
      <c r="F157" s="2"/>
      <c r="G157" s="3" t="str">
        <f t="shared" si="1"/>
        <v/>
      </c>
      <c r="H157" s="3" t="str">
        <f>IF(ISBLANK(A157), "", IF(D157&gt;0, IF(COUNTIF(Expenses!E:E, D157)&gt;0, "Matched", "Unmatched"), IF(E157&gt;0, IF(COUNTIF(Income!F:F, E157)&gt;0, "Matched", "Unmatched"), "")))</f>
        <v/>
      </c>
    </row>
    <row r="158">
      <c r="D158" s="2"/>
      <c r="E158" s="2"/>
      <c r="F158" s="2"/>
      <c r="G158" s="3" t="str">
        <f t="shared" si="1"/>
        <v/>
      </c>
      <c r="H158" s="3" t="str">
        <f>IF(ISBLANK(A158), "", IF(D158&gt;0, IF(COUNTIF(Expenses!E:E, D158)&gt;0, "Matched", "Unmatched"), IF(E158&gt;0, IF(COUNTIF(Income!F:F, E158)&gt;0, "Matched", "Unmatched"), "")))</f>
        <v/>
      </c>
    </row>
    <row r="159">
      <c r="D159" s="2"/>
      <c r="E159" s="2"/>
      <c r="F159" s="2"/>
      <c r="G159" s="3" t="str">
        <f t="shared" si="1"/>
        <v/>
      </c>
      <c r="H159" s="3" t="str">
        <f>IF(ISBLANK(A159), "", IF(D159&gt;0, IF(COUNTIF(Expenses!E:E, D159)&gt;0, "Matched", "Unmatched"), IF(E159&gt;0, IF(COUNTIF(Income!F:F, E159)&gt;0, "Matched", "Unmatched"), "")))</f>
        <v/>
      </c>
    </row>
    <row r="160">
      <c r="D160" s="2"/>
      <c r="E160" s="2"/>
      <c r="F160" s="2"/>
      <c r="G160" s="3" t="str">
        <f t="shared" si="1"/>
        <v/>
      </c>
      <c r="H160" s="3" t="str">
        <f>IF(ISBLANK(A160), "", IF(D160&gt;0, IF(COUNTIF(Expenses!E:E, D160)&gt;0, "Matched", "Unmatched"), IF(E160&gt;0, IF(COUNTIF(Income!F:F, E160)&gt;0, "Matched", "Unmatched"), "")))</f>
        <v/>
      </c>
    </row>
    <row r="161">
      <c r="D161" s="2"/>
      <c r="E161" s="2"/>
      <c r="F161" s="2"/>
      <c r="G161" s="3" t="str">
        <f t="shared" si="1"/>
        <v/>
      </c>
      <c r="H161" s="3" t="str">
        <f>IF(ISBLANK(A161), "", IF(D161&gt;0, IF(COUNTIF(Expenses!E:E, D161)&gt;0, "Matched", "Unmatched"), IF(E161&gt;0, IF(COUNTIF(Income!F:F, E161)&gt;0, "Matched", "Unmatched"), "")))</f>
        <v/>
      </c>
    </row>
    <row r="162">
      <c r="D162" s="2"/>
      <c r="E162" s="2"/>
      <c r="F162" s="2"/>
      <c r="G162" s="3" t="str">
        <f t="shared" si="1"/>
        <v/>
      </c>
      <c r="H162" s="3" t="str">
        <f>IF(ISBLANK(A162), "", IF(D162&gt;0, IF(COUNTIF(Expenses!E:E, D162)&gt;0, "Matched", "Unmatched"), IF(E162&gt;0, IF(COUNTIF(Income!F:F, E162)&gt;0, "Matched", "Unmatched"), "")))</f>
        <v/>
      </c>
    </row>
    <row r="163">
      <c r="D163" s="2"/>
      <c r="E163" s="2"/>
      <c r="F163" s="2"/>
      <c r="G163" s="3" t="str">
        <f t="shared" si="1"/>
        <v/>
      </c>
      <c r="H163" s="3" t="str">
        <f>IF(ISBLANK(A163), "", IF(D163&gt;0, IF(COUNTIF(Expenses!E:E, D163)&gt;0, "Matched", "Unmatched"), IF(E163&gt;0, IF(COUNTIF(Income!F:F, E163)&gt;0, "Matched", "Unmatched"), "")))</f>
        <v/>
      </c>
    </row>
    <row r="164">
      <c r="D164" s="2"/>
      <c r="E164" s="2"/>
      <c r="F164" s="2"/>
      <c r="G164" s="3" t="str">
        <f t="shared" si="1"/>
        <v/>
      </c>
      <c r="H164" s="3" t="str">
        <f>IF(ISBLANK(A164), "", IF(D164&gt;0, IF(COUNTIF(Expenses!E:E, D164)&gt;0, "Matched", "Unmatched"), IF(E164&gt;0, IF(COUNTIF(Income!F:F, E164)&gt;0, "Matched", "Unmatched"), "")))</f>
        <v/>
      </c>
    </row>
    <row r="165">
      <c r="D165" s="2"/>
      <c r="E165" s="2"/>
      <c r="F165" s="2"/>
      <c r="G165" s="3" t="str">
        <f t="shared" si="1"/>
        <v/>
      </c>
      <c r="H165" s="3" t="str">
        <f>IF(ISBLANK(A165), "", IF(D165&gt;0, IF(COUNTIF(Expenses!E:E, D165)&gt;0, "Matched", "Unmatched"), IF(E165&gt;0, IF(COUNTIF(Income!F:F, E165)&gt;0, "Matched", "Unmatched"), "")))</f>
        <v/>
      </c>
    </row>
    <row r="166">
      <c r="D166" s="2"/>
      <c r="E166" s="2"/>
      <c r="F166" s="2"/>
      <c r="G166" s="3" t="str">
        <f t="shared" si="1"/>
        <v/>
      </c>
      <c r="H166" s="3" t="str">
        <f>IF(ISBLANK(A166), "", IF(D166&gt;0, IF(COUNTIF(Expenses!E:E, D166)&gt;0, "Matched", "Unmatched"), IF(E166&gt;0, IF(COUNTIF(Income!F:F, E166)&gt;0, "Matched", "Unmatched"), "")))</f>
        <v/>
      </c>
    </row>
    <row r="167">
      <c r="D167" s="2"/>
      <c r="E167" s="2"/>
      <c r="F167" s="2"/>
      <c r="G167" s="3" t="str">
        <f t="shared" si="1"/>
        <v/>
      </c>
      <c r="H167" s="3" t="str">
        <f>IF(ISBLANK(A167), "", IF(D167&gt;0, IF(COUNTIF(Expenses!E:E, D167)&gt;0, "Matched", "Unmatched"), IF(E167&gt;0, IF(COUNTIF(Income!F:F, E167)&gt;0, "Matched", "Unmatched"), "")))</f>
        <v/>
      </c>
    </row>
    <row r="168">
      <c r="D168" s="2"/>
      <c r="E168" s="2"/>
      <c r="F168" s="2"/>
      <c r="G168" s="3" t="str">
        <f t="shared" si="1"/>
        <v/>
      </c>
      <c r="H168" s="3" t="str">
        <f>IF(ISBLANK(A168), "", IF(D168&gt;0, IF(COUNTIF(Expenses!E:E, D168)&gt;0, "Matched", "Unmatched"), IF(E168&gt;0, IF(COUNTIF(Income!F:F, E168)&gt;0, "Matched", "Unmatched"), "")))</f>
        <v/>
      </c>
    </row>
    <row r="169">
      <c r="D169" s="2"/>
      <c r="E169" s="2"/>
      <c r="F169" s="2"/>
      <c r="G169" s="3" t="str">
        <f t="shared" si="1"/>
        <v/>
      </c>
      <c r="H169" s="3" t="str">
        <f>IF(ISBLANK(A169), "", IF(D169&gt;0, IF(COUNTIF(Expenses!E:E, D169)&gt;0, "Matched", "Unmatched"), IF(E169&gt;0, IF(COUNTIF(Income!F:F, E169)&gt;0, "Matched", "Unmatched"), "")))</f>
        <v/>
      </c>
    </row>
    <row r="170">
      <c r="D170" s="2"/>
      <c r="E170" s="2"/>
      <c r="F170" s="2"/>
      <c r="G170" s="3" t="str">
        <f t="shared" si="1"/>
        <v/>
      </c>
      <c r="H170" s="3" t="str">
        <f>IF(ISBLANK(A170), "", IF(D170&gt;0, IF(COUNTIF(Expenses!E:E, D170)&gt;0, "Matched", "Unmatched"), IF(E170&gt;0, IF(COUNTIF(Income!F:F, E170)&gt;0, "Matched", "Unmatched"), "")))</f>
        <v/>
      </c>
    </row>
    <row r="171">
      <c r="D171" s="2"/>
      <c r="E171" s="2"/>
      <c r="F171" s="2"/>
      <c r="G171" s="3" t="str">
        <f t="shared" si="1"/>
        <v/>
      </c>
      <c r="H171" s="3" t="str">
        <f>IF(ISBLANK(A171), "", IF(D171&gt;0, IF(COUNTIF(Expenses!E:E, D171)&gt;0, "Matched", "Unmatched"), IF(E171&gt;0, IF(COUNTIF(Income!F:F, E171)&gt;0, "Matched", "Unmatched"), "")))</f>
        <v/>
      </c>
    </row>
    <row r="172">
      <c r="D172" s="2"/>
      <c r="E172" s="2"/>
      <c r="F172" s="2"/>
      <c r="G172" s="3" t="str">
        <f t="shared" si="1"/>
        <v/>
      </c>
      <c r="H172" s="3" t="str">
        <f>IF(ISBLANK(A172), "", IF(D172&gt;0, IF(COUNTIF(Expenses!E:E, D172)&gt;0, "Matched", "Unmatched"), IF(E172&gt;0, IF(COUNTIF(Income!F:F, E172)&gt;0, "Matched", "Unmatched"), "")))</f>
        <v/>
      </c>
    </row>
    <row r="173">
      <c r="D173" s="2"/>
      <c r="E173" s="2"/>
      <c r="F173" s="2"/>
      <c r="G173" s="3" t="str">
        <f t="shared" si="1"/>
        <v/>
      </c>
      <c r="H173" s="3" t="str">
        <f>IF(ISBLANK(A173), "", IF(D173&gt;0, IF(COUNTIF(Expenses!E:E, D173)&gt;0, "Matched", "Unmatched"), IF(E173&gt;0, IF(COUNTIF(Income!F:F, E173)&gt;0, "Matched", "Unmatched"), "")))</f>
        <v/>
      </c>
    </row>
    <row r="174">
      <c r="D174" s="2"/>
      <c r="E174" s="2"/>
      <c r="F174" s="2"/>
      <c r="G174" s="3" t="str">
        <f t="shared" si="1"/>
        <v/>
      </c>
      <c r="H174" s="3" t="str">
        <f>IF(ISBLANK(A174), "", IF(D174&gt;0, IF(COUNTIF(Expenses!E:E, D174)&gt;0, "Matched", "Unmatched"), IF(E174&gt;0, IF(COUNTIF(Income!F:F, E174)&gt;0, "Matched", "Unmatched"), "")))</f>
        <v/>
      </c>
    </row>
    <row r="175">
      <c r="D175" s="2"/>
      <c r="E175" s="2"/>
      <c r="F175" s="2"/>
      <c r="G175" s="3" t="str">
        <f t="shared" si="1"/>
        <v/>
      </c>
      <c r="H175" s="3" t="str">
        <f>IF(ISBLANK(A175), "", IF(D175&gt;0, IF(COUNTIF(Expenses!E:E, D175)&gt;0, "Matched", "Unmatched"), IF(E175&gt;0, IF(COUNTIF(Income!F:F, E175)&gt;0, "Matched", "Unmatched"), "")))</f>
        <v/>
      </c>
    </row>
    <row r="176">
      <c r="D176" s="2"/>
      <c r="E176" s="2"/>
      <c r="F176" s="2"/>
      <c r="G176" s="3" t="str">
        <f t="shared" si="1"/>
        <v/>
      </c>
      <c r="H176" s="3" t="str">
        <f>IF(ISBLANK(A176), "", IF(D176&gt;0, IF(COUNTIF(Expenses!E:E, D176)&gt;0, "Matched", "Unmatched"), IF(E176&gt;0, IF(COUNTIF(Income!F:F, E176)&gt;0, "Matched", "Unmatched"), "")))</f>
        <v/>
      </c>
    </row>
    <row r="177">
      <c r="D177" s="2"/>
      <c r="E177" s="2"/>
      <c r="F177" s="2"/>
      <c r="G177" s="3" t="str">
        <f t="shared" si="1"/>
        <v/>
      </c>
      <c r="H177" s="3" t="str">
        <f>IF(ISBLANK(A177), "", IF(D177&gt;0, IF(COUNTIF(Expenses!E:E, D177)&gt;0, "Matched", "Unmatched"), IF(E177&gt;0, IF(COUNTIF(Income!F:F, E177)&gt;0, "Matched", "Unmatched"), "")))</f>
        <v/>
      </c>
    </row>
    <row r="178">
      <c r="D178" s="2"/>
      <c r="E178" s="2"/>
      <c r="F178" s="2"/>
      <c r="G178" s="3" t="str">
        <f t="shared" si="1"/>
        <v/>
      </c>
      <c r="H178" s="3" t="str">
        <f>IF(ISBLANK(A178), "", IF(D178&gt;0, IF(COUNTIF(Expenses!E:E, D178)&gt;0, "Matched", "Unmatched"), IF(E178&gt;0, IF(COUNTIF(Income!F:F, E178)&gt;0, "Matched", "Unmatched"), "")))</f>
        <v/>
      </c>
    </row>
    <row r="179">
      <c r="D179" s="2"/>
      <c r="E179" s="2"/>
      <c r="F179" s="2"/>
      <c r="G179" s="3" t="str">
        <f t="shared" si="1"/>
        <v/>
      </c>
      <c r="H179" s="3" t="str">
        <f>IF(ISBLANK(A179), "", IF(D179&gt;0, IF(COUNTIF(Expenses!E:E, D179)&gt;0, "Matched", "Unmatched"), IF(E179&gt;0, IF(COUNTIF(Income!F:F, E179)&gt;0, "Matched", "Unmatched"), "")))</f>
        <v/>
      </c>
    </row>
    <row r="180">
      <c r="D180" s="2"/>
      <c r="E180" s="2"/>
      <c r="F180" s="2"/>
      <c r="G180" s="3" t="str">
        <f t="shared" si="1"/>
        <v/>
      </c>
      <c r="H180" s="3" t="str">
        <f>IF(ISBLANK(A180), "", IF(D180&gt;0, IF(COUNTIF(Expenses!E:E, D180)&gt;0, "Matched", "Unmatched"), IF(E180&gt;0, IF(COUNTIF(Income!F:F, E180)&gt;0, "Matched", "Unmatched"), "")))</f>
        <v/>
      </c>
    </row>
    <row r="181">
      <c r="D181" s="2"/>
      <c r="E181" s="2"/>
      <c r="F181" s="2"/>
      <c r="G181" s="3" t="str">
        <f t="shared" si="1"/>
        <v/>
      </c>
      <c r="H181" s="3" t="str">
        <f>IF(ISBLANK(A181), "", IF(D181&gt;0, IF(COUNTIF(Expenses!E:E, D181)&gt;0, "Matched", "Unmatched"), IF(E181&gt;0, IF(COUNTIF(Income!F:F, E181)&gt;0, "Matched", "Unmatched"), "")))</f>
        <v/>
      </c>
    </row>
    <row r="182">
      <c r="D182" s="2"/>
      <c r="E182" s="2"/>
      <c r="F182" s="2"/>
      <c r="G182" s="3" t="str">
        <f t="shared" si="1"/>
        <v/>
      </c>
      <c r="H182" s="3" t="str">
        <f>IF(ISBLANK(A182), "", IF(D182&gt;0, IF(COUNTIF(Expenses!E:E, D182)&gt;0, "Matched", "Unmatched"), IF(E182&gt;0, IF(COUNTIF(Income!F:F, E182)&gt;0, "Matched", "Unmatched"), "")))</f>
        <v/>
      </c>
    </row>
    <row r="183">
      <c r="D183" s="2"/>
      <c r="E183" s="2"/>
      <c r="F183" s="2"/>
      <c r="G183" s="3" t="str">
        <f t="shared" si="1"/>
        <v/>
      </c>
      <c r="H183" s="3" t="str">
        <f>IF(ISBLANK(A183), "", IF(D183&gt;0, IF(COUNTIF(Expenses!E:E, D183)&gt;0, "Matched", "Unmatched"), IF(E183&gt;0, IF(COUNTIF(Income!F:F, E183)&gt;0, "Matched", "Unmatched"), "")))</f>
        <v/>
      </c>
    </row>
    <row r="184">
      <c r="D184" s="2"/>
      <c r="E184" s="2"/>
      <c r="F184" s="2"/>
      <c r="G184" s="3" t="str">
        <f t="shared" si="1"/>
        <v/>
      </c>
      <c r="H184" s="3" t="str">
        <f>IF(ISBLANK(A184), "", IF(D184&gt;0, IF(COUNTIF(Expenses!E:E, D184)&gt;0, "Matched", "Unmatched"), IF(E184&gt;0, IF(COUNTIF(Income!F:F, E184)&gt;0, "Matched", "Unmatched"), "")))</f>
        <v/>
      </c>
    </row>
    <row r="185">
      <c r="D185" s="2"/>
      <c r="E185" s="2"/>
      <c r="F185" s="2"/>
      <c r="G185" s="3" t="str">
        <f t="shared" si="1"/>
        <v/>
      </c>
      <c r="H185" s="3" t="str">
        <f>IF(ISBLANK(A185), "", IF(D185&gt;0, IF(COUNTIF(Expenses!E:E, D185)&gt;0, "Matched", "Unmatched"), IF(E185&gt;0, IF(COUNTIF(Income!F:F, E185)&gt;0, "Matched", "Unmatched"), "")))</f>
        <v/>
      </c>
    </row>
    <row r="186">
      <c r="D186" s="2"/>
      <c r="E186" s="2"/>
      <c r="F186" s="2"/>
      <c r="G186" s="3" t="str">
        <f t="shared" si="1"/>
        <v/>
      </c>
      <c r="H186" s="3" t="str">
        <f>IF(ISBLANK(A186), "", IF(D186&gt;0, IF(COUNTIF(Expenses!E:E, D186)&gt;0, "Matched", "Unmatched"), IF(E186&gt;0, IF(COUNTIF(Income!F:F, E186)&gt;0, "Matched", "Unmatched"), "")))</f>
        <v/>
      </c>
    </row>
    <row r="187">
      <c r="D187" s="2"/>
      <c r="E187" s="2"/>
      <c r="F187" s="2"/>
      <c r="G187" s="3" t="str">
        <f t="shared" si="1"/>
        <v/>
      </c>
      <c r="H187" s="3" t="str">
        <f>IF(ISBLANK(A187), "", IF(D187&gt;0, IF(COUNTIF(Expenses!E:E, D187)&gt;0, "Matched", "Unmatched"), IF(E187&gt;0, IF(COUNTIF(Income!F:F, E187)&gt;0, "Matched", "Unmatched"), "")))</f>
        <v/>
      </c>
    </row>
    <row r="188">
      <c r="D188" s="2"/>
      <c r="E188" s="2"/>
      <c r="F188" s="2"/>
      <c r="G188" s="3" t="str">
        <f t="shared" si="1"/>
        <v/>
      </c>
      <c r="H188" s="3" t="str">
        <f>IF(ISBLANK(A188), "", IF(D188&gt;0, IF(COUNTIF(Expenses!E:E, D188)&gt;0, "Matched", "Unmatched"), IF(E188&gt;0, IF(COUNTIF(Income!F:F, E188)&gt;0, "Matched", "Unmatched"), "")))</f>
        <v/>
      </c>
    </row>
    <row r="189">
      <c r="D189" s="2"/>
      <c r="E189" s="2"/>
      <c r="F189" s="2"/>
      <c r="G189" s="3" t="str">
        <f t="shared" si="1"/>
        <v/>
      </c>
      <c r="H189" s="3" t="str">
        <f>IF(ISBLANK(A189), "", IF(D189&gt;0, IF(COUNTIF(Expenses!E:E, D189)&gt;0, "Matched", "Unmatched"), IF(E189&gt;0, IF(COUNTIF(Income!F:F, E189)&gt;0, "Matched", "Unmatched"), "")))</f>
        <v/>
      </c>
    </row>
    <row r="190">
      <c r="D190" s="2"/>
      <c r="E190" s="2"/>
      <c r="F190" s="2"/>
      <c r="G190" s="3" t="str">
        <f t="shared" si="1"/>
        <v/>
      </c>
      <c r="H190" s="3" t="str">
        <f>IF(ISBLANK(A190), "", IF(D190&gt;0, IF(COUNTIF(Expenses!E:E, D190)&gt;0, "Matched", "Unmatched"), IF(E190&gt;0, IF(COUNTIF(Income!F:F, E190)&gt;0, "Matched", "Unmatched"), "")))</f>
        <v/>
      </c>
    </row>
    <row r="191">
      <c r="D191" s="2"/>
      <c r="E191" s="2"/>
      <c r="F191" s="2"/>
      <c r="G191" s="3" t="str">
        <f t="shared" si="1"/>
        <v/>
      </c>
      <c r="H191" s="3" t="str">
        <f>IF(ISBLANK(A191), "", IF(D191&gt;0, IF(COUNTIF(Expenses!E:E, D191)&gt;0, "Matched", "Unmatched"), IF(E191&gt;0, IF(COUNTIF(Income!F:F, E191)&gt;0, "Matched", "Unmatched"), "")))</f>
        <v/>
      </c>
    </row>
    <row r="192">
      <c r="D192" s="2"/>
      <c r="E192" s="2"/>
      <c r="F192" s="2"/>
      <c r="G192" s="3" t="str">
        <f t="shared" si="1"/>
        <v/>
      </c>
      <c r="H192" s="3" t="str">
        <f>IF(ISBLANK(A192), "", IF(D192&gt;0, IF(COUNTIF(Expenses!E:E, D192)&gt;0, "Matched", "Unmatched"), IF(E192&gt;0, IF(COUNTIF(Income!F:F, E192)&gt;0, "Matched", "Unmatched"), "")))</f>
        <v/>
      </c>
    </row>
    <row r="193">
      <c r="D193" s="2"/>
      <c r="E193" s="2"/>
      <c r="F193" s="2"/>
      <c r="G193" s="3" t="str">
        <f t="shared" si="1"/>
        <v/>
      </c>
      <c r="H193" s="3" t="str">
        <f>IF(ISBLANK(A193), "", IF(D193&gt;0, IF(COUNTIF(Expenses!E:E, D193)&gt;0, "Matched", "Unmatched"), IF(E193&gt;0, IF(COUNTIF(Income!F:F, E193)&gt;0, "Matched", "Unmatched"), "")))</f>
        <v/>
      </c>
    </row>
    <row r="194">
      <c r="D194" s="2"/>
      <c r="E194" s="2"/>
      <c r="F194" s="2"/>
      <c r="G194" s="3" t="str">
        <f t="shared" si="1"/>
        <v/>
      </c>
      <c r="H194" s="3" t="str">
        <f>IF(ISBLANK(A194), "", IF(D194&gt;0, IF(COUNTIF(Expenses!E:E, D194)&gt;0, "Matched", "Unmatched"), IF(E194&gt;0, IF(COUNTIF(Income!F:F, E194)&gt;0, "Matched", "Unmatched"), "")))</f>
        <v/>
      </c>
    </row>
    <row r="195">
      <c r="D195" s="2"/>
      <c r="E195" s="2"/>
      <c r="F195" s="2"/>
      <c r="G195" s="3" t="str">
        <f t="shared" si="1"/>
        <v/>
      </c>
      <c r="H195" s="3" t="str">
        <f>IF(ISBLANK(A195), "", IF(D195&gt;0, IF(COUNTIF(Expenses!E:E, D195)&gt;0, "Matched", "Unmatched"), IF(E195&gt;0, IF(COUNTIF(Income!F:F, E195)&gt;0, "Matched", "Unmatched"), "")))</f>
        <v/>
      </c>
    </row>
    <row r="196">
      <c r="D196" s="2"/>
      <c r="E196" s="2"/>
      <c r="F196" s="2"/>
      <c r="G196" s="3" t="str">
        <f t="shared" si="1"/>
        <v/>
      </c>
      <c r="H196" s="3" t="str">
        <f>IF(ISBLANK(A196), "", IF(D196&gt;0, IF(COUNTIF(Expenses!E:E, D196)&gt;0, "Matched", "Unmatched"), IF(E196&gt;0, IF(COUNTIF(Income!F:F, E196)&gt;0, "Matched", "Unmatched"), "")))</f>
        <v/>
      </c>
    </row>
    <row r="197">
      <c r="D197" s="2"/>
      <c r="E197" s="2"/>
      <c r="F197" s="2"/>
      <c r="G197" s="3" t="str">
        <f t="shared" si="1"/>
        <v/>
      </c>
      <c r="H197" s="3" t="str">
        <f>IF(ISBLANK(A197), "", IF(D197&gt;0, IF(COUNTIF(Expenses!E:E, D197)&gt;0, "Matched", "Unmatched"), IF(E197&gt;0, IF(COUNTIF(Income!F:F, E197)&gt;0, "Matched", "Unmatched"), "")))</f>
        <v/>
      </c>
    </row>
    <row r="198">
      <c r="D198" s="2"/>
      <c r="E198" s="2"/>
      <c r="F198" s="2"/>
      <c r="G198" s="3" t="str">
        <f t="shared" si="1"/>
        <v/>
      </c>
      <c r="H198" s="3" t="str">
        <f>IF(ISBLANK(A198), "", IF(D198&gt;0, IF(COUNTIF(Expenses!E:E, D198)&gt;0, "Matched", "Unmatched"), IF(E198&gt;0, IF(COUNTIF(Income!F:F, E198)&gt;0, "Matched", "Unmatched"), "")))</f>
        <v/>
      </c>
    </row>
    <row r="199">
      <c r="D199" s="2"/>
      <c r="E199" s="2"/>
      <c r="F199" s="2"/>
      <c r="G199" s="3" t="str">
        <f t="shared" si="1"/>
        <v/>
      </c>
      <c r="H199" s="3" t="str">
        <f>IF(ISBLANK(A199), "", IF(D199&gt;0, IF(COUNTIF(Expenses!E:E, D199)&gt;0, "Matched", "Unmatched"), IF(E199&gt;0, IF(COUNTIF(Income!F:F, E199)&gt;0, "Matched", "Unmatched"), "")))</f>
        <v/>
      </c>
    </row>
    <row r="200">
      <c r="D200" s="2"/>
      <c r="E200" s="2"/>
      <c r="F200" s="2"/>
      <c r="G200" s="3" t="str">
        <f t="shared" si="1"/>
        <v/>
      </c>
      <c r="H200" s="3" t="str">
        <f>IF(ISBLANK(A200), "", IF(D200&gt;0, IF(COUNTIF(Expenses!E:E, D200)&gt;0, "Matched", "Unmatched"), IF(E200&gt;0, IF(COUNTIF(Income!F:F, E200)&gt;0, "Matched", "Unmatched"), "")))</f>
        <v/>
      </c>
    </row>
    <row r="201">
      <c r="D201" s="2"/>
      <c r="E201" s="2"/>
      <c r="F201" s="2"/>
      <c r="G201" s="3" t="str">
        <f t="shared" si="1"/>
        <v/>
      </c>
      <c r="H201" s="3" t="str">
        <f>IF(ISBLANK(A201), "", IF(D201&gt;0, IF(COUNTIF(Expenses!E:E, D201)&gt;0, "Matched", "Unmatched"), IF(E201&gt;0, IF(COUNTIF(Income!F:F, E201)&gt;0, "Matched", "Unmatched"), "")))</f>
        <v/>
      </c>
    </row>
    <row r="202">
      <c r="D202" s="2"/>
      <c r="E202" s="2"/>
      <c r="F202" s="2"/>
      <c r="G202" s="3" t="str">
        <f t="shared" si="1"/>
        <v/>
      </c>
      <c r="H202" s="3" t="str">
        <f>IF(ISBLANK(A202), "", IF(D202&gt;0, IF(COUNTIF(Expenses!E:E, D202)&gt;0, "Matched", "Unmatched"), IF(E202&gt;0, IF(COUNTIF(Income!F:F, E202)&gt;0, "Matched", "Unmatched"), "")))</f>
        <v/>
      </c>
    </row>
    <row r="203">
      <c r="D203" s="2"/>
      <c r="E203" s="2"/>
      <c r="F203" s="2"/>
      <c r="G203" s="3" t="str">
        <f t="shared" si="1"/>
        <v/>
      </c>
      <c r="H203" s="3" t="str">
        <f>IF(ISBLANK(A203), "", IF(D203&gt;0, IF(COUNTIF(Expenses!E:E, D203)&gt;0, "Matched", "Unmatched"), IF(E203&gt;0, IF(COUNTIF(Income!F:F, E203)&gt;0, "Matched", "Unmatched"), "")))</f>
        <v/>
      </c>
    </row>
    <row r="204">
      <c r="D204" s="2"/>
      <c r="E204" s="2"/>
      <c r="F204" s="2"/>
      <c r="G204" s="3" t="str">
        <f t="shared" si="1"/>
        <v/>
      </c>
      <c r="H204" s="3" t="str">
        <f>IF(ISBLANK(A204), "", IF(D204&gt;0, IF(COUNTIF(Expenses!E:E, D204)&gt;0, "Matched", "Unmatched"), IF(E204&gt;0, IF(COUNTIF(Income!F:F, E204)&gt;0, "Matched", "Unmatched"), "")))</f>
        <v/>
      </c>
    </row>
    <row r="205">
      <c r="D205" s="2"/>
      <c r="E205" s="2"/>
      <c r="F205" s="2"/>
      <c r="G205" s="3" t="str">
        <f t="shared" si="1"/>
        <v/>
      </c>
      <c r="H205" s="3" t="str">
        <f>IF(ISBLANK(A205), "", IF(D205&gt;0, IF(COUNTIF(Expenses!E:E, D205)&gt;0, "Matched", "Unmatched"), IF(E205&gt;0, IF(COUNTIF(Income!F:F, E205)&gt;0, "Matched", "Unmatched"), "")))</f>
        <v/>
      </c>
    </row>
    <row r="206">
      <c r="D206" s="2"/>
      <c r="E206" s="2"/>
      <c r="F206" s="2"/>
      <c r="G206" s="3" t="str">
        <f t="shared" si="1"/>
        <v/>
      </c>
      <c r="H206" s="3" t="str">
        <f>IF(ISBLANK(A206), "", IF(D206&gt;0, IF(COUNTIF(Expenses!E:E, D206)&gt;0, "Matched", "Unmatched"), IF(E206&gt;0, IF(COUNTIF(Income!F:F, E206)&gt;0, "Matched", "Unmatched"), "")))</f>
        <v/>
      </c>
    </row>
    <row r="207">
      <c r="D207" s="2"/>
      <c r="E207" s="2"/>
      <c r="F207" s="2"/>
      <c r="G207" s="3" t="str">
        <f t="shared" si="1"/>
        <v/>
      </c>
      <c r="H207" s="3" t="str">
        <f>IF(ISBLANK(A207), "", IF(D207&gt;0, IF(COUNTIF(Expenses!E:E, D207)&gt;0, "Matched", "Unmatched"), IF(E207&gt;0, IF(COUNTIF(Income!F:F, E207)&gt;0, "Matched", "Unmatched"), "")))</f>
        <v/>
      </c>
    </row>
    <row r="208">
      <c r="D208" s="2"/>
      <c r="E208" s="2"/>
      <c r="F208" s="2"/>
      <c r="G208" s="3" t="str">
        <f t="shared" si="1"/>
        <v/>
      </c>
      <c r="H208" s="3" t="str">
        <f>IF(ISBLANK(A208), "", IF(D208&gt;0, IF(COUNTIF(Expenses!E:E, D208)&gt;0, "Matched", "Unmatched"), IF(E208&gt;0, IF(COUNTIF(Income!F:F, E208)&gt;0, "Matched", "Unmatched"), "")))</f>
        <v/>
      </c>
    </row>
    <row r="209">
      <c r="D209" s="2"/>
      <c r="E209" s="2"/>
      <c r="F209" s="2"/>
      <c r="G209" s="3" t="str">
        <f t="shared" si="1"/>
        <v/>
      </c>
      <c r="H209" s="3" t="str">
        <f>IF(ISBLANK(A209), "", IF(D209&gt;0, IF(COUNTIF(Expenses!E:E, D209)&gt;0, "Matched", "Unmatched"), IF(E209&gt;0, IF(COUNTIF(Income!F:F, E209)&gt;0, "Matched", "Unmatched"), "")))</f>
        <v/>
      </c>
    </row>
    <row r="210">
      <c r="D210" s="2"/>
      <c r="E210" s="2"/>
      <c r="F210" s="2"/>
      <c r="G210" s="3" t="str">
        <f t="shared" si="1"/>
        <v/>
      </c>
      <c r="H210" s="3" t="str">
        <f>IF(ISBLANK(A210), "", IF(D210&gt;0, IF(COUNTIF(Expenses!E:E, D210)&gt;0, "Matched", "Unmatched"), IF(E210&gt;0, IF(COUNTIF(Income!F:F, E210)&gt;0, "Matched", "Unmatched"), "")))</f>
        <v/>
      </c>
    </row>
    <row r="211">
      <c r="D211" s="2"/>
      <c r="E211" s="2"/>
      <c r="F211" s="2"/>
      <c r="G211" s="3" t="str">
        <f t="shared" si="1"/>
        <v/>
      </c>
      <c r="H211" s="3" t="str">
        <f>IF(ISBLANK(A211), "", IF(D211&gt;0, IF(COUNTIF(Expenses!E:E, D211)&gt;0, "Matched", "Unmatched"), IF(E211&gt;0, IF(COUNTIF(Income!F:F, E211)&gt;0, "Matched", "Unmatched"), "")))</f>
        <v/>
      </c>
    </row>
    <row r="212">
      <c r="D212" s="2"/>
      <c r="E212" s="2"/>
      <c r="F212" s="2"/>
      <c r="G212" s="3" t="str">
        <f t="shared" si="1"/>
        <v/>
      </c>
      <c r="H212" s="3" t="str">
        <f>IF(ISBLANK(A212), "", IF(D212&gt;0, IF(COUNTIF(Expenses!E:E, D212)&gt;0, "Matched", "Unmatched"), IF(E212&gt;0, IF(COUNTIF(Income!F:F, E212)&gt;0, "Matched", "Unmatched"), "")))</f>
        <v/>
      </c>
    </row>
    <row r="213">
      <c r="D213" s="2"/>
      <c r="E213" s="2"/>
      <c r="F213" s="2"/>
      <c r="G213" s="3" t="str">
        <f t="shared" si="1"/>
        <v/>
      </c>
      <c r="H213" s="3" t="str">
        <f>IF(ISBLANK(A213), "", IF(D213&gt;0, IF(COUNTIF(Expenses!E:E, D213)&gt;0, "Matched", "Unmatched"), IF(E213&gt;0, IF(COUNTIF(Income!F:F, E213)&gt;0, "Matched", "Unmatched"), "")))</f>
        <v/>
      </c>
    </row>
    <row r="214">
      <c r="D214" s="2"/>
      <c r="E214" s="2"/>
      <c r="F214" s="2"/>
      <c r="G214" s="3" t="str">
        <f t="shared" si="1"/>
        <v/>
      </c>
      <c r="H214" s="3" t="str">
        <f>IF(ISBLANK(A214), "", IF(D214&gt;0, IF(COUNTIF(Expenses!E:E, D214)&gt;0, "Matched", "Unmatched"), IF(E214&gt;0, IF(COUNTIF(Income!F:F, E214)&gt;0, "Matched", "Unmatched"), "")))</f>
        <v/>
      </c>
    </row>
    <row r="215">
      <c r="D215" s="2"/>
      <c r="E215" s="2"/>
      <c r="F215" s="2"/>
      <c r="G215" s="3" t="str">
        <f t="shared" si="1"/>
        <v/>
      </c>
      <c r="H215" s="3" t="str">
        <f>IF(ISBLANK(A215), "", IF(D215&gt;0, IF(COUNTIF(Expenses!E:E, D215)&gt;0, "Matched", "Unmatched"), IF(E215&gt;0, IF(COUNTIF(Income!F:F, E215)&gt;0, "Matched", "Unmatched"), "")))</f>
        <v/>
      </c>
    </row>
    <row r="216">
      <c r="D216" s="2"/>
      <c r="E216" s="2"/>
      <c r="F216" s="2"/>
      <c r="G216" s="3" t="str">
        <f t="shared" si="1"/>
        <v/>
      </c>
      <c r="H216" s="3" t="str">
        <f>IF(ISBLANK(A216), "", IF(D216&gt;0, IF(COUNTIF(Expenses!E:E, D216)&gt;0, "Matched", "Unmatched"), IF(E216&gt;0, IF(COUNTIF(Income!F:F, E216)&gt;0, "Matched", "Unmatched"), "")))</f>
        <v/>
      </c>
    </row>
    <row r="217">
      <c r="D217" s="2"/>
      <c r="E217" s="2"/>
      <c r="F217" s="2"/>
      <c r="G217" s="3" t="str">
        <f t="shared" si="1"/>
        <v/>
      </c>
      <c r="H217" s="3" t="str">
        <f>IF(ISBLANK(A217), "", IF(D217&gt;0, IF(COUNTIF(Expenses!E:E, D217)&gt;0, "Matched", "Unmatched"), IF(E217&gt;0, IF(COUNTIF(Income!F:F, E217)&gt;0, "Matched", "Unmatched"), "")))</f>
        <v/>
      </c>
    </row>
    <row r="218">
      <c r="D218" s="2"/>
      <c r="E218" s="2"/>
      <c r="F218" s="2"/>
      <c r="G218" s="3" t="str">
        <f t="shared" si="1"/>
        <v/>
      </c>
      <c r="H218" s="3" t="str">
        <f>IF(ISBLANK(A218), "", IF(D218&gt;0, IF(COUNTIF(Expenses!E:E, D218)&gt;0, "Matched", "Unmatched"), IF(E218&gt;0, IF(COUNTIF(Income!F:F, E218)&gt;0, "Matched", "Unmatched"), "")))</f>
        <v/>
      </c>
    </row>
    <row r="219">
      <c r="D219" s="2"/>
      <c r="E219" s="2"/>
      <c r="F219" s="2"/>
      <c r="G219" s="3" t="str">
        <f t="shared" si="1"/>
        <v/>
      </c>
      <c r="H219" s="3" t="str">
        <f>IF(ISBLANK(A219), "", IF(D219&gt;0, IF(COUNTIF(Expenses!E:E, D219)&gt;0, "Matched", "Unmatched"), IF(E219&gt;0, IF(COUNTIF(Income!F:F, E219)&gt;0, "Matched", "Unmatched"), "")))</f>
        <v/>
      </c>
    </row>
    <row r="220">
      <c r="D220" s="2"/>
      <c r="E220" s="2"/>
      <c r="F220" s="2"/>
      <c r="G220" s="3" t="str">
        <f t="shared" si="1"/>
        <v/>
      </c>
      <c r="H220" s="3" t="str">
        <f>IF(ISBLANK(A220), "", IF(D220&gt;0, IF(COUNTIF(Expenses!E:E, D220)&gt;0, "Matched", "Unmatched"), IF(E220&gt;0, IF(COUNTIF(Income!F:F, E220)&gt;0, "Matched", "Unmatched"), "")))</f>
        <v/>
      </c>
    </row>
    <row r="221">
      <c r="D221" s="2"/>
      <c r="E221" s="2"/>
      <c r="F221" s="2"/>
      <c r="G221" s="3" t="str">
        <f t="shared" si="1"/>
        <v/>
      </c>
      <c r="H221" s="3" t="str">
        <f>IF(ISBLANK(A221), "", IF(D221&gt;0, IF(COUNTIF(Expenses!E:E, D221)&gt;0, "Matched", "Unmatched"), IF(E221&gt;0, IF(COUNTIF(Income!F:F, E221)&gt;0, "Matched", "Unmatched"), "")))</f>
        <v/>
      </c>
    </row>
    <row r="222">
      <c r="D222" s="2"/>
      <c r="E222" s="2"/>
      <c r="F222" s="2"/>
      <c r="G222" s="3" t="str">
        <f t="shared" si="1"/>
        <v/>
      </c>
      <c r="H222" s="3" t="str">
        <f>IF(ISBLANK(A222), "", IF(D222&gt;0, IF(COUNTIF(Expenses!E:E, D222)&gt;0, "Matched", "Unmatched"), IF(E222&gt;0, IF(COUNTIF(Income!F:F, E222)&gt;0, "Matched", "Unmatched"), "")))</f>
        <v/>
      </c>
    </row>
    <row r="223">
      <c r="D223" s="2"/>
      <c r="E223" s="2"/>
      <c r="F223" s="2"/>
      <c r="G223" s="3" t="str">
        <f t="shared" si="1"/>
        <v/>
      </c>
      <c r="H223" s="3" t="str">
        <f>IF(ISBLANK(A223), "", IF(D223&gt;0, IF(COUNTIF(Expenses!E:E, D223)&gt;0, "Matched", "Unmatched"), IF(E223&gt;0, IF(COUNTIF(Income!F:F, E223)&gt;0, "Matched", "Unmatched"), "")))</f>
        <v/>
      </c>
    </row>
    <row r="224">
      <c r="D224" s="2"/>
      <c r="E224" s="2"/>
      <c r="F224" s="2"/>
      <c r="G224" s="3" t="str">
        <f t="shared" si="1"/>
        <v/>
      </c>
      <c r="H224" s="3" t="str">
        <f>IF(ISBLANK(A224), "", IF(D224&gt;0, IF(COUNTIF(Expenses!E:E, D224)&gt;0, "Matched", "Unmatched"), IF(E224&gt;0, IF(COUNTIF(Income!F:F, E224)&gt;0, "Matched", "Unmatched"), "")))</f>
        <v/>
      </c>
    </row>
    <row r="225">
      <c r="D225" s="2"/>
      <c r="E225" s="2"/>
      <c r="F225" s="2"/>
      <c r="G225" s="3" t="str">
        <f t="shared" si="1"/>
        <v/>
      </c>
      <c r="H225" s="3" t="str">
        <f>IF(ISBLANK(A225), "", IF(D225&gt;0, IF(COUNTIF(Expenses!E:E, D225)&gt;0, "Matched", "Unmatched"), IF(E225&gt;0, IF(COUNTIF(Income!F:F, E225)&gt;0, "Matched", "Unmatched"), "")))</f>
        <v/>
      </c>
    </row>
    <row r="226">
      <c r="D226" s="2"/>
      <c r="E226" s="2"/>
      <c r="F226" s="2"/>
      <c r="G226" s="3" t="str">
        <f t="shared" si="1"/>
        <v/>
      </c>
      <c r="H226" s="3" t="str">
        <f>IF(ISBLANK(A226), "", IF(D226&gt;0, IF(COUNTIF(Expenses!E:E, D226)&gt;0, "Matched", "Unmatched"), IF(E226&gt;0, IF(COUNTIF(Income!F:F, E226)&gt;0, "Matched", "Unmatched"), "")))</f>
        <v/>
      </c>
    </row>
    <row r="227">
      <c r="D227" s="2"/>
      <c r="E227" s="2"/>
      <c r="F227" s="2"/>
      <c r="G227" s="3" t="str">
        <f t="shared" si="1"/>
        <v/>
      </c>
      <c r="H227" s="3" t="str">
        <f>IF(ISBLANK(A227), "", IF(D227&gt;0, IF(COUNTIF(Expenses!E:E, D227)&gt;0, "Matched", "Unmatched"), IF(E227&gt;0, IF(COUNTIF(Income!F:F, E227)&gt;0, "Matched", "Unmatched"), "")))</f>
        <v/>
      </c>
    </row>
    <row r="228">
      <c r="D228" s="2"/>
      <c r="E228" s="2"/>
      <c r="F228" s="2"/>
      <c r="G228" s="3" t="str">
        <f t="shared" si="1"/>
        <v/>
      </c>
      <c r="H228" s="3" t="str">
        <f>IF(ISBLANK(A228), "", IF(D228&gt;0, IF(COUNTIF(Expenses!E:E, D228)&gt;0, "Matched", "Unmatched"), IF(E228&gt;0, IF(COUNTIF(Income!F:F, E228)&gt;0, "Matched", "Unmatched"), "")))</f>
        <v/>
      </c>
    </row>
    <row r="229">
      <c r="D229" s="2"/>
      <c r="E229" s="2"/>
      <c r="F229" s="2"/>
      <c r="G229" s="3" t="str">
        <f t="shared" si="1"/>
        <v/>
      </c>
      <c r="H229" s="3" t="str">
        <f>IF(ISBLANK(A229), "", IF(D229&gt;0, IF(COUNTIF(Expenses!E:E, D229)&gt;0, "Matched", "Unmatched"), IF(E229&gt;0, IF(COUNTIF(Income!F:F, E229)&gt;0, "Matched", "Unmatched"), "")))</f>
        <v/>
      </c>
    </row>
    <row r="230">
      <c r="D230" s="2"/>
      <c r="E230" s="2"/>
      <c r="F230" s="2"/>
      <c r="G230" s="3" t="str">
        <f t="shared" si="1"/>
        <v/>
      </c>
      <c r="H230" s="3" t="str">
        <f>IF(ISBLANK(A230), "", IF(D230&gt;0, IF(COUNTIF(Expenses!E:E, D230)&gt;0, "Matched", "Unmatched"), IF(E230&gt;0, IF(COUNTIF(Income!F:F, E230)&gt;0, "Matched", "Unmatched"), "")))</f>
        <v/>
      </c>
    </row>
    <row r="231">
      <c r="D231" s="2"/>
      <c r="E231" s="2"/>
      <c r="F231" s="2"/>
      <c r="G231" s="3" t="str">
        <f t="shared" si="1"/>
        <v/>
      </c>
      <c r="H231" s="3" t="str">
        <f>IF(ISBLANK(A231), "", IF(D231&gt;0, IF(COUNTIF(Expenses!E:E, D231)&gt;0, "Matched", "Unmatched"), IF(E231&gt;0, IF(COUNTIF(Income!F:F, E231)&gt;0, "Matched", "Unmatched"), "")))</f>
        <v/>
      </c>
    </row>
    <row r="232">
      <c r="D232" s="2"/>
      <c r="E232" s="2"/>
      <c r="F232" s="2"/>
      <c r="G232" s="3" t="str">
        <f t="shared" si="1"/>
        <v/>
      </c>
      <c r="H232" s="3" t="str">
        <f>IF(ISBLANK(A232), "", IF(D232&gt;0, IF(COUNTIF(Expenses!E:E, D232)&gt;0, "Matched", "Unmatched"), IF(E232&gt;0, IF(COUNTIF(Income!F:F, E232)&gt;0, "Matched", "Unmatched"), "")))</f>
        <v/>
      </c>
    </row>
    <row r="233">
      <c r="D233" s="2"/>
      <c r="E233" s="2"/>
      <c r="F233" s="2"/>
      <c r="G233" s="3" t="str">
        <f t="shared" si="1"/>
        <v/>
      </c>
      <c r="H233" s="3" t="str">
        <f>IF(ISBLANK(A233), "", IF(D233&gt;0, IF(COUNTIF(Expenses!E:E, D233)&gt;0, "Matched", "Unmatched"), IF(E233&gt;0, IF(COUNTIF(Income!F:F, E233)&gt;0, "Matched", "Unmatched"), "")))</f>
        <v/>
      </c>
    </row>
    <row r="234">
      <c r="D234" s="2"/>
      <c r="E234" s="2"/>
      <c r="F234" s="2"/>
      <c r="G234" s="3" t="str">
        <f t="shared" si="1"/>
        <v/>
      </c>
      <c r="H234" s="3" t="str">
        <f>IF(ISBLANK(A234), "", IF(D234&gt;0, IF(COUNTIF(Expenses!E:E, D234)&gt;0, "Matched", "Unmatched"), IF(E234&gt;0, IF(COUNTIF(Income!F:F, E234)&gt;0, "Matched", "Unmatched"), "")))</f>
        <v/>
      </c>
    </row>
    <row r="235">
      <c r="D235" s="2"/>
      <c r="E235" s="2"/>
      <c r="F235" s="2"/>
      <c r="G235" s="3" t="str">
        <f t="shared" si="1"/>
        <v/>
      </c>
      <c r="H235" s="3" t="str">
        <f>IF(ISBLANK(A235), "", IF(D235&gt;0, IF(COUNTIF(Expenses!E:E, D235)&gt;0, "Matched", "Unmatched"), IF(E235&gt;0, IF(COUNTIF(Income!F:F, E235)&gt;0, "Matched", "Unmatched"), "")))</f>
        <v/>
      </c>
    </row>
    <row r="236">
      <c r="D236" s="2"/>
      <c r="E236" s="2"/>
      <c r="F236" s="2"/>
      <c r="G236" s="3" t="str">
        <f t="shared" si="1"/>
        <v/>
      </c>
      <c r="H236" s="3" t="str">
        <f>IF(ISBLANK(A236), "", IF(D236&gt;0, IF(COUNTIF(Expenses!E:E, D236)&gt;0, "Matched", "Unmatched"), IF(E236&gt;0, IF(COUNTIF(Income!F:F, E236)&gt;0, "Matched", "Unmatched"), "")))</f>
        <v/>
      </c>
    </row>
    <row r="237">
      <c r="D237" s="2"/>
      <c r="E237" s="2"/>
      <c r="F237" s="2"/>
      <c r="G237" s="3" t="str">
        <f t="shared" si="1"/>
        <v/>
      </c>
      <c r="H237" s="3" t="str">
        <f>IF(ISBLANK(A237), "", IF(D237&gt;0, IF(COUNTIF(Expenses!E:E, D237)&gt;0, "Matched", "Unmatched"), IF(E237&gt;0, IF(COUNTIF(Income!F:F, E237)&gt;0, "Matched", "Unmatched"), "")))</f>
        <v/>
      </c>
    </row>
    <row r="238">
      <c r="D238" s="2"/>
      <c r="E238" s="2"/>
      <c r="F238" s="2"/>
      <c r="G238" s="3" t="str">
        <f t="shared" si="1"/>
        <v/>
      </c>
      <c r="H238" s="3" t="str">
        <f>IF(ISBLANK(A238), "", IF(D238&gt;0, IF(COUNTIF(Expenses!E:E, D238)&gt;0, "Matched", "Unmatched"), IF(E238&gt;0, IF(COUNTIF(Income!F:F, E238)&gt;0, "Matched", "Unmatched"), "")))</f>
        <v/>
      </c>
    </row>
    <row r="239">
      <c r="D239" s="2"/>
      <c r="E239" s="2"/>
      <c r="F239" s="2"/>
      <c r="G239" s="3" t="str">
        <f t="shared" si="1"/>
        <v/>
      </c>
      <c r="H239" s="3" t="str">
        <f>IF(ISBLANK(A239), "", IF(D239&gt;0, IF(COUNTIF(Expenses!E:E, D239)&gt;0, "Matched", "Unmatched"), IF(E239&gt;0, IF(COUNTIF(Income!F:F, E239)&gt;0, "Matched", "Unmatched"), "")))</f>
        <v/>
      </c>
    </row>
    <row r="240">
      <c r="D240" s="2"/>
      <c r="E240" s="2"/>
      <c r="F240" s="2"/>
      <c r="G240" s="3" t="str">
        <f t="shared" si="1"/>
        <v/>
      </c>
      <c r="H240" s="3" t="str">
        <f>IF(ISBLANK(A240), "", IF(D240&gt;0, IF(COUNTIF(Expenses!E:E, D240)&gt;0, "Matched", "Unmatched"), IF(E240&gt;0, IF(COUNTIF(Income!F:F, E240)&gt;0, "Matched", "Unmatched"), "")))</f>
        <v/>
      </c>
    </row>
    <row r="241">
      <c r="D241" s="2"/>
      <c r="E241" s="2"/>
      <c r="F241" s="2"/>
      <c r="G241" s="3" t="str">
        <f t="shared" si="1"/>
        <v/>
      </c>
      <c r="H241" s="3" t="str">
        <f>IF(ISBLANK(A241), "", IF(D241&gt;0, IF(COUNTIF(Expenses!E:E, D241)&gt;0, "Matched", "Unmatched"), IF(E241&gt;0, IF(COUNTIF(Income!F:F, E241)&gt;0, "Matched", "Unmatched"), "")))</f>
        <v/>
      </c>
    </row>
    <row r="242">
      <c r="D242" s="2"/>
      <c r="E242" s="2"/>
      <c r="F242" s="2"/>
      <c r="G242" s="3" t="str">
        <f t="shared" si="1"/>
        <v/>
      </c>
      <c r="H242" s="3" t="str">
        <f>IF(ISBLANK(A242), "", IF(D242&gt;0, IF(COUNTIF(Expenses!E:E, D242)&gt;0, "Matched", "Unmatched"), IF(E242&gt;0, IF(COUNTIF(Income!F:F, E242)&gt;0, "Matched", "Unmatched"), "")))</f>
        <v/>
      </c>
    </row>
    <row r="243">
      <c r="D243" s="2"/>
      <c r="E243" s="2"/>
      <c r="F243" s="2"/>
      <c r="G243" s="3" t="str">
        <f t="shared" si="1"/>
        <v/>
      </c>
      <c r="H243" s="3" t="str">
        <f>IF(ISBLANK(A243), "", IF(D243&gt;0, IF(COUNTIF(Expenses!E:E, D243)&gt;0, "Matched", "Unmatched"), IF(E243&gt;0, IF(COUNTIF(Income!F:F, E243)&gt;0, "Matched", "Unmatched"), "")))</f>
        <v/>
      </c>
    </row>
    <row r="244">
      <c r="D244" s="2"/>
      <c r="E244" s="2"/>
      <c r="F244" s="2"/>
      <c r="G244" s="3" t="str">
        <f t="shared" si="1"/>
        <v/>
      </c>
      <c r="H244" s="3" t="str">
        <f>IF(ISBLANK(A244), "", IF(D244&gt;0, IF(COUNTIF(Expenses!E:E, D244)&gt;0, "Matched", "Unmatched"), IF(E244&gt;0, IF(COUNTIF(Income!F:F, E244)&gt;0, "Matched", "Unmatched"), "")))</f>
        <v/>
      </c>
    </row>
    <row r="245">
      <c r="D245" s="2"/>
      <c r="E245" s="2"/>
      <c r="F245" s="2"/>
      <c r="G245" s="3" t="str">
        <f t="shared" si="1"/>
        <v/>
      </c>
      <c r="H245" s="3" t="str">
        <f>IF(ISBLANK(A245), "", IF(D245&gt;0, IF(COUNTIF(Expenses!E:E, D245)&gt;0, "Matched", "Unmatched"), IF(E245&gt;0, IF(COUNTIF(Income!F:F, E245)&gt;0, "Matched", "Unmatched"), "")))</f>
        <v/>
      </c>
    </row>
    <row r="246">
      <c r="D246" s="2"/>
      <c r="E246" s="2"/>
      <c r="F246" s="2"/>
      <c r="G246" s="3" t="str">
        <f t="shared" si="1"/>
        <v/>
      </c>
      <c r="H246" s="3" t="str">
        <f>IF(ISBLANK(A246), "", IF(D246&gt;0, IF(COUNTIF(Expenses!E:E, D246)&gt;0, "Matched", "Unmatched"), IF(E246&gt;0, IF(COUNTIF(Income!F:F, E246)&gt;0, "Matched", "Unmatched"), "")))</f>
        <v/>
      </c>
    </row>
    <row r="247">
      <c r="D247" s="2"/>
      <c r="E247" s="2"/>
      <c r="F247" s="2"/>
      <c r="G247" s="3" t="str">
        <f t="shared" si="1"/>
        <v/>
      </c>
      <c r="H247" s="3" t="str">
        <f>IF(ISBLANK(A247), "", IF(D247&gt;0, IF(COUNTIF(Expenses!E:E, D247)&gt;0, "Matched", "Unmatched"), IF(E247&gt;0, IF(COUNTIF(Income!F:F, E247)&gt;0, "Matched", "Unmatched"), "")))</f>
        <v/>
      </c>
    </row>
    <row r="248">
      <c r="D248" s="2"/>
      <c r="E248" s="2"/>
      <c r="F248" s="2"/>
      <c r="G248" s="3" t="str">
        <f t="shared" si="1"/>
        <v/>
      </c>
      <c r="H248" s="3" t="str">
        <f>IF(ISBLANK(A248), "", IF(D248&gt;0, IF(COUNTIF(Expenses!E:E, D248)&gt;0, "Matched", "Unmatched"), IF(E248&gt;0, IF(COUNTIF(Income!F:F, E248)&gt;0, "Matched", "Unmatched"), "")))</f>
        <v/>
      </c>
    </row>
    <row r="249">
      <c r="D249" s="2"/>
      <c r="E249" s="2"/>
      <c r="F249" s="2"/>
      <c r="G249" s="3" t="str">
        <f t="shared" si="1"/>
        <v/>
      </c>
      <c r="H249" s="3" t="str">
        <f>IF(ISBLANK(A249), "", IF(D249&gt;0, IF(COUNTIF(Expenses!E:E, D249)&gt;0, "Matched", "Unmatched"), IF(E249&gt;0, IF(COUNTIF(Income!F:F, E249)&gt;0, "Matched", "Unmatched"), "")))</f>
        <v/>
      </c>
    </row>
    <row r="250">
      <c r="D250" s="2"/>
      <c r="E250" s="2"/>
      <c r="F250" s="2"/>
      <c r="G250" s="3" t="str">
        <f t="shared" si="1"/>
        <v/>
      </c>
      <c r="H250" s="3" t="str">
        <f>IF(ISBLANK(A250), "", IF(D250&gt;0, IF(COUNTIF(Expenses!E:E, D250)&gt;0, "Matched", "Unmatched"), IF(E250&gt;0, IF(COUNTIF(Income!F:F, E250)&gt;0, "Matched", "Unmatched"), "")))</f>
        <v/>
      </c>
    </row>
    <row r="251">
      <c r="D251" s="2"/>
      <c r="E251" s="2"/>
      <c r="F251" s="2"/>
      <c r="G251" s="3" t="str">
        <f t="shared" si="1"/>
        <v/>
      </c>
      <c r="H251" s="3" t="str">
        <f>IF(ISBLANK(A251), "", IF(D251&gt;0, IF(COUNTIF(Expenses!E:E, D251)&gt;0, "Matched", "Unmatched"), IF(E251&gt;0, IF(COUNTIF(Income!F:F, E251)&gt;0, "Matched", "Unmatched"), "")))</f>
        <v/>
      </c>
    </row>
    <row r="252">
      <c r="D252" s="2"/>
      <c r="E252" s="2"/>
      <c r="F252" s="2"/>
      <c r="G252" s="3" t="str">
        <f t="shared" si="1"/>
        <v/>
      </c>
      <c r="H252" s="3" t="str">
        <f>IF(ISBLANK(A252), "", IF(D252&gt;0, IF(COUNTIF(Expenses!E:E, D252)&gt;0, "Matched", "Unmatched"), IF(E252&gt;0, IF(COUNTIF(Income!F:F, E252)&gt;0, "Matched", "Unmatched"), "")))</f>
        <v/>
      </c>
    </row>
    <row r="253">
      <c r="D253" s="2"/>
      <c r="E253" s="2"/>
      <c r="F253" s="2"/>
      <c r="G253" s="3" t="str">
        <f t="shared" si="1"/>
        <v/>
      </c>
      <c r="H253" s="3" t="str">
        <f>IF(ISBLANK(A253), "", IF(D253&gt;0, IF(COUNTIF(Expenses!E:E, D253)&gt;0, "Matched", "Unmatched"), IF(E253&gt;0, IF(COUNTIF(Income!F:F, E253)&gt;0, "Matched", "Unmatched"), "")))</f>
        <v/>
      </c>
    </row>
    <row r="254">
      <c r="D254" s="2"/>
      <c r="E254" s="2"/>
      <c r="F254" s="2"/>
      <c r="G254" s="3" t="str">
        <f t="shared" si="1"/>
        <v/>
      </c>
      <c r="H254" s="3" t="str">
        <f>IF(ISBLANK(A254), "", IF(D254&gt;0, IF(COUNTIF(Expenses!E:E, D254)&gt;0, "Matched", "Unmatched"), IF(E254&gt;0, IF(COUNTIF(Income!F:F, E254)&gt;0, "Matched", "Unmatched"), "")))</f>
        <v/>
      </c>
    </row>
    <row r="255">
      <c r="D255" s="2"/>
      <c r="E255" s="2"/>
      <c r="F255" s="2"/>
      <c r="G255" s="3" t="str">
        <f t="shared" si="1"/>
        <v/>
      </c>
      <c r="H255" s="3" t="str">
        <f>IF(ISBLANK(A255), "", IF(D255&gt;0, IF(COUNTIF(Expenses!E:E, D255)&gt;0, "Matched", "Unmatched"), IF(E255&gt;0, IF(COUNTIF(Income!F:F, E255)&gt;0, "Matched", "Unmatched"), "")))</f>
        <v/>
      </c>
    </row>
    <row r="256">
      <c r="D256" s="2"/>
      <c r="E256" s="2"/>
      <c r="F256" s="2"/>
      <c r="G256" s="3" t="str">
        <f t="shared" si="1"/>
        <v/>
      </c>
      <c r="H256" s="3" t="str">
        <f>IF(ISBLANK(A256), "", IF(D256&gt;0, IF(COUNTIF(Expenses!E:E, D256)&gt;0, "Matched", "Unmatched"), IF(E256&gt;0, IF(COUNTIF(Income!F:F, E256)&gt;0, "Matched", "Unmatched"), "")))</f>
        <v/>
      </c>
    </row>
    <row r="257">
      <c r="D257" s="2"/>
      <c r="E257" s="2"/>
      <c r="F257" s="2"/>
      <c r="G257" s="3" t="str">
        <f t="shared" si="1"/>
        <v/>
      </c>
      <c r="H257" s="3" t="str">
        <f>IF(ISBLANK(A257), "", IF(D257&gt;0, IF(COUNTIF(Expenses!E:E, D257)&gt;0, "Matched", "Unmatched"), IF(E257&gt;0, IF(COUNTIF(Income!F:F, E257)&gt;0, "Matched", "Unmatched"), "")))</f>
        <v/>
      </c>
    </row>
    <row r="258">
      <c r="D258" s="2"/>
      <c r="E258" s="2"/>
      <c r="F258" s="2"/>
      <c r="G258" s="3" t="str">
        <f t="shared" si="1"/>
        <v/>
      </c>
      <c r="H258" s="3" t="str">
        <f>IF(ISBLANK(A258), "", IF(D258&gt;0, IF(COUNTIF(Expenses!E:E, D258)&gt;0, "Matched", "Unmatched"), IF(E258&gt;0, IF(COUNTIF(Income!F:F, E258)&gt;0, "Matched", "Unmatched"), "")))</f>
        <v/>
      </c>
    </row>
    <row r="259">
      <c r="D259" s="2"/>
      <c r="E259" s="2"/>
      <c r="F259" s="2"/>
      <c r="G259" s="3" t="str">
        <f t="shared" si="1"/>
        <v/>
      </c>
      <c r="H259" s="3" t="str">
        <f>IF(ISBLANK(A259), "", IF(D259&gt;0, IF(COUNTIF(Expenses!E:E, D259)&gt;0, "Matched", "Unmatched"), IF(E259&gt;0, IF(COUNTIF(Income!F:F, E259)&gt;0, "Matched", "Unmatched"), "")))</f>
        <v/>
      </c>
    </row>
    <row r="260">
      <c r="D260" s="2"/>
      <c r="E260" s="2"/>
      <c r="F260" s="2"/>
      <c r="G260" s="3" t="str">
        <f t="shared" si="1"/>
        <v/>
      </c>
      <c r="H260" s="3" t="str">
        <f>IF(ISBLANK(A260), "", IF(D260&gt;0, IF(COUNTIF(Expenses!E:E, D260)&gt;0, "Matched", "Unmatched"), IF(E260&gt;0, IF(COUNTIF(Income!F:F, E260)&gt;0, "Matched", "Unmatched"), "")))</f>
        <v/>
      </c>
    </row>
    <row r="261">
      <c r="D261" s="2"/>
      <c r="E261" s="2"/>
      <c r="F261" s="2"/>
      <c r="G261" s="3" t="str">
        <f t="shared" si="1"/>
        <v/>
      </c>
      <c r="H261" s="3" t="str">
        <f>IF(ISBLANK(A261), "", IF(D261&gt;0, IF(COUNTIF(Expenses!E:E, D261)&gt;0, "Matched", "Unmatched"), IF(E261&gt;0, IF(COUNTIF(Income!F:F, E261)&gt;0, "Matched", "Unmatched"), "")))</f>
        <v/>
      </c>
    </row>
    <row r="262">
      <c r="D262" s="2"/>
      <c r="E262" s="2"/>
      <c r="F262" s="2"/>
      <c r="G262" s="3" t="str">
        <f t="shared" si="1"/>
        <v/>
      </c>
      <c r="H262" s="3" t="str">
        <f>IF(ISBLANK(A262), "", IF(D262&gt;0, IF(COUNTIF(Expenses!E:E, D262)&gt;0, "Matched", "Unmatched"), IF(E262&gt;0, IF(COUNTIF(Income!F:F, E262)&gt;0, "Matched", "Unmatched"), "")))</f>
        <v/>
      </c>
    </row>
    <row r="263">
      <c r="D263" s="2"/>
      <c r="E263" s="2"/>
      <c r="F263" s="2"/>
      <c r="G263" s="3" t="str">
        <f t="shared" si="1"/>
        <v/>
      </c>
      <c r="H263" s="3" t="str">
        <f>IF(ISBLANK(A263), "", IF(D263&gt;0, IF(COUNTIF(Expenses!E:E, D263)&gt;0, "Matched", "Unmatched"), IF(E263&gt;0, IF(COUNTIF(Income!F:F, E263)&gt;0, "Matched", "Unmatched"), "")))</f>
        <v/>
      </c>
    </row>
    <row r="264">
      <c r="D264" s="2"/>
      <c r="E264" s="2"/>
      <c r="F264" s="2"/>
      <c r="G264" s="3" t="str">
        <f t="shared" si="1"/>
        <v/>
      </c>
      <c r="H264" s="3" t="str">
        <f>IF(ISBLANK(A264), "", IF(D264&gt;0, IF(COUNTIF(Expenses!E:E, D264)&gt;0, "Matched", "Unmatched"), IF(E264&gt;0, IF(COUNTIF(Income!F:F, E264)&gt;0, "Matched", "Unmatched"), "")))</f>
        <v/>
      </c>
    </row>
    <row r="265">
      <c r="D265" s="2"/>
      <c r="E265" s="2"/>
      <c r="F265" s="2"/>
      <c r="G265" s="3" t="str">
        <f t="shared" si="1"/>
        <v/>
      </c>
      <c r="H265" s="3" t="str">
        <f>IF(ISBLANK(A265), "", IF(D265&gt;0, IF(COUNTIF(Expenses!E:E, D265)&gt;0, "Matched", "Unmatched"), IF(E265&gt;0, IF(COUNTIF(Income!F:F, E265)&gt;0, "Matched", "Unmatched"), "")))</f>
        <v/>
      </c>
    </row>
    <row r="266">
      <c r="D266" s="2"/>
      <c r="E266" s="2"/>
      <c r="F266" s="2"/>
      <c r="G266" s="3" t="str">
        <f t="shared" si="1"/>
        <v/>
      </c>
      <c r="H266" s="3" t="str">
        <f>IF(ISBLANK(A266), "", IF(D266&gt;0, IF(COUNTIF(Expenses!E:E, D266)&gt;0, "Matched", "Unmatched"), IF(E266&gt;0, IF(COUNTIF(Income!F:F, E266)&gt;0, "Matched", "Unmatched"), "")))</f>
        <v/>
      </c>
    </row>
    <row r="267">
      <c r="D267" s="2"/>
      <c r="E267" s="2"/>
      <c r="F267" s="2"/>
      <c r="G267" s="3" t="str">
        <f t="shared" si="1"/>
        <v/>
      </c>
      <c r="H267" s="3" t="str">
        <f>IF(ISBLANK(A267), "", IF(D267&gt;0, IF(COUNTIF(Expenses!E:E, D267)&gt;0, "Matched", "Unmatched"), IF(E267&gt;0, IF(COUNTIF(Income!F:F, E267)&gt;0, "Matched", "Unmatched"), "")))</f>
        <v/>
      </c>
    </row>
    <row r="268">
      <c r="D268" s="2"/>
      <c r="E268" s="2"/>
      <c r="F268" s="2"/>
      <c r="G268" s="3" t="str">
        <f t="shared" si="1"/>
        <v/>
      </c>
      <c r="H268" s="3" t="str">
        <f>IF(ISBLANK(A268), "", IF(D268&gt;0, IF(COUNTIF(Expenses!E:E, D268)&gt;0, "Matched", "Unmatched"), IF(E268&gt;0, IF(COUNTIF(Income!F:F, E268)&gt;0, "Matched", "Unmatched"), "")))</f>
        <v/>
      </c>
    </row>
    <row r="269">
      <c r="D269" s="2"/>
      <c r="E269" s="2"/>
      <c r="F269" s="2"/>
      <c r="G269" s="3" t="str">
        <f t="shared" si="1"/>
        <v/>
      </c>
      <c r="H269" s="3" t="str">
        <f>IF(ISBLANK(A269), "", IF(D269&gt;0, IF(COUNTIF(Expenses!E:E, D269)&gt;0, "Matched", "Unmatched"), IF(E269&gt;0, IF(COUNTIF(Income!F:F, E269)&gt;0, "Matched", "Unmatched"), "")))</f>
        <v/>
      </c>
    </row>
    <row r="270">
      <c r="D270" s="2"/>
      <c r="E270" s="2"/>
      <c r="F270" s="2"/>
      <c r="G270" s="3" t="str">
        <f t="shared" si="1"/>
        <v/>
      </c>
      <c r="H270" s="3" t="str">
        <f>IF(ISBLANK(A270), "", IF(D270&gt;0, IF(COUNTIF(Expenses!E:E, D270)&gt;0, "Matched", "Unmatched"), IF(E270&gt;0, IF(COUNTIF(Income!F:F, E270)&gt;0, "Matched", "Unmatched"), "")))</f>
        <v/>
      </c>
    </row>
    <row r="271">
      <c r="D271" s="2"/>
      <c r="E271" s="2"/>
      <c r="F271" s="2"/>
      <c r="G271" s="3" t="str">
        <f t="shared" si="1"/>
        <v/>
      </c>
      <c r="H271" s="3" t="str">
        <f>IF(ISBLANK(A271), "", IF(D271&gt;0, IF(COUNTIF(Expenses!E:E, D271)&gt;0, "Matched", "Unmatched"), IF(E271&gt;0, IF(COUNTIF(Income!F:F, E271)&gt;0, "Matched", "Unmatched"), "")))</f>
        <v/>
      </c>
    </row>
    <row r="272">
      <c r="D272" s="2"/>
      <c r="E272" s="2"/>
      <c r="F272" s="2"/>
      <c r="G272" s="3" t="str">
        <f t="shared" si="1"/>
        <v/>
      </c>
      <c r="H272" s="3" t="str">
        <f>IF(ISBLANK(A272), "", IF(D272&gt;0, IF(COUNTIF(Expenses!E:E, D272)&gt;0, "Matched", "Unmatched"), IF(E272&gt;0, IF(COUNTIF(Income!F:F, E272)&gt;0, "Matched", "Unmatched"), "")))</f>
        <v/>
      </c>
    </row>
    <row r="273">
      <c r="D273" s="2"/>
      <c r="E273" s="2"/>
      <c r="F273" s="2"/>
      <c r="G273" s="3" t="str">
        <f t="shared" si="1"/>
        <v/>
      </c>
      <c r="H273" s="3" t="str">
        <f>IF(ISBLANK(A273), "", IF(D273&gt;0, IF(COUNTIF(Expenses!E:E, D273)&gt;0, "Matched", "Unmatched"), IF(E273&gt;0, IF(COUNTIF(Income!F:F, E273)&gt;0, "Matched", "Unmatched"), "")))</f>
        <v/>
      </c>
    </row>
    <row r="274">
      <c r="D274" s="2"/>
      <c r="E274" s="2"/>
      <c r="F274" s="2"/>
      <c r="G274" s="3" t="str">
        <f t="shared" si="1"/>
        <v/>
      </c>
      <c r="H274" s="3" t="str">
        <f>IF(ISBLANK(A274), "", IF(D274&gt;0, IF(COUNTIF(Expenses!E:E, D274)&gt;0, "Matched", "Unmatched"), IF(E274&gt;0, IF(COUNTIF(Income!F:F, E274)&gt;0, "Matched", "Unmatched"), "")))</f>
        <v/>
      </c>
    </row>
    <row r="275">
      <c r="D275" s="2"/>
      <c r="E275" s="2"/>
      <c r="F275" s="2"/>
      <c r="G275" s="3" t="str">
        <f t="shared" si="1"/>
        <v/>
      </c>
      <c r="H275" s="3" t="str">
        <f>IF(ISBLANK(A275), "", IF(D275&gt;0, IF(COUNTIF(Expenses!E:E, D275)&gt;0, "Matched", "Unmatched"), IF(E275&gt;0, IF(COUNTIF(Income!F:F, E275)&gt;0, "Matched", "Unmatched"), "")))</f>
        <v/>
      </c>
    </row>
    <row r="276">
      <c r="D276" s="2"/>
      <c r="E276" s="2"/>
      <c r="F276" s="2"/>
      <c r="G276" s="3" t="str">
        <f t="shared" si="1"/>
        <v/>
      </c>
      <c r="H276" s="3" t="str">
        <f>IF(ISBLANK(A276), "", IF(D276&gt;0, IF(COUNTIF(Expenses!E:E, D276)&gt;0, "Matched", "Unmatched"), IF(E276&gt;0, IF(COUNTIF(Income!F:F, E276)&gt;0, "Matched", "Unmatched"), "")))</f>
        <v/>
      </c>
    </row>
    <row r="277">
      <c r="D277" s="2"/>
      <c r="E277" s="2"/>
      <c r="F277" s="2"/>
      <c r="G277" s="3" t="str">
        <f t="shared" si="1"/>
        <v/>
      </c>
      <c r="H277" s="3" t="str">
        <f>IF(ISBLANK(A277), "", IF(D277&gt;0, IF(COUNTIF(Expenses!E:E, D277)&gt;0, "Matched", "Unmatched"), IF(E277&gt;0, IF(COUNTIF(Income!F:F, E277)&gt;0, "Matched", "Unmatched"), "")))</f>
        <v/>
      </c>
    </row>
    <row r="278">
      <c r="D278" s="2"/>
      <c r="E278" s="2"/>
      <c r="F278" s="2"/>
      <c r="G278" s="3" t="str">
        <f t="shared" si="1"/>
        <v/>
      </c>
      <c r="H278" s="3" t="str">
        <f>IF(ISBLANK(A278), "", IF(D278&gt;0, IF(COUNTIF(Expenses!E:E, D278)&gt;0, "Matched", "Unmatched"), IF(E278&gt;0, IF(COUNTIF(Income!F:F, E278)&gt;0, "Matched", "Unmatched"), "")))</f>
        <v/>
      </c>
    </row>
    <row r="279">
      <c r="D279" s="2"/>
      <c r="E279" s="2"/>
      <c r="F279" s="2"/>
      <c r="G279" s="3" t="str">
        <f t="shared" si="1"/>
        <v/>
      </c>
      <c r="H279" s="3" t="str">
        <f>IF(ISBLANK(A279), "", IF(D279&gt;0, IF(COUNTIF(Expenses!E:E, D279)&gt;0, "Matched", "Unmatched"), IF(E279&gt;0, IF(COUNTIF(Income!F:F, E279)&gt;0, "Matched", "Unmatched"), "")))</f>
        <v/>
      </c>
    </row>
    <row r="280">
      <c r="D280" s="2"/>
      <c r="E280" s="2"/>
      <c r="F280" s="2"/>
      <c r="G280" s="3" t="str">
        <f t="shared" si="1"/>
        <v/>
      </c>
      <c r="H280" s="3" t="str">
        <f>IF(ISBLANK(A280), "", IF(D280&gt;0, IF(COUNTIF(Expenses!E:E, D280)&gt;0, "Matched", "Unmatched"), IF(E280&gt;0, IF(COUNTIF(Income!F:F, E280)&gt;0, "Matched", "Unmatched"), "")))</f>
        <v/>
      </c>
    </row>
    <row r="281">
      <c r="D281" s="2"/>
      <c r="E281" s="2"/>
      <c r="F281" s="2"/>
      <c r="G281" s="3" t="str">
        <f t="shared" si="1"/>
        <v/>
      </c>
      <c r="H281" s="3" t="str">
        <f>IF(ISBLANK(A281), "", IF(D281&gt;0, IF(COUNTIF(Expenses!E:E, D281)&gt;0, "Matched", "Unmatched"), IF(E281&gt;0, IF(COUNTIF(Income!F:F, E281)&gt;0, "Matched", "Unmatched"), "")))</f>
        <v/>
      </c>
    </row>
    <row r="282">
      <c r="D282" s="2"/>
      <c r="E282" s="2"/>
      <c r="F282" s="2"/>
      <c r="G282" s="3" t="str">
        <f t="shared" si="1"/>
        <v/>
      </c>
      <c r="H282" s="3" t="str">
        <f>IF(ISBLANK(A282), "", IF(D282&gt;0, IF(COUNTIF(Expenses!E:E, D282)&gt;0, "Matched", "Unmatched"), IF(E282&gt;0, IF(COUNTIF(Income!F:F, E282)&gt;0, "Matched", "Unmatched"), "")))</f>
        <v/>
      </c>
    </row>
    <row r="283">
      <c r="D283" s="2"/>
      <c r="E283" s="2"/>
      <c r="F283" s="2"/>
      <c r="G283" s="3" t="str">
        <f t="shared" si="1"/>
        <v/>
      </c>
      <c r="H283" s="3" t="str">
        <f>IF(ISBLANK(A283), "", IF(D283&gt;0, IF(COUNTIF(Expenses!E:E, D283)&gt;0, "Matched", "Unmatched"), IF(E283&gt;0, IF(COUNTIF(Income!F:F, E283)&gt;0, "Matched", "Unmatched"), "")))</f>
        <v/>
      </c>
    </row>
    <row r="284">
      <c r="D284" s="2"/>
      <c r="E284" s="2"/>
      <c r="F284" s="2"/>
      <c r="G284" s="3" t="str">
        <f t="shared" si="1"/>
        <v/>
      </c>
      <c r="H284" s="3" t="str">
        <f>IF(ISBLANK(A284), "", IF(D284&gt;0, IF(COUNTIF(Expenses!E:E, D284)&gt;0, "Matched", "Unmatched"), IF(E284&gt;0, IF(COUNTIF(Income!F:F, E284)&gt;0, "Matched", "Unmatched"), "")))</f>
        <v/>
      </c>
    </row>
    <row r="285">
      <c r="D285" s="2"/>
      <c r="E285" s="2"/>
      <c r="F285" s="2"/>
      <c r="G285" s="3" t="str">
        <f t="shared" si="1"/>
        <v/>
      </c>
      <c r="H285" s="3" t="str">
        <f>IF(ISBLANK(A285), "", IF(D285&gt;0, IF(COUNTIF(Expenses!E:E, D285)&gt;0, "Matched", "Unmatched"), IF(E285&gt;0, IF(COUNTIF(Income!F:F, E285)&gt;0, "Matched", "Unmatched"), "")))</f>
        <v/>
      </c>
    </row>
    <row r="286">
      <c r="D286" s="2"/>
      <c r="E286" s="2"/>
      <c r="F286" s="2"/>
      <c r="G286" s="3" t="str">
        <f t="shared" si="1"/>
        <v/>
      </c>
      <c r="H286" s="3" t="str">
        <f>IF(ISBLANK(A286), "", IF(D286&gt;0, IF(COUNTIF(Expenses!E:E, D286)&gt;0, "Matched", "Unmatched"), IF(E286&gt;0, IF(COUNTIF(Income!F:F, E286)&gt;0, "Matched", "Unmatched"), "")))</f>
        <v/>
      </c>
    </row>
    <row r="287">
      <c r="D287" s="2"/>
      <c r="E287" s="2"/>
      <c r="F287" s="2"/>
      <c r="G287" s="3" t="str">
        <f t="shared" si="1"/>
        <v/>
      </c>
      <c r="H287" s="3" t="str">
        <f>IF(ISBLANK(A287), "", IF(D287&gt;0, IF(COUNTIF(Expenses!E:E, D287)&gt;0, "Matched", "Unmatched"), IF(E287&gt;0, IF(COUNTIF(Income!F:F, E287)&gt;0, "Matched", "Unmatched"), "")))</f>
        <v/>
      </c>
    </row>
    <row r="288">
      <c r="D288" s="2"/>
      <c r="E288" s="2"/>
      <c r="F288" s="2"/>
      <c r="G288" s="3" t="str">
        <f t="shared" si="1"/>
        <v/>
      </c>
      <c r="H288" s="3" t="str">
        <f>IF(ISBLANK(A288), "", IF(D288&gt;0, IF(COUNTIF(Expenses!E:E, D288)&gt;0, "Matched", "Unmatched"), IF(E288&gt;0, IF(COUNTIF(Income!F:F, E288)&gt;0, "Matched", "Unmatched"), "")))</f>
        <v/>
      </c>
    </row>
    <row r="289">
      <c r="D289" s="2"/>
      <c r="E289" s="2"/>
      <c r="F289" s="2"/>
      <c r="G289" s="3" t="str">
        <f t="shared" si="1"/>
        <v/>
      </c>
      <c r="H289" s="3" t="str">
        <f>IF(ISBLANK(A289), "", IF(D289&gt;0, IF(COUNTIF(Expenses!E:E, D289)&gt;0, "Matched", "Unmatched"), IF(E289&gt;0, IF(COUNTIF(Income!F:F, E289)&gt;0, "Matched", "Unmatched"), "")))</f>
        <v/>
      </c>
    </row>
    <row r="290">
      <c r="D290" s="2"/>
      <c r="E290" s="2"/>
      <c r="F290" s="2"/>
      <c r="G290" s="3" t="str">
        <f t="shared" si="1"/>
        <v/>
      </c>
      <c r="H290" s="3" t="str">
        <f>IF(ISBLANK(A290), "", IF(D290&gt;0, IF(COUNTIF(Expenses!E:E, D290)&gt;0, "Matched", "Unmatched"), IF(E290&gt;0, IF(COUNTIF(Income!F:F, E290)&gt;0, "Matched", "Unmatched"), "")))</f>
        <v/>
      </c>
    </row>
    <row r="291">
      <c r="D291" s="2"/>
      <c r="E291" s="2"/>
      <c r="F291" s="2"/>
      <c r="G291" s="3" t="str">
        <f t="shared" si="1"/>
        <v/>
      </c>
      <c r="H291" s="3" t="str">
        <f>IF(ISBLANK(A291), "", IF(D291&gt;0, IF(COUNTIF(Expenses!E:E, D291)&gt;0, "Matched", "Unmatched"), IF(E291&gt;0, IF(COUNTIF(Income!F:F, E291)&gt;0, "Matched", "Unmatched"), "")))</f>
        <v/>
      </c>
    </row>
    <row r="292">
      <c r="D292" s="2"/>
      <c r="E292" s="2"/>
      <c r="F292" s="2"/>
      <c r="G292" s="3" t="str">
        <f t="shared" si="1"/>
        <v/>
      </c>
      <c r="H292" s="3" t="str">
        <f>IF(ISBLANK(A292), "", IF(D292&gt;0, IF(COUNTIF(Expenses!E:E, D292)&gt;0, "Matched", "Unmatched"), IF(E292&gt;0, IF(COUNTIF(Income!F:F, E292)&gt;0, "Matched", "Unmatched"), "")))</f>
        <v/>
      </c>
    </row>
    <row r="293">
      <c r="D293" s="2"/>
      <c r="E293" s="2"/>
      <c r="F293" s="2"/>
      <c r="G293" s="3" t="str">
        <f t="shared" si="1"/>
        <v/>
      </c>
      <c r="H293" s="3" t="str">
        <f>IF(ISBLANK(A293), "", IF(D293&gt;0, IF(COUNTIF(Expenses!E:E, D293)&gt;0, "Matched", "Unmatched"), IF(E293&gt;0, IF(COUNTIF(Income!F:F, E293)&gt;0, "Matched", "Unmatched"), "")))</f>
        <v/>
      </c>
    </row>
    <row r="294">
      <c r="D294" s="2"/>
      <c r="E294" s="2"/>
      <c r="F294" s="2"/>
      <c r="G294" s="3" t="str">
        <f t="shared" si="1"/>
        <v/>
      </c>
      <c r="H294" s="3" t="str">
        <f>IF(ISBLANK(A294), "", IF(D294&gt;0, IF(COUNTIF(Expenses!E:E, D294)&gt;0, "Matched", "Unmatched"), IF(E294&gt;0, IF(COUNTIF(Income!F:F, E294)&gt;0, "Matched", "Unmatched"), "")))</f>
        <v/>
      </c>
    </row>
    <row r="295">
      <c r="D295" s="2"/>
      <c r="E295" s="2"/>
      <c r="F295" s="2"/>
      <c r="G295" s="3" t="str">
        <f t="shared" si="1"/>
        <v/>
      </c>
      <c r="H295" s="3" t="str">
        <f>IF(ISBLANK(A295), "", IF(D295&gt;0, IF(COUNTIF(Expenses!E:E, D295)&gt;0, "Matched", "Unmatched"), IF(E295&gt;0, IF(COUNTIF(Income!F:F, E295)&gt;0, "Matched", "Unmatched"), "")))</f>
        <v/>
      </c>
    </row>
    <row r="296">
      <c r="D296" s="2"/>
      <c r="E296" s="2"/>
      <c r="F296" s="2"/>
      <c r="G296" s="3" t="str">
        <f t="shared" si="1"/>
        <v/>
      </c>
      <c r="H296" s="3" t="str">
        <f>IF(ISBLANK(A296), "", IF(D296&gt;0, IF(COUNTIF(Expenses!E:E, D296)&gt;0, "Matched", "Unmatched"), IF(E296&gt;0, IF(COUNTIF(Income!F:F, E296)&gt;0, "Matched", "Unmatched"), "")))</f>
        <v/>
      </c>
    </row>
    <row r="297">
      <c r="D297" s="2"/>
      <c r="E297" s="2"/>
      <c r="F297" s="2"/>
      <c r="G297" s="3" t="str">
        <f t="shared" si="1"/>
        <v/>
      </c>
      <c r="H297" s="3" t="str">
        <f>IF(ISBLANK(A297), "", IF(D297&gt;0, IF(COUNTIF(Expenses!E:E, D297)&gt;0, "Matched", "Unmatched"), IF(E297&gt;0, IF(COUNTIF(Income!F:F, E297)&gt;0, "Matched", "Unmatched"), "")))</f>
        <v/>
      </c>
    </row>
    <row r="298">
      <c r="D298" s="2"/>
      <c r="E298" s="2"/>
      <c r="F298" s="2"/>
      <c r="G298" s="3" t="str">
        <f t="shared" si="1"/>
        <v/>
      </c>
      <c r="H298" s="3" t="str">
        <f>IF(ISBLANK(A298), "", IF(D298&gt;0, IF(COUNTIF(Expenses!E:E, D298)&gt;0, "Matched", "Unmatched"), IF(E298&gt;0, IF(COUNTIF(Income!F:F, E298)&gt;0, "Matched", "Unmatched"), "")))</f>
        <v/>
      </c>
    </row>
    <row r="299">
      <c r="D299" s="2"/>
      <c r="E299" s="2"/>
      <c r="F299" s="2"/>
      <c r="G299" s="3" t="str">
        <f t="shared" si="1"/>
        <v/>
      </c>
      <c r="H299" s="3" t="str">
        <f>IF(ISBLANK(A299), "", IF(D299&gt;0, IF(COUNTIF(Expenses!E:E, D299)&gt;0, "Matched", "Unmatched"), IF(E299&gt;0, IF(COUNTIF(Income!F:F, E299)&gt;0, "Matched", "Unmatched"), "")))</f>
        <v/>
      </c>
    </row>
    <row r="300">
      <c r="D300" s="2"/>
      <c r="E300" s="2"/>
      <c r="F300" s="2"/>
      <c r="G300" s="3" t="str">
        <f t="shared" si="1"/>
        <v/>
      </c>
      <c r="H300" s="3" t="str">
        <f>IF(ISBLANK(A300), "", IF(D300&gt;0, IF(COUNTIF(Expenses!E:E, D300)&gt;0, "Matched", "Unmatched"), IF(E300&gt;0, IF(COUNTIF(Income!F:F, E300)&gt;0, "Matched", "Unmatched"), "")))</f>
        <v/>
      </c>
    </row>
    <row r="301">
      <c r="D301" s="2"/>
      <c r="E301" s="2"/>
      <c r="F301" s="2"/>
      <c r="G301" s="3" t="str">
        <f t="shared" si="1"/>
        <v/>
      </c>
      <c r="H301" s="3" t="str">
        <f>IF(ISBLANK(A301), "", IF(D301&gt;0, IF(COUNTIF(Expenses!E:E, D301)&gt;0, "Matched", "Unmatched"), IF(E301&gt;0, IF(COUNTIF(Income!F:F, E301)&gt;0, "Matched", "Unmatched"), "")))</f>
        <v/>
      </c>
    </row>
    <row r="302">
      <c r="D302" s="2"/>
      <c r="E302" s="2"/>
      <c r="F302" s="2"/>
      <c r="G302" s="3" t="str">
        <f t="shared" si="1"/>
        <v/>
      </c>
      <c r="H302" s="3" t="str">
        <f>IF(ISBLANK(A302), "", IF(D302&gt;0, IF(COUNTIF(Expenses!E:E, D302)&gt;0, "Matched", "Unmatched"), IF(E302&gt;0, IF(COUNTIF(Income!F:F, E302)&gt;0, "Matched", "Unmatched"), "")))</f>
        <v/>
      </c>
    </row>
    <row r="303">
      <c r="D303" s="2"/>
      <c r="E303" s="2"/>
      <c r="F303" s="2"/>
      <c r="G303" s="3" t="str">
        <f t="shared" si="1"/>
        <v/>
      </c>
      <c r="H303" s="3" t="str">
        <f>IF(ISBLANK(A303), "", IF(D303&gt;0, IF(COUNTIF(Expenses!E:E, D303)&gt;0, "Matched", "Unmatched"), IF(E303&gt;0, IF(COUNTIF(Income!F:F, E303)&gt;0, "Matched", "Unmatched"), "")))</f>
        <v/>
      </c>
    </row>
    <row r="304">
      <c r="D304" s="2"/>
      <c r="E304" s="2"/>
      <c r="F304" s="2"/>
      <c r="G304" s="3" t="str">
        <f t="shared" si="1"/>
        <v/>
      </c>
      <c r="H304" s="3" t="str">
        <f>IF(ISBLANK(A304), "", IF(D304&gt;0, IF(COUNTIF(Expenses!E:E, D304)&gt;0, "Matched", "Unmatched"), IF(E304&gt;0, IF(COUNTIF(Income!F:F, E304)&gt;0, "Matched", "Unmatched"), "")))</f>
        <v/>
      </c>
    </row>
    <row r="305">
      <c r="D305" s="2"/>
      <c r="E305" s="2"/>
      <c r="F305" s="2"/>
      <c r="G305" s="3" t="str">
        <f t="shared" si="1"/>
        <v/>
      </c>
      <c r="H305" s="3" t="str">
        <f>IF(ISBLANK(A305), "", IF(D305&gt;0, IF(COUNTIF(Expenses!E:E, D305)&gt;0, "Matched", "Unmatched"), IF(E305&gt;0, IF(COUNTIF(Income!F:F, E305)&gt;0, "Matched", "Unmatched"), "")))</f>
        <v/>
      </c>
    </row>
    <row r="306">
      <c r="D306" s="2"/>
      <c r="E306" s="2"/>
      <c r="F306" s="2"/>
      <c r="G306" s="3" t="str">
        <f t="shared" si="1"/>
        <v/>
      </c>
      <c r="H306" s="3" t="str">
        <f>IF(ISBLANK(A306), "", IF(D306&gt;0, IF(COUNTIF(Expenses!E:E, D306)&gt;0, "Matched", "Unmatched"), IF(E306&gt;0, IF(COUNTIF(Income!F:F, E306)&gt;0, "Matched", "Unmatched"), "")))</f>
        <v/>
      </c>
    </row>
    <row r="307">
      <c r="D307" s="2"/>
      <c r="E307" s="2"/>
      <c r="F307" s="2"/>
      <c r="G307" s="3" t="str">
        <f t="shared" si="1"/>
        <v/>
      </c>
      <c r="H307" s="3" t="str">
        <f>IF(ISBLANK(A307), "", IF(D307&gt;0, IF(COUNTIF(Expenses!E:E, D307)&gt;0, "Matched", "Unmatched"), IF(E307&gt;0, IF(COUNTIF(Income!F:F, E307)&gt;0, "Matched", "Unmatched"), "")))</f>
        <v/>
      </c>
    </row>
    <row r="308">
      <c r="D308" s="2"/>
      <c r="E308" s="2"/>
      <c r="F308" s="2"/>
      <c r="G308" s="3" t="str">
        <f t="shared" si="1"/>
        <v/>
      </c>
      <c r="H308" s="3" t="str">
        <f>IF(ISBLANK(A308), "", IF(D308&gt;0, IF(COUNTIF(Expenses!E:E, D308)&gt;0, "Matched", "Unmatched"), IF(E308&gt;0, IF(COUNTIF(Income!F:F, E308)&gt;0, "Matched", "Unmatched"), "")))</f>
        <v/>
      </c>
    </row>
    <row r="309">
      <c r="D309" s="2"/>
      <c r="E309" s="2"/>
      <c r="F309" s="2"/>
      <c r="G309" s="3" t="str">
        <f t="shared" si="1"/>
        <v/>
      </c>
      <c r="H309" s="3" t="str">
        <f>IF(ISBLANK(A309), "", IF(D309&gt;0, IF(COUNTIF(Expenses!E:E, D309)&gt;0, "Matched", "Unmatched"), IF(E309&gt;0, IF(COUNTIF(Income!F:F, E309)&gt;0, "Matched", "Unmatched"), "")))</f>
        <v/>
      </c>
    </row>
    <row r="310">
      <c r="D310" s="2"/>
      <c r="E310" s="2"/>
      <c r="F310" s="2"/>
      <c r="G310" s="3" t="str">
        <f t="shared" si="1"/>
        <v/>
      </c>
      <c r="H310" s="3" t="str">
        <f>IF(ISBLANK(A310), "", IF(D310&gt;0, IF(COUNTIF(Expenses!E:E, D310)&gt;0, "Matched", "Unmatched"), IF(E310&gt;0, IF(COUNTIF(Income!F:F, E310)&gt;0, "Matched", "Unmatched"), "")))</f>
        <v/>
      </c>
    </row>
    <row r="311">
      <c r="D311" s="2"/>
      <c r="E311" s="2"/>
      <c r="F311" s="2"/>
      <c r="G311" s="3" t="str">
        <f t="shared" si="1"/>
        <v/>
      </c>
      <c r="H311" s="3" t="str">
        <f>IF(ISBLANK(A311), "", IF(D311&gt;0, IF(COUNTIF(Expenses!E:E, D311)&gt;0, "Matched", "Unmatched"), IF(E311&gt;0, IF(COUNTIF(Income!F:F, E311)&gt;0, "Matched", "Unmatched"), "")))</f>
        <v/>
      </c>
    </row>
    <row r="312">
      <c r="D312" s="2"/>
      <c r="E312" s="2"/>
      <c r="F312" s="2"/>
      <c r="G312" s="3" t="str">
        <f t="shared" si="1"/>
        <v/>
      </c>
      <c r="H312" s="3" t="str">
        <f>IF(ISBLANK(A312), "", IF(D312&gt;0, IF(COUNTIF(Expenses!E:E, D312)&gt;0, "Matched", "Unmatched"), IF(E312&gt;0, IF(COUNTIF(Income!F:F, E312)&gt;0, "Matched", "Unmatched"), "")))</f>
        <v/>
      </c>
    </row>
    <row r="313">
      <c r="D313" s="2"/>
      <c r="E313" s="2"/>
      <c r="F313" s="2"/>
      <c r="G313" s="3" t="str">
        <f t="shared" si="1"/>
        <v/>
      </c>
      <c r="H313" s="3" t="str">
        <f>IF(ISBLANK(A313), "", IF(D313&gt;0, IF(COUNTIF(Expenses!E:E, D313)&gt;0, "Matched", "Unmatched"), IF(E313&gt;0, IF(COUNTIF(Income!F:F, E313)&gt;0, "Matched", "Unmatched"), "")))</f>
        <v/>
      </c>
    </row>
    <row r="314">
      <c r="D314" s="2"/>
      <c r="E314" s="2"/>
      <c r="F314" s="2"/>
      <c r="G314" s="3" t="str">
        <f t="shared" si="1"/>
        <v/>
      </c>
      <c r="H314" s="3" t="str">
        <f>IF(ISBLANK(A314), "", IF(D314&gt;0, IF(COUNTIF(Expenses!E:E, D314)&gt;0, "Matched", "Unmatched"), IF(E314&gt;0, IF(COUNTIF(Income!F:F, E314)&gt;0, "Matched", "Unmatched"), "")))</f>
        <v/>
      </c>
    </row>
    <row r="315">
      <c r="D315" s="2"/>
      <c r="E315" s="2"/>
      <c r="F315" s="2"/>
      <c r="G315" s="3" t="str">
        <f t="shared" si="1"/>
        <v/>
      </c>
      <c r="H315" s="3" t="str">
        <f>IF(ISBLANK(A315), "", IF(D315&gt;0, IF(COUNTIF(Expenses!E:E, D315)&gt;0, "Matched", "Unmatched"), IF(E315&gt;0, IF(COUNTIF(Income!F:F, E315)&gt;0, "Matched", "Unmatched"), "")))</f>
        <v/>
      </c>
    </row>
    <row r="316">
      <c r="D316" s="2"/>
      <c r="E316" s="2"/>
      <c r="F316" s="2"/>
      <c r="G316" s="3" t="str">
        <f t="shared" si="1"/>
        <v/>
      </c>
      <c r="H316" s="3" t="str">
        <f>IF(ISBLANK(A316), "", IF(D316&gt;0, IF(COUNTIF(Expenses!E:E, D316)&gt;0, "Matched", "Unmatched"), IF(E316&gt;0, IF(COUNTIF(Income!F:F, E316)&gt;0, "Matched", "Unmatched"), "")))</f>
        <v/>
      </c>
    </row>
    <row r="317">
      <c r="D317" s="2"/>
      <c r="E317" s="2"/>
      <c r="F317" s="2"/>
      <c r="G317" s="3" t="str">
        <f t="shared" si="1"/>
        <v/>
      </c>
      <c r="H317" s="3" t="str">
        <f>IF(ISBLANK(A317), "", IF(D317&gt;0, IF(COUNTIF(Expenses!E:E, D317)&gt;0, "Matched", "Unmatched"), IF(E317&gt;0, IF(COUNTIF(Income!F:F, E317)&gt;0, "Matched", "Unmatched"), "")))</f>
        <v/>
      </c>
    </row>
    <row r="318">
      <c r="D318" s="2"/>
      <c r="E318" s="2"/>
      <c r="F318" s="2"/>
      <c r="G318" s="3" t="str">
        <f t="shared" si="1"/>
        <v/>
      </c>
      <c r="H318" s="3" t="str">
        <f>IF(ISBLANK(A318), "", IF(D318&gt;0, IF(COUNTIF(Expenses!E:E, D318)&gt;0, "Matched", "Unmatched"), IF(E318&gt;0, IF(COUNTIF(Income!F:F, E318)&gt;0, "Matched", "Unmatched"), "")))</f>
        <v/>
      </c>
    </row>
    <row r="319">
      <c r="D319" s="2"/>
      <c r="E319" s="2"/>
      <c r="F319" s="2"/>
      <c r="G319" s="3" t="str">
        <f t="shared" si="1"/>
        <v/>
      </c>
      <c r="H319" s="3" t="str">
        <f>IF(ISBLANK(A319), "", IF(D319&gt;0, IF(COUNTIF(Expenses!E:E, D319)&gt;0, "Matched", "Unmatched"), IF(E319&gt;0, IF(COUNTIF(Income!F:F, E319)&gt;0, "Matched", "Unmatched"), "")))</f>
        <v/>
      </c>
    </row>
    <row r="320">
      <c r="D320" s="2"/>
      <c r="E320" s="2"/>
      <c r="F320" s="2"/>
      <c r="G320" s="3" t="str">
        <f t="shared" si="1"/>
        <v/>
      </c>
      <c r="H320" s="3" t="str">
        <f>IF(ISBLANK(A320), "", IF(D320&gt;0, IF(COUNTIF(Expenses!E:E, D320)&gt;0, "Matched", "Unmatched"), IF(E320&gt;0, IF(COUNTIF(Income!F:F, E320)&gt;0, "Matched", "Unmatched"), "")))</f>
        <v/>
      </c>
    </row>
    <row r="321">
      <c r="D321" s="2"/>
      <c r="E321" s="2"/>
      <c r="F321" s="2"/>
      <c r="G321" s="3" t="str">
        <f t="shared" si="1"/>
        <v/>
      </c>
      <c r="H321" s="3" t="str">
        <f>IF(ISBLANK(A321), "", IF(D321&gt;0, IF(COUNTIF(Expenses!E:E, D321)&gt;0, "Matched", "Unmatched"), IF(E321&gt;0, IF(COUNTIF(Income!F:F, E321)&gt;0, "Matched", "Unmatched"), "")))</f>
        <v/>
      </c>
    </row>
    <row r="322">
      <c r="D322" s="2"/>
      <c r="E322" s="2"/>
      <c r="F322" s="2"/>
      <c r="G322" s="3" t="str">
        <f t="shared" si="1"/>
        <v/>
      </c>
      <c r="H322" s="3" t="str">
        <f>IF(ISBLANK(A322), "", IF(D322&gt;0, IF(COUNTIF(Expenses!E:E, D322)&gt;0, "Matched", "Unmatched"), IF(E322&gt;0, IF(COUNTIF(Income!F:F, E322)&gt;0, "Matched", "Unmatched"), "")))</f>
        <v/>
      </c>
    </row>
    <row r="323">
      <c r="D323" s="2"/>
      <c r="E323" s="2"/>
      <c r="F323" s="2"/>
      <c r="G323" s="3" t="str">
        <f t="shared" si="1"/>
        <v/>
      </c>
      <c r="H323" s="3" t="str">
        <f>IF(ISBLANK(A323), "", IF(D323&gt;0, IF(COUNTIF(Expenses!E:E, D323)&gt;0, "Matched", "Unmatched"), IF(E323&gt;0, IF(COUNTIF(Income!F:F, E323)&gt;0, "Matched", "Unmatched"), "")))</f>
        <v/>
      </c>
    </row>
    <row r="324">
      <c r="D324" s="2"/>
      <c r="E324" s="2"/>
      <c r="F324" s="2"/>
      <c r="G324" s="3" t="str">
        <f t="shared" si="1"/>
        <v/>
      </c>
      <c r="H324" s="3" t="str">
        <f>IF(ISBLANK(A324), "", IF(D324&gt;0, IF(COUNTIF(Expenses!E:E, D324)&gt;0, "Matched", "Unmatched"), IF(E324&gt;0, IF(COUNTIF(Income!F:F, E324)&gt;0, "Matched", "Unmatched"), "")))</f>
        <v/>
      </c>
    </row>
    <row r="325">
      <c r="D325" s="2"/>
      <c r="E325" s="2"/>
      <c r="F325" s="2"/>
      <c r="G325" s="3" t="str">
        <f t="shared" si="1"/>
        <v/>
      </c>
      <c r="H325" s="3" t="str">
        <f>IF(ISBLANK(A325), "", IF(D325&gt;0, IF(COUNTIF(Expenses!E:E, D325)&gt;0, "Matched", "Unmatched"), IF(E325&gt;0, IF(COUNTIF(Income!F:F, E325)&gt;0, "Matched", "Unmatched"), "")))</f>
        <v/>
      </c>
    </row>
    <row r="326">
      <c r="D326" s="2"/>
      <c r="E326" s="2"/>
      <c r="F326" s="2"/>
      <c r="G326" s="3" t="str">
        <f t="shared" si="1"/>
        <v/>
      </c>
      <c r="H326" s="3" t="str">
        <f>IF(ISBLANK(A326), "", IF(D326&gt;0, IF(COUNTIF(Expenses!E:E, D326)&gt;0, "Matched", "Unmatched"), IF(E326&gt;0, IF(COUNTIF(Income!F:F, E326)&gt;0, "Matched", "Unmatched"), "")))</f>
        <v/>
      </c>
    </row>
    <row r="327">
      <c r="D327" s="2"/>
      <c r="E327" s="2"/>
      <c r="F327" s="2"/>
      <c r="G327" s="3" t="str">
        <f t="shared" si="1"/>
        <v/>
      </c>
      <c r="H327" s="3" t="str">
        <f>IF(ISBLANK(A327), "", IF(D327&gt;0, IF(COUNTIF(Expenses!E:E, D327)&gt;0, "Matched", "Unmatched"), IF(E327&gt;0, IF(COUNTIF(Income!F:F, E327)&gt;0, "Matched", "Unmatched"), "")))</f>
        <v/>
      </c>
    </row>
    <row r="328">
      <c r="D328" s="2"/>
      <c r="E328" s="2"/>
      <c r="F328" s="2"/>
      <c r="G328" s="3" t="str">
        <f t="shared" si="1"/>
        <v/>
      </c>
      <c r="H328" s="3" t="str">
        <f>IF(ISBLANK(A328), "", IF(D328&gt;0, IF(COUNTIF(Expenses!E:E, D328)&gt;0, "Matched", "Unmatched"), IF(E328&gt;0, IF(COUNTIF(Income!F:F, E328)&gt;0, "Matched", "Unmatched"), "")))</f>
        <v/>
      </c>
    </row>
    <row r="329">
      <c r="D329" s="2"/>
      <c r="E329" s="2"/>
      <c r="F329" s="2"/>
      <c r="G329" s="3" t="str">
        <f t="shared" si="1"/>
        <v/>
      </c>
      <c r="H329" s="3" t="str">
        <f>IF(ISBLANK(A329), "", IF(D329&gt;0, IF(COUNTIF(Expenses!E:E, D329)&gt;0, "Matched", "Unmatched"), IF(E329&gt;0, IF(COUNTIF(Income!F:F, E329)&gt;0, "Matched", "Unmatched"), "")))</f>
        <v/>
      </c>
    </row>
    <row r="330">
      <c r="D330" s="2"/>
      <c r="E330" s="2"/>
      <c r="F330" s="2"/>
      <c r="G330" s="3" t="str">
        <f t="shared" si="1"/>
        <v/>
      </c>
      <c r="H330" s="3" t="str">
        <f>IF(ISBLANK(A330), "", IF(D330&gt;0, IF(COUNTIF(Expenses!E:E, D330)&gt;0, "Matched", "Unmatched"), IF(E330&gt;0, IF(COUNTIF(Income!F:F, E330)&gt;0, "Matched", "Unmatched"), "")))</f>
        <v/>
      </c>
    </row>
    <row r="331">
      <c r="D331" s="2"/>
      <c r="E331" s="2"/>
      <c r="F331" s="2"/>
      <c r="G331" s="3" t="str">
        <f t="shared" si="1"/>
        <v/>
      </c>
      <c r="H331" s="3" t="str">
        <f>IF(ISBLANK(A331), "", IF(D331&gt;0, IF(COUNTIF(Expenses!E:E, D331)&gt;0, "Matched", "Unmatched"), IF(E331&gt;0, IF(COUNTIF(Income!F:F, E331)&gt;0, "Matched", "Unmatched"), "")))</f>
        <v/>
      </c>
    </row>
    <row r="332">
      <c r="D332" s="2"/>
      <c r="E332" s="2"/>
      <c r="F332" s="2"/>
      <c r="G332" s="3" t="str">
        <f t="shared" si="1"/>
        <v/>
      </c>
      <c r="H332" s="3" t="str">
        <f>IF(ISBLANK(A332), "", IF(D332&gt;0, IF(COUNTIF(Expenses!E:E, D332)&gt;0, "Matched", "Unmatched"), IF(E332&gt;0, IF(COUNTIF(Income!F:F, E332)&gt;0, "Matched", "Unmatched"), "")))</f>
        <v/>
      </c>
    </row>
    <row r="333">
      <c r="D333" s="2"/>
      <c r="E333" s="2"/>
      <c r="F333" s="2"/>
      <c r="G333" s="3" t="str">
        <f t="shared" si="1"/>
        <v/>
      </c>
      <c r="H333" s="3" t="str">
        <f>IF(ISBLANK(A333), "", IF(D333&gt;0, IF(COUNTIF(Expenses!E:E, D333)&gt;0, "Matched", "Unmatched"), IF(E333&gt;0, IF(COUNTIF(Income!F:F, E333)&gt;0, "Matched", "Unmatched"), "")))</f>
        <v/>
      </c>
    </row>
    <row r="334">
      <c r="D334" s="2"/>
      <c r="E334" s="2"/>
      <c r="F334" s="2"/>
      <c r="G334" s="3" t="str">
        <f t="shared" si="1"/>
        <v/>
      </c>
      <c r="H334" s="3" t="str">
        <f>IF(ISBLANK(A334), "", IF(D334&gt;0, IF(COUNTIF(Expenses!E:E, D334)&gt;0, "Matched", "Unmatched"), IF(E334&gt;0, IF(COUNTIF(Income!F:F, E334)&gt;0, "Matched", "Unmatched"), "")))</f>
        <v/>
      </c>
    </row>
    <row r="335">
      <c r="D335" s="2"/>
      <c r="E335" s="2"/>
      <c r="F335" s="2"/>
      <c r="G335" s="3" t="str">
        <f t="shared" si="1"/>
        <v/>
      </c>
      <c r="H335" s="3" t="str">
        <f>IF(ISBLANK(A335), "", IF(D335&gt;0, IF(COUNTIF(Expenses!E:E, D335)&gt;0, "Matched", "Unmatched"), IF(E335&gt;0, IF(COUNTIF(Income!F:F, E335)&gt;0, "Matched", "Unmatched"), "")))</f>
        <v/>
      </c>
    </row>
    <row r="336">
      <c r="D336" s="2"/>
      <c r="E336" s="2"/>
      <c r="F336" s="2"/>
      <c r="G336" s="3" t="str">
        <f t="shared" si="1"/>
        <v/>
      </c>
      <c r="H336" s="3" t="str">
        <f>IF(ISBLANK(A336), "", IF(D336&gt;0, IF(COUNTIF(Expenses!E:E, D336)&gt;0, "Matched", "Unmatched"), IF(E336&gt;0, IF(COUNTIF(Income!F:F, E336)&gt;0, "Matched", "Unmatched"), "")))</f>
        <v/>
      </c>
    </row>
    <row r="337">
      <c r="D337" s="2"/>
      <c r="E337" s="2"/>
      <c r="F337" s="2"/>
      <c r="G337" s="3" t="str">
        <f t="shared" si="1"/>
        <v/>
      </c>
      <c r="H337" s="3" t="str">
        <f>IF(ISBLANK(A337), "", IF(D337&gt;0, IF(COUNTIF(Expenses!E:E, D337)&gt;0, "Matched", "Unmatched"), IF(E337&gt;0, IF(COUNTIF(Income!F:F, E337)&gt;0, "Matched", "Unmatched"), "")))</f>
        <v/>
      </c>
    </row>
    <row r="338">
      <c r="D338" s="2"/>
      <c r="E338" s="2"/>
      <c r="F338" s="2"/>
      <c r="G338" s="3" t="str">
        <f t="shared" si="1"/>
        <v/>
      </c>
      <c r="H338" s="3" t="str">
        <f>IF(ISBLANK(A338), "", IF(D338&gt;0, IF(COUNTIF(Expenses!E:E, D338)&gt;0, "Matched", "Unmatched"), IF(E338&gt;0, IF(COUNTIF(Income!F:F, E338)&gt;0, "Matched", "Unmatched"), "")))</f>
        <v/>
      </c>
    </row>
    <row r="339">
      <c r="D339" s="2"/>
      <c r="E339" s="2"/>
      <c r="F339" s="2"/>
      <c r="G339" s="3" t="str">
        <f t="shared" si="1"/>
        <v/>
      </c>
      <c r="H339" s="3" t="str">
        <f>IF(ISBLANK(A339), "", IF(D339&gt;0, IF(COUNTIF(Expenses!E:E, D339)&gt;0, "Matched", "Unmatched"), IF(E339&gt;0, IF(COUNTIF(Income!F:F, E339)&gt;0, "Matched", "Unmatched"), "")))</f>
        <v/>
      </c>
    </row>
    <row r="340">
      <c r="D340" s="2"/>
      <c r="E340" s="2"/>
      <c r="F340" s="2"/>
      <c r="G340" s="3" t="str">
        <f t="shared" si="1"/>
        <v/>
      </c>
      <c r="H340" s="3" t="str">
        <f>IF(ISBLANK(A340), "", IF(D340&gt;0, IF(COUNTIF(Expenses!E:E, D340)&gt;0, "Matched", "Unmatched"), IF(E340&gt;0, IF(COUNTIF(Income!F:F, E340)&gt;0, "Matched", "Unmatched"), "")))</f>
        <v/>
      </c>
    </row>
    <row r="341">
      <c r="D341" s="2"/>
      <c r="E341" s="2"/>
      <c r="F341" s="2"/>
      <c r="G341" s="3" t="str">
        <f t="shared" si="1"/>
        <v/>
      </c>
      <c r="H341" s="3" t="str">
        <f>IF(ISBLANK(A341), "", IF(D341&gt;0, IF(COUNTIF(Expenses!E:E, D341)&gt;0, "Matched", "Unmatched"), IF(E341&gt;0, IF(COUNTIF(Income!F:F, E341)&gt;0, "Matched", "Unmatched"), "")))</f>
        <v/>
      </c>
    </row>
    <row r="342">
      <c r="D342" s="2"/>
      <c r="E342" s="2"/>
      <c r="F342" s="2"/>
      <c r="G342" s="3" t="str">
        <f t="shared" si="1"/>
        <v/>
      </c>
      <c r="H342" s="3" t="str">
        <f>IF(ISBLANK(A342), "", IF(D342&gt;0, IF(COUNTIF(Expenses!E:E, D342)&gt;0, "Matched", "Unmatched"), IF(E342&gt;0, IF(COUNTIF(Income!F:F, E342)&gt;0, "Matched", "Unmatched"), "")))</f>
        <v/>
      </c>
    </row>
    <row r="343">
      <c r="D343" s="2"/>
      <c r="E343" s="2"/>
      <c r="F343" s="2"/>
      <c r="G343" s="3" t="str">
        <f t="shared" si="1"/>
        <v/>
      </c>
      <c r="H343" s="3" t="str">
        <f>IF(ISBLANK(A343), "", IF(D343&gt;0, IF(COUNTIF(Expenses!E:E, D343)&gt;0, "Matched", "Unmatched"), IF(E343&gt;0, IF(COUNTIF(Income!F:F, E343)&gt;0, "Matched", "Unmatched"), "")))</f>
        <v/>
      </c>
    </row>
    <row r="344">
      <c r="D344" s="2"/>
      <c r="E344" s="2"/>
      <c r="F344" s="2"/>
      <c r="G344" s="3" t="str">
        <f t="shared" si="1"/>
        <v/>
      </c>
      <c r="H344" s="3" t="str">
        <f>IF(ISBLANK(A344), "", IF(D344&gt;0, IF(COUNTIF(Expenses!E:E, D344)&gt;0, "Matched", "Unmatched"), IF(E344&gt;0, IF(COUNTIF(Income!F:F, E344)&gt;0, "Matched", "Unmatched"), "")))</f>
        <v/>
      </c>
    </row>
    <row r="345">
      <c r="D345" s="2"/>
      <c r="E345" s="2"/>
      <c r="F345" s="2"/>
      <c r="G345" s="3" t="str">
        <f t="shared" si="1"/>
        <v/>
      </c>
      <c r="H345" s="3" t="str">
        <f>IF(ISBLANK(A345), "", IF(D345&gt;0, IF(COUNTIF(Expenses!E:E, D345)&gt;0, "Matched", "Unmatched"), IF(E345&gt;0, IF(COUNTIF(Income!F:F, E345)&gt;0, "Matched", "Unmatched"), "")))</f>
        <v/>
      </c>
    </row>
    <row r="346">
      <c r="D346" s="2"/>
      <c r="E346" s="2"/>
      <c r="F346" s="2"/>
      <c r="G346" s="3" t="str">
        <f t="shared" si="1"/>
        <v/>
      </c>
      <c r="H346" s="3" t="str">
        <f>IF(ISBLANK(A346), "", IF(D346&gt;0, IF(COUNTIF(Expenses!E:E, D346)&gt;0, "Matched", "Unmatched"), IF(E346&gt;0, IF(COUNTIF(Income!F:F, E346)&gt;0, "Matched", "Unmatched"), "")))</f>
        <v/>
      </c>
    </row>
    <row r="347">
      <c r="D347" s="2"/>
      <c r="E347" s="2"/>
      <c r="F347" s="2"/>
      <c r="G347" s="3" t="str">
        <f t="shared" si="1"/>
        <v/>
      </c>
      <c r="H347" s="3" t="str">
        <f>IF(ISBLANK(A347), "", IF(D347&gt;0, IF(COUNTIF(Expenses!E:E, D347)&gt;0, "Matched", "Unmatched"), IF(E347&gt;0, IF(COUNTIF(Income!F:F, E347)&gt;0, "Matched", "Unmatched"), "")))</f>
        <v/>
      </c>
    </row>
    <row r="348">
      <c r="D348" s="2"/>
      <c r="E348" s="2"/>
      <c r="F348" s="2"/>
      <c r="G348" s="3" t="str">
        <f t="shared" si="1"/>
        <v/>
      </c>
      <c r="H348" s="3" t="str">
        <f>IF(ISBLANK(A348), "", IF(D348&gt;0, IF(COUNTIF(Expenses!E:E, D348)&gt;0, "Matched", "Unmatched"), IF(E348&gt;0, IF(COUNTIF(Income!F:F, E348)&gt;0, "Matched", "Unmatched"), "")))</f>
        <v/>
      </c>
    </row>
    <row r="349">
      <c r="D349" s="2"/>
      <c r="E349" s="2"/>
      <c r="F349" s="2"/>
      <c r="G349" s="3" t="str">
        <f t="shared" si="1"/>
        <v/>
      </c>
      <c r="H349" s="3" t="str">
        <f>IF(ISBLANK(A349), "", IF(D349&gt;0, IF(COUNTIF(Expenses!E:E, D349)&gt;0, "Matched", "Unmatched"), IF(E349&gt;0, IF(COUNTIF(Income!F:F, E349)&gt;0, "Matched", "Unmatched"), "")))</f>
        <v/>
      </c>
    </row>
    <row r="350">
      <c r="D350" s="2"/>
      <c r="E350" s="2"/>
      <c r="F350" s="2"/>
      <c r="G350" s="3" t="str">
        <f t="shared" si="1"/>
        <v/>
      </c>
      <c r="H350" s="3" t="str">
        <f>IF(ISBLANK(A350), "", IF(D350&gt;0, IF(COUNTIF(Expenses!E:E, D350)&gt;0, "Matched", "Unmatched"), IF(E350&gt;0, IF(COUNTIF(Income!F:F, E350)&gt;0, "Matched", "Unmatched"), "")))</f>
        <v/>
      </c>
    </row>
    <row r="351">
      <c r="D351" s="2"/>
      <c r="E351" s="2"/>
      <c r="F351" s="2"/>
      <c r="G351" s="3" t="str">
        <f t="shared" si="1"/>
        <v/>
      </c>
      <c r="H351" s="3" t="str">
        <f>IF(ISBLANK(A351), "", IF(D351&gt;0, IF(COUNTIF(Expenses!E:E, D351)&gt;0, "Matched", "Unmatched"), IF(E351&gt;0, IF(COUNTIF(Income!F:F, E351)&gt;0, "Matched", "Unmatched"), "")))</f>
        <v/>
      </c>
    </row>
    <row r="352">
      <c r="D352" s="2"/>
      <c r="E352" s="2"/>
      <c r="F352" s="2"/>
      <c r="G352" s="3" t="str">
        <f t="shared" si="1"/>
        <v/>
      </c>
      <c r="H352" s="3" t="str">
        <f>IF(ISBLANK(A352), "", IF(D352&gt;0, IF(COUNTIF(Expenses!E:E, D352)&gt;0, "Matched", "Unmatched"), IF(E352&gt;0, IF(COUNTIF(Income!F:F, E352)&gt;0, "Matched", "Unmatched"), "")))</f>
        <v/>
      </c>
    </row>
    <row r="353">
      <c r="D353" s="2"/>
      <c r="E353" s="2"/>
      <c r="F353" s="2"/>
      <c r="G353" s="3" t="str">
        <f t="shared" si="1"/>
        <v/>
      </c>
      <c r="H353" s="3" t="str">
        <f>IF(ISBLANK(A353), "", IF(D353&gt;0, IF(COUNTIF(Expenses!E:E, D353)&gt;0, "Matched", "Unmatched"), IF(E353&gt;0, IF(COUNTIF(Income!F:F, E353)&gt;0, "Matched", "Unmatched"), "")))</f>
        <v/>
      </c>
    </row>
    <row r="354">
      <c r="D354" s="2"/>
      <c r="E354" s="2"/>
      <c r="F354" s="2"/>
      <c r="G354" s="3" t="str">
        <f t="shared" si="1"/>
        <v/>
      </c>
      <c r="H354" s="3" t="str">
        <f>IF(ISBLANK(A354), "", IF(D354&gt;0, IF(COUNTIF(Expenses!E:E, D354)&gt;0, "Matched", "Unmatched"), IF(E354&gt;0, IF(COUNTIF(Income!F:F, E354)&gt;0, "Matched", "Unmatched"), "")))</f>
        <v/>
      </c>
    </row>
    <row r="355">
      <c r="D355" s="2"/>
      <c r="E355" s="2"/>
      <c r="F355" s="2"/>
      <c r="G355" s="3" t="str">
        <f t="shared" si="1"/>
        <v/>
      </c>
      <c r="H355" s="3" t="str">
        <f>IF(ISBLANK(A355), "", IF(D355&gt;0, IF(COUNTIF(Expenses!E:E, D355)&gt;0, "Matched", "Unmatched"), IF(E355&gt;0, IF(COUNTIF(Income!F:F, E355)&gt;0, "Matched", "Unmatched"), "")))</f>
        <v/>
      </c>
    </row>
    <row r="356">
      <c r="D356" s="2"/>
      <c r="E356" s="2"/>
      <c r="F356" s="2"/>
      <c r="G356" s="3" t="str">
        <f t="shared" si="1"/>
        <v/>
      </c>
      <c r="H356" s="3" t="str">
        <f>IF(ISBLANK(A356), "", IF(D356&gt;0, IF(COUNTIF(Expenses!E:E, D356)&gt;0, "Matched", "Unmatched"), IF(E356&gt;0, IF(COUNTIF(Income!F:F, E356)&gt;0, "Matched", "Unmatched"), "")))</f>
        <v/>
      </c>
    </row>
    <row r="357">
      <c r="D357" s="2"/>
      <c r="E357" s="2"/>
      <c r="F357" s="2"/>
      <c r="G357" s="3" t="str">
        <f t="shared" si="1"/>
        <v/>
      </c>
      <c r="H357" s="3" t="str">
        <f>IF(ISBLANK(A357), "", IF(D357&gt;0, IF(COUNTIF(Expenses!E:E, D357)&gt;0, "Matched", "Unmatched"), IF(E357&gt;0, IF(COUNTIF(Income!F:F, E357)&gt;0, "Matched", "Unmatched"), "")))</f>
        <v/>
      </c>
    </row>
    <row r="358">
      <c r="D358" s="2"/>
      <c r="E358" s="2"/>
      <c r="F358" s="2"/>
      <c r="G358" s="3" t="str">
        <f t="shared" si="1"/>
        <v/>
      </c>
      <c r="H358" s="3" t="str">
        <f>IF(ISBLANK(A358), "", IF(D358&gt;0, IF(COUNTIF(Expenses!E:E, D358)&gt;0, "Matched", "Unmatched"), IF(E358&gt;0, IF(COUNTIF(Income!F:F, E358)&gt;0, "Matched", "Unmatched"), "")))</f>
        <v/>
      </c>
    </row>
    <row r="359">
      <c r="D359" s="2"/>
      <c r="E359" s="2"/>
      <c r="F359" s="2"/>
      <c r="G359" s="3" t="str">
        <f t="shared" si="1"/>
        <v/>
      </c>
      <c r="H359" s="3" t="str">
        <f>IF(ISBLANK(A359), "", IF(D359&gt;0, IF(COUNTIF(Expenses!E:E, D359)&gt;0, "Matched", "Unmatched"), IF(E359&gt;0, IF(COUNTIF(Income!F:F, E359)&gt;0, "Matched", "Unmatched"), "")))</f>
        <v/>
      </c>
    </row>
    <row r="360">
      <c r="D360" s="2"/>
      <c r="E360" s="2"/>
      <c r="F360" s="2"/>
      <c r="G360" s="3" t="str">
        <f t="shared" si="1"/>
        <v/>
      </c>
      <c r="H360" s="3" t="str">
        <f>IF(ISBLANK(A360), "", IF(D360&gt;0, IF(COUNTIF(Expenses!E:E, D360)&gt;0, "Matched", "Unmatched"), IF(E360&gt;0, IF(COUNTIF(Income!F:F, E360)&gt;0, "Matched", "Unmatched"), "")))</f>
        <v/>
      </c>
    </row>
    <row r="361">
      <c r="D361" s="2"/>
      <c r="E361" s="2"/>
      <c r="F361" s="2"/>
      <c r="G361" s="3" t="str">
        <f t="shared" si="1"/>
        <v/>
      </c>
      <c r="H361" s="3" t="str">
        <f>IF(ISBLANK(A361), "", IF(D361&gt;0, IF(COUNTIF(Expenses!E:E, D361)&gt;0, "Matched", "Unmatched"), IF(E361&gt;0, IF(COUNTIF(Income!F:F, E361)&gt;0, "Matched", "Unmatched"), "")))</f>
        <v/>
      </c>
    </row>
    <row r="362">
      <c r="D362" s="2"/>
      <c r="E362" s="2"/>
      <c r="F362" s="2"/>
      <c r="G362" s="3" t="str">
        <f t="shared" si="1"/>
        <v/>
      </c>
      <c r="H362" s="3" t="str">
        <f>IF(ISBLANK(A362), "", IF(D362&gt;0, IF(COUNTIF(Expenses!E:E, D362)&gt;0, "Matched", "Unmatched"), IF(E362&gt;0, IF(COUNTIF(Income!F:F, E362)&gt;0, "Matched", "Unmatched"), "")))</f>
        <v/>
      </c>
    </row>
    <row r="363">
      <c r="D363" s="2"/>
      <c r="E363" s="2"/>
      <c r="F363" s="2"/>
      <c r="G363" s="3" t="str">
        <f t="shared" si="1"/>
        <v/>
      </c>
      <c r="H363" s="3" t="str">
        <f>IF(ISBLANK(A363), "", IF(D363&gt;0, IF(COUNTIF(Expenses!E:E, D363)&gt;0, "Matched", "Unmatched"), IF(E363&gt;0, IF(COUNTIF(Income!F:F, E363)&gt;0, "Matched", "Unmatched"), "")))</f>
        <v/>
      </c>
    </row>
    <row r="364">
      <c r="D364" s="2"/>
      <c r="E364" s="2"/>
      <c r="F364" s="2"/>
      <c r="G364" s="3" t="str">
        <f t="shared" si="1"/>
        <v/>
      </c>
      <c r="H364" s="3" t="str">
        <f>IF(ISBLANK(A364), "", IF(D364&gt;0, IF(COUNTIF(Expenses!E:E, D364)&gt;0, "Matched", "Unmatched"), IF(E364&gt;0, IF(COUNTIF(Income!F:F, E364)&gt;0, "Matched", "Unmatched"), "")))</f>
        <v/>
      </c>
    </row>
    <row r="365">
      <c r="D365" s="2"/>
      <c r="E365" s="2"/>
      <c r="F365" s="2"/>
      <c r="G365" s="3" t="str">
        <f t="shared" si="1"/>
        <v/>
      </c>
      <c r="H365" s="3" t="str">
        <f>IF(ISBLANK(A365), "", IF(D365&gt;0, IF(COUNTIF(Expenses!E:E, D365)&gt;0, "Matched", "Unmatched"), IF(E365&gt;0, IF(COUNTIF(Income!F:F, E365)&gt;0, "Matched", "Unmatched"), "")))</f>
        <v/>
      </c>
    </row>
    <row r="366">
      <c r="D366" s="2"/>
      <c r="E366" s="2"/>
      <c r="F366" s="2"/>
      <c r="G366" s="3" t="str">
        <f t="shared" si="1"/>
        <v/>
      </c>
      <c r="H366" s="3" t="str">
        <f>IF(ISBLANK(A366), "", IF(D366&gt;0, IF(COUNTIF(Expenses!E:E, D366)&gt;0, "Matched", "Unmatched"), IF(E366&gt;0, IF(COUNTIF(Income!F:F, E366)&gt;0, "Matched", "Unmatched"), "")))</f>
        <v/>
      </c>
    </row>
    <row r="367">
      <c r="D367" s="2"/>
      <c r="E367" s="2"/>
      <c r="F367" s="2"/>
      <c r="G367" s="3" t="str">
        <f t="shared" si="1"/>
        <v/>
      </c>
      <c r="H367" s="3" t="str">
        <f>IF(ISBLANK(A367), "", IF(D367&gt;0, IF(COUNTIF(Expenses!E:E, D367)&gt;0, "Matched", "Unmatched"), IF(E367&gt;0, IF(COUNTIF(Income!F:F, E367)&gt;0, "Matched", "Unmatched"), "")))</f>
        <v/>
      </c>
    </row>
    <row r="368">
      <c r="D368" s="2"/>
      <c r="E368" s="2"/>
      <c r="F368" s="2"/>
      <c r="G368" s="3" t="str">
        <f t="shared" si="1"/>
        <v/>
      </c>
      <c r="H368" s="3" t="str">
        <f>IF(ISBLANK(A368), "", IF(D368&gt;0, IF(COUNTIF(Expenses!E:E, D368)&gt;0, "Matched", "Unmatched"), IF(E368&gt;0, IF(COUNTIF(Income!F:F, E368)&gt;0, "Matched", "Unmatched"), "")))</f>
        <v/>
      </c>
    </row>
    <row r="369">
      <c r="D369" s="2"/>
      <c r="E369" s="2"/>
      <c r="F369" s="2"/>
      <c r="G369" s="3" t="str">
        <f t="shared" si="1"/>
        <v/>
      </c>
      <c r="H369" s="3" t="str">
        <f>IF(ISBLANK(A369), "", IF(D369&gt;0, IF(COUNTIF(Expenses!E:E, D369)&gt;0, "Matched", "Unmatched"), IF(E369&gt;0, IF(COUNTIF(Income!F:F, E369)&gt;0, "Matched", "Unmatched"), "")))</f>
        <v/>
      </c>
    </row>
    <row r="370">
      <c r="D370" s="2"/>
      <c r="E370" s="2"/>
      <c r="F370" s="2"/>
      <c r="G370" s="3" t="str">
        <f t="shared" si="1"/>
        <v/>
      </c>
      <c r="H370" s="3" t="str">
        <f>IF(ISBLANK(A370), "", IF(D370&gt;0, IF(COUNTIF(Expenses!E:E, D370)&gt;0, "Matched", "Unmatched"), IF(E370&gt;0, IF(COUNTIF(Income!F:F, E370)&gt;0, "Matched", "Unmatched"), "")))</f>
        <v/>
      </c>
    </row>
    <row r="371">
      <c r="D371" s="2"/>
      <c r="E371" s="2"/>
      <c r="F371" s="2"/>
      <c r="G371" s="3" t="str">
        <f t="shared" si="1"/>
        <v/>
      </c>
      <c r="H371" s="3" t="str">
        <f>IF(ISBLANK(A371), "", IF(D371&gt;0, IF(COUNTIF(Expenses!E:E, D371)&gt;0, "Matched", "Unmatched"), IF(E371&gt;0, IF(COUNTIF(Income!F:F, E371)&gt;0, "Matched", "Unmatched"), "")))</f>
        <v/>
      </c>
    </row>
    <row r="372">
      <c r="D372" s="2"/>
      <c r="E372" s="2"/>
      <c r="F372" s="2"/>
      <c r="G372" s="3" t="str">
        <f t="shared" si="1"/>
        <v/>
      </c>
      <c r="H372" s="3" t="str">
        <f>IF(ISBLANK(A372), "", IF(D372&gt;0, IF(COUNTIF(Expenses!E:E, D372)&gt;0, "Matched", "Unmatched"), IF(E372&gt;0, IF(COUNTIF(Income!F:F, E372)&gt;0, "Matched", "Unmatched"), "")))</f>
        <v/>
      </c>
    </row>
    <row r="373">
      <c r="D373" s="2"/>
      <c r="E373" s="2"/>
      <c r="F373" s="2"/>
      <c r="G373" s="3" t="str">
        <f t="shared" si="1"/>
        <v/>
      </c>
      <c r="H373" s="3" t="str">
        <f>IF(ISBLANK(A373), "", IF(D373&gt;0, IF(COUNTIF(Expenses!E:E, D373)&gt;0, "Matched", "Unmatched"), IF(E373&gt;0, IF(COUNTIF(Income!F:F, E373)&gt;0, "Matched", "Unmatched"), "")))</f>
        <v/>
      </c>
    </row>
    <row r="374">
      <c r="D374" s="2"/>
      <c r="E374" s="2"/>
      <c r="F374" s="2"/>
      <c r="G374" s="3" t="str">
        <f t="shared" si="1"/>
        <v/>
      </c>
      <c r="H374" s="3" t="str">
        <f>IF(ISBLANK(A374), "", IF(D374&gt;0, IF(COUNTIF(Expenses!E:E, D374)&gt;0, "Matched", "Unmatched"), IF(E374&gt;0, IF(COUNTIF(Income!F:F, E374)&gt;0, "Matched", "Unmatched"), "")))</f>
        <v/>
      </c>
    </row>
    <row r="375">
      <c r="D375" s="2"/>
      <c r="E375" s="2"/>
      <c r="F375" s="2"/>
      <c r="G375" s="3" t="str">
        <f t="shared" si="1"/>
        <v/>
      </c>
      <c r="H375" s="3" t="str">
        <f>IF(ISBLANK(A375), "", IF(D375&gt;0, IF(COUNTIF(Expenses!E:E, D375)&gt;0, "Matched", "Unmatched"), IF(E375&gt;0, IF(COUNTIF(Income!F:F, E375)&gt;0, "Matched", "Unmatched"), "")))</f>
        <v/>
      </c>
    </row>
    <row r="376">
      <c r="D376" s="2"/>
      <c r="E376" s="2"/>
      <c r="F376" s="2"/>
      <c r="G376" s="3" t="str">
        <f t="shared" si="1"/>
        <v/>
      </c>
      <c r="H376" s="3" t="str">
        <f>IF(ISBLANK(A376), "", IF(D376&gt;0, IF(COUNTIF(Expenses!E:E, D376)&gt;0, "Matched", "Unmatched"), IF(E376&gt;0, IF(COUNTIF(Income!F:F, E376)&gt;0, "Matched", "Unmatched"), "")))</f>
        <v/>
      </c>
    </row>
    <row r="377">
      <c r="D377" s="2"/>
      <c r="E377" s="2"/>
      <c r="F377" s="2"/>
      <c r="G377" s="3" t="str">
        <f t="shared" si="1"/>
        <v/>
      </c>
      <c r="H377" s="3" t="str">
        <f>IF(ISBLANK(A377), "", IF(D377&gt;0, IF(COUNTIF(Expenses!E:E, D377)&gt;0, "Matched", "Unmatched"), IF(E377&gt;0, IF(COUNTIF(Income!F:F, E377)&gt;0, "Matched", "Unmatched"), "")))</f>
        <v/>
      </c>
    </row>
    <row r="378">
      <c r="D378" s="2"/>
      <c r="E378" s="2"/>
      <c r="F378" s="2"/>
      <c r="G378" s="3" t="str">
        <f t="shared" si="1"/>
        <v/>
      </c>
      <c r="H378" s="3" t="str">
        <f>IF(ISBLANK(A378), "", IF(D378&gt;0, IF(COUNTIF(Expenses!E:E, D378)&gt;0, "Matched", "Unmatched"), IF(E378&gt;0, IF(COUNTIF(Income!F:F, E378)&gt;0, "Matched", "Unmatched"), "")))</f>
        <v/>
      </c>
    </row>
    <row r="379">
      <c r="D379" s="2"/>
      <c r="E379" s="2"/>
      <c r="F379" s="2"/>
      <c r="G379" s="3" t="str">
        <f t="shared" si="1"/>
        <v/>
      </c>
      <c r="H379" s="3" t="str">
        <f>IF(ISBLANK(A379), "", IF(D379&gt;0, IF(COUNTIF(Expenses!E:E, D379)&gt;0, "Matched", "Unmatched"), IF(E379&gt;0, IF(COUNTIF(Income!F:F, E379)&gt;0, "Matched", "Unmatched"), "")))</f>
        <v/>
      </c>
    </row>
    <row r="380">
      <c r="D380" s="2"/>
      <c r="E380" s="2"/>
      <c r="F380" s="2"/>
      <c r="G380" s="3" t="str">
        <f t="shared" si="1"/>
        <v/>
      </c>
      <c r="H380" s="3" t="str">
        <f>IF(ISBLANK(A380), "", IF(D380&gt;0, IF(COUNTIF(Expenses!E:E, D380)&gt;0, "Matched", "Unmatched"), IF(E380&gt;0, IF(COUNTIF(Income!F:F, E380)&gt;0, "Matched", "Unmatched"), "")))</f>
        <v/>
      </c>
    </row>
    <row r="381">
      <c r="D381" s="2"/>
      <c r="E381" s="2"/>
      <c r="F381" s="2"/>
      <c r="G381" s="3" t="str">
        <f t="shared" si="1"/>
        <v/>
      </c>
      <c r="H381" s="3" t="str">
        <f>IF(ISBLANK(A381), "", IF(D381&gt;0, IF(COUNTIF(Expenses!E:E, D381)&gt;0, "Matched", "Unmatched"), IF(E381&gt;0, IF(COUNTIF(Income!F:F, E381)&gt;0, "Matched", "Unmatched"), "")))</f>
        <v/>
      </c>
    </row>
    <row r="382">
      <c r="D382" s="2"/>
      <c r="E382" s="2"/>
      <c r="F382" s="2"/>
      <c r="G382" s="3" t="str">
        <f t="shared" si="1"/>
        <v/>
      </c>
      <c r="H382" s="3" t="str">
        <f>IF(ISBLANK(A382), "", IF(D382&gt;0, IF(COUNTIF(Expenses!E:E, D382)&gt;0, "Matched", "Unmatched"), IF(E382&gt;0, IF(COUNTIF(Income!F:F, E382)&gt;0, "Matched", "Unmatched"), "")))</f>
        <v/>
      </c>
    </row>
    <row r="383">
      <c r="D383" s="2"/>
      <c r="E383" s="2"/>
      <c r="F383" s="2"/>
      <c r="G383" s="3" t="str">
        <f t="shared" si="1"/>
        <v/>
      </c>
      <c r="H383" s="3" t="str">
        <f>IF(ISBLANK(A383), "", IF(D383&gt;0, IF(COUNTIF(Expenses!E:E, D383)&gt;0, "Matched", "Unmatched"), IF(E383&gt;0, IF(COUNTIF(Income!F:F, E383)&gt;0, "Matched", "Unmatched"), "")))</f>
        <v/>
      </c>
    </row>
    <row r="384">
      <c r="D384" s="2"/>
      <c r="E384" s="2"/>
      <c r="F384" s="2"/>
      <c r="G384" s="3" t="str">
        <f t="shared" si="1"/>
        <v/>
      </c>
      <c r="H384" s="3" t="str">
        <f>IF(ISBLANK(A384), "", IF(D384&gt;0, IF(COUNTIF(Expenses!E:E, D384)&gt;0, "Matched", "Unmatched"), IF(E384&gt;0, IF(COUNTIF(Income!F:F, E384)&gt;0, "Matched", "Unmatched"), "")))</f>
        <v/>
      </c>
    </row>
    <row r="385">
      <c r="D385" s="2"/>
      <c r="E385" s="2"/>
      <c r="F385" s="2"/>
      <c r="G385" s="3" t="str">
        <f t="shared" si="1"/>
        <v/>
      </c>
      <c r="H385" s="3" t="str">
        <f>IF(ISBLANK(A385), "", IF(D385&gt;0, IF(COUNTIF(Expenses!E:E, D385)&gt;0, "Matched", "Unmatched"), IF(E385&gt;0, IF(COUNTIF(Income!F:F, E385)&gt;0, "Matched", "Unmatched"), "")))</f>
        <v/>
      </c>
    </row>
    <row r="386">
      <c r="D386" s="2"/>
      <c r="E386" s="2"/>
      <c r="F386" s="2"/>
      <c r="G386" s="3" t="str">
        <f t="shared" si="1"/>
        <v/>
      </c>
      <c r="H386" s="3" t="str">
        <f>IF(ISBLANK(A386), "", IF(D386&gt;0, IF(COUNTIF(Expenses!E:E, D386)&gt;0, "Matched", "Unmatched"), IF(E386&gt;0, IF(COUNTIF(Income!F:F, E386)&gt;0, "Matched", "Unmatched"), "")))</f>
        <v/>
      </c>
    </row>
    <row r="387">
      <c r="D387" s="2"/>
      <c r="E387" s="2"/>
      <c r="F387" s="2"/>
      <c r="G387" s="3" t="str">
        <f t="shared" si="1"/>
        <v/>
      </c>
      <c r="H387" s="3" t="str">
        <f>IF(ISBLANK(A387), "", IF(D387&gt;0, IF(COUNTIF(Expenses!E:E, D387)&gt;0, "Matched", "Unmatched"), IF(E387&gt;0, IF(COUNTIF(Income!F:F, E387)&gt;0, "Matched", "Unmatched"), "")))</f>
        <v/>
      </c>
    </row>
    <row r="388">
      <c r="D388" s="2"/>
      <c r="E388" s="2"/>
      <c r="F388" s="2"/>
      <c r="G388" s="3" t="str">
        <f t="shared" si="1"/>
        <v/>
      </c>
      <c r="H388" s="3" t="str">
        <f>IF(ISBLANK(A388), "", IF(D388&gt;0, IF(COUNTIF(Expenses!E:E, D388)&gt;0, "Matched", "Unmatched"), IF(E388&gt;0, IF(COUNTIF(Income!F:F, E388)&gt;0, "Matched", "Unmatched"), "")))</f>
        <v/>
      </c>
    </row>
    <row r="389">
      <c r="D389" s="2"/>
      <c r="E389" s="2"/>
      <c r="F389" s="2"/>
      <c r="G389" s="3" t="str">
        <f t="shared" si="1"/>
        <v/>
      </c>
      <c r="H389" s="3" t="str">
        <f>IF(ISBLANK(A389), "", IF(D389&gt;0, IF(COUNTIF(Expenses!E:E, D389)&gt;0, "Matched", "Unmatched"), IF(E389&gt;0, IF(COUNTIF(Income!F:F, E389)&gt;0, "Matched", "Unmatched"), "")))</f>
        <v/>
      </c>
    </row>
    <row r="390">
      <c r="D390" s="2"/>
      <c r="E390" s="2"/>
      <c r="F390" s="2"/>
      <c r="G390" s="3" t="str">
        <f t="shared" si="1"/>
        <v/>
      </c>
      <c r="H390" s="3" t="str">
        <f>IF(ISBLANK(A390), "", IF(D390&gt;0, IF(COUNTIF(Expenses!E:E, D390)&gt;0, "Matched", "Unmatched"), IF(E390&gt;0, IF(COUNTIF(Income!F:F, E390)&gt;0, "Matched", "Unmatched"), "")))</f>
        <v/>
      </c>
    </row>
    <row r="391">
      <c r="D391" s="2"/>
      <c r="E391" s="2"/>
      <c r="F391" s="2"/>
      <c r="G391" s="3" t="str">
        <f t="shared" si="1"/>
        <v/>
      </c>
      <c r="H391" s="3" t="str">
        <f>IF(ISBLANK(A391), "", IF(D391&gt;0, IF(COUNTIF(Expenses!E:E, D391)&gt;0, "Matched", "Unmatched"), IF(E391&gt;0, IF(COUNTIF(Income!F:F, E391)&gt;0, "Matched", "Unmatched"), "")))</f>
        <v/>
      </c>
    </row>
    <row r="392">
      <c r="D392" s="2"/>
      <c r="E392" s="2"/>
      <c r="F392" s="2"/>
      <c r="G392" s="3" t="str">
        <f t="shared" si="1"/>
        <v/>
      </c>
      <c r="H392" s="3" t="str">
        <f>IF(ISBLANK(A392), "", IF(D392&gt;0, IF(COUNTIF(Expenses!E:E, D392)&gt;0, "Matched", "Unmatched"), IF(E392&gt;0, IF(COUNTIF(Income!F:F, E392)&gt;0, "Matched", "Unmatched"), "")))</f>
        <v/>
      </c>
    </row>
    <row r="393">
      <c r="D393" s="2"/>
      <c r="E393" s="2"/>
      <c r="F393" s="2"/>
      <c r="G393" s="3" t="str">
        <f t="shared" si="1"/>
        <v/>
      </c>
      <c r="H393" s="3" t="str">
        <f>IF(ISBLANK(A393), "", IF(D393&gt;0, IF(COUNTIF(Expenses!E:E, D393)&gt;0, "Matched", "Unmatched"), IF(E393&gt;0, IF(COUNTIF(Income!F:F, E393)&gt;0, "Matched", "Unmatched"), "")))</f>
        <v/>
      </c>
    </row>
    <row r="394">
      <c r="D394" s="2"/>
      <c r="E394" s="2"/>
      <c r="F394" s="2"/>
      <c r="G394" s="3" t="str">
        <f t="shared" si="1"/>
        <v/>
      </c>
      <c r="H394" s="3" t="str">
        <f>IF(ISBLANK(A394), "", IF(D394&gt;0, IF(COUNTIF(Expenses!E:E, D394)&gt;0, "Matched", "Unmatched"), IF(E394&gt;0, IF(COUNTIF(Income!F:F, E394)&gt;0, "Matched", "Unmatched"), "")))</f>
        <v/>
      </c>
    </row>
    <row r="395">
      <c r="D395" s="2"/>
      <c r="E395" s="2"/>
      <c r="F395" s="2"/>
      <c r="G395" s="3" t="str">
        <f t="shared" si="1"/>
        <v/>
      </c>
      <c r="H395" s="3" t="str">
        <f>IF(ISBLANK(A395), "", IF(D395&gt;0, IF(COUNTIF(Expenses!E:E, D395)&gt;0, "Matched", "Unmatched"), IF(E395&gt;0, IF(COUNTIF(Income!F:F, E395)&gt;0, "Matched", "Unmatched"), "")))</f>
        <v/>
      </c>
    </row>
    <row r="396">
      <c r="D396" s="2"/>
      <c r="E396" s="2"/>
      <c r="F396" s="2"/>
      <c r="G396" s="3" t="str">
        <f t="shared" si="1"/>
        <v/>
      </c>
      <c r="H396" s="3" t="str">
        <f>IF(ISBLANK(A396), "", IF(D396&gt;0, IF(COUNTIF(Expenses!E:E, D396)&gt;0, "Matched", "Unmatched"), IF(E396&gt;0, IF(COUNTIF(Income!F:F, E396)&gt;0, "Matched", "Unmatched"), "")))</f>
        <v/>
      </c>
    </row>
    <row r="397">
      <c r="D397" s="2"/>
      <c r="E397" s="2"/>
      <c r="F397" s="2"/>
      <c r="G397" s="3" t="str">
        <f t="shared" si="1"/>
        <v/>
      </c>
      <c r="H397" s="3" t="str">
        <f>IF(ISBLANK(A397), "", IF(D397&gt;0, IF(COUNTIF(Expenses!E:E, D397)&gt;0, "Matched", "Unmatched"), IF(E397&gt;0, IF(COUNTIF(Income!F:F, E397)&gt;0, "Matched", "Unmatched"), "")))</f>
        <v/>
      </c>
    </row>
    <row r="398">
      <c r="D398" s="2"/>
      <c r="E398" s="2"/>
      <c r="F398" s="2"/>
      <c r="G398" s="3" t="str">
        <f t="shared" si="1"/>
        <v/>
      </c>
      <c r="H398" s="3" t="str">
        <f>IF(ISBLANK(A398), "", IF(D398&gt;0, IF(COUNTIF(Expenses!E:E, D398)&gt;0, "Matched", "Unmatched"), IF(E398&gt;0, IF(COUNTIF(Income!F:F, E398)&gt;0, "Matched", "Unmatched"), "")))</f>
        <v/>
      </c>
    </row>
    <row r="399">
      <c r="D399" s="2"/>
      <c r="E399" s="2"/>
      <c r="F399" s="2"/>
      <c r="G399" s="3" t="str">
        <f t="shared" si="1"/>
        <v/>
      </c>
      <c r="H399" s="3" t="str">
        <f>IF(ISBLANK(A399), "", IF(D399&gt;0, IF(COUNTIF(Expenses!E:E, D399)&gt;0, "Matched", "Unmatched"), IF(E399&gt;0, IF(COUNTIF(Income!F:F, E399)&gt;0, "Matched", "Unmatched"), "")))</f>
        <v/>
      </c>
    </row>
    <row r="400">
      <c r="D400" s="2"/>
      <c r="E400" s="2"/>
      <c r="F400" s="2"/>
      <c r="G400" s="3" t="str">
        <f t="shared" si="1"/>
        <v/>
      </c>
      <c r="H400" s="3" t="str">
        <f>IF(ISBLANK(A400), "", IF(D400&gt;0, IF(COUNTIF(Expenses!E:E, D400)&gt;0, "Matched", "Unmatched"), IF(E400&gt;0, IF(COUNTIF(Income!F:F, E400)&gt;0, "Matched", "Unmatched"), "")))</f>
        <v/>
      </c>
    </row>
    <row r="401">
      <c r="D401" s="2"/>
      <c r="E401" s="2"/>
      <c r="F401" s="2"/>
      <c r="G401" s="3" t="str">
        <f t="shared" si="1"/>
        <v/>
      </c>
      <c r="H401" s="3" t="str">
        <f>IF(ISBLANK(A401), "", IF(D401&gt;0, IF(COUNTIF(Expenses!E:E, D401)&gt;0, "Matched", "Unmatched"), IF(E401&gt;0, IF(COUNTIF(Income!F:F, E401)&gt;0, "Matched", "Unmatched"), "")))</f>
        <v/>
      </c>
    </row>
    <row r="402">
      <c r="D402" s="2"/>
      <c r="E402" s="2"/>
      <c r="F402" s="2"/>
      <c r="G402" s="3" t="str">
        <f t="shared" si="1"/>
        <v/>
      </c>
      <c r="H402" s="3" t="str">
        <f>IF(ISBLANK(A402), "", IF(D402&gt;0, IF(COUNTIF(Expenses!E:E, D402)&gt;0, "Matched", "Unmatched"), IF(E402&gt;0, IF(COUNTIF(Income!F:F, E402)&gt;0, "Matched", "Unmatched"), "")))</f>
        <v/>
      </c>
    </row>
    <row r="403">
      <c r="D403" s="2"/>
      <c r="E403" s="2"/>
      <c r="F403" s="2"/>
      <c r="G403" s="3" t="str">
        <f t="shared" si="1"/>
        <v/>
      </c>
      <c r="H403" s="3" t="str">
        <f>IF(ISBLANK(A403), "", IF(D403&gt;0, IF(COUNTIF(Expenses!E:E, D403)&gt;0, "Matched", "Unmatched"), IF(E403&gt;0, IF(COUNTIF(Income!F:F, E403)&gt;0, "Matched", "Unmatched"), "")))</f>
        <v/>
      </c>
    </row>
    <row r="404">
      <c r="D404" s="2"/>
      <c r="E404" s="2"/>
      <c r="F404" s="2"/>
      <c r="G404" s="3" t="str">
        <f t="shared" si="1"/>
        <v/>
      </c>
      <c r="H404" s="3" t="str">
        <f>IF(ISBLANK(A404), "", IF(D404&gt;0, IF(COUNTIF(Expenses!E:E, D404)&gt;0, "Matched", "Unmatched"), IF(E404&gt;0, IF(COUNTIF(Income!F:F, E404)&gt;0, "Matched", "Unmatched"), "")))</f>
        <v/>
      </c>
    </row>
    <row r="405">
      <c r="D405" s="2"/>
      <c r="E405" s="2"/>
      <c r="F405" s="2"/>
      <c r="G405" s="3" t="str">
        <f t="shared" si="1"/>
        <v/>
      </c>
      <c r="H405" s="3" t="str">
        <f>IF(ISBLANK(A405), "", IF(D405&gt;0, IF(COUNTIF(Expenses!E:E, D405)&gt;0, "Matched", "Unmatched"), IF(E405&gt;0, IF(COUNTIF(Income!F:F, E405)&gt;0, "Matched", "Unmatched"), "")))</f>
        <v/>
      </c>
    </row>
    <row r="406">
      <c r="D406" s="2"/>
      <c r="E406" s="2"/>
      <c r="F406" s="2"/>
      <c r="G406" s="3" t="str">
        <f t="shared" si="1"/>
        <v/>
      </c>
      <c r="H406" s="3" t="str">
        <f>IF(ISBLANK(A406), "", IF(D406&gt;0, IF(COUNTIF(Expenses!E:E, D406)&gt;0, "Matched", "Unmatched"), IF(E406&gt;0, IF(COUNTIF(Income!F:F, E406)&gt;0, "Matched", "Unmatched"), "")))</f>
        <v/>
      </c>
    </row>
    <row r="407">
      <c r="D407" s="2"/>
      <c r="E407" s="2"/>
      <c r="F407" s="2"/>
      <c r="G407" s="3" t="str">
        <f t="shared" si="1"/>
        <v/>
      </c>
      <c r="H407" s="3" t="str">
        <f>IF(ISBLANK(A407), "", IF(D407&gt;0, IF(COUNTIF(Expenses!E:E, D407)&gt;0, "Matched", "Unmatched"), IF(E407&gt;0, IF(COUNTIF(Income!F:F, E407)&gt;0, "Matched", "Unmatched"), "")))</f>
        <v/>
      </c>
    </row>
    <row r="408">
      <c r="D408" s="2"/>
      <c r="E408" s="2"/>
      <c r="F408" s="2"/>
      <c r="G408" s="3" t="str">
        <f t="shared" si="1"/>
        <v/>
      </c>
      <c r="H408" s="3" t="str">
        <f>IF(ISBLANK(A408), "", IF(D408&gt;0, IF(COUNTIF(Expenses!E:E, D408)&gt;0, "Matched", "Unmatched"), IF(E408&gt;0, IF(COUNTIF(Income!F:F, E408)&gt;0, "Matched", "Unmatched"), "")))</f>
        <v/>
      </c>
    </row>
    <row r="409">
      <c r="D409" s="2"/>
      <c r="E409" s="2"/>
      <c r="F409" s="2"/>
      <c r="G409" s="3" t="str">
        <f t="shared" si="1"/>
        <v/>
      </c>
      <c r="H409" s="3" t="str">
        <f>IF(ISBLANK(A409), "", IF(D409&gt;0, IF(COUNTIF(Expenses!E:E, D409)&gt;0, "Matched", "Unmatched"), IF(E409&gt;0, IF(COUNTIF(Income!F:F, E409)&gt;0, "Matched", "Unmatched"), "")))</f>
        <v/>
      </c>
    </row>
    <row r="410">
      <c r="D410" s="2"/>
      <c r="E410" s="2"/>
      <c r="F410" s="2"/>
      <c r="G410" s="3" t="str">
        <f t="shared" si="1"/>
        <v/>
      </c>
      <c r="H410" s="3" t="str">
        <f>IF(ISBLANK(A410), "", IF(D410&gt;0, IF(COUNTIF(Expenses!E:E, D410)&gt;0, "Matched", "Unmatched"), IF(E410&gt;0, IF(COUNTIF(Income!F:F, E410)&gt;0, "Matched", "Unmatched"), "")))</f>
        <v/>
      </c>
    </row>
    <row r="411">
      <c r="D411" s="2"/>
      <c r="E411" s="2"/>
      <c r="F411" s="2"/>
      <c r="G411" s="3" t="str">
        <f t="shared" si="1"/>
        <v/>
      </c>
      <c r="H411" s="3" t="str">
        <f>IF(ISBLANK(A411), "", IF(D411&gt;0, IF(COUNTIF(Expenses!E:E, D411)&gt;0, "Matched", "Unmatched"), IF(E411&gt;0, IF(COUNTIF(Income!F:F, E411)&gt;0, "Matched", "Unmatched"), "")))</f>
        <v/>
      </c>
    </row>
    <row r="412">
      <c r="D412" s="2"/>
      <c r="E412" s="2"/>
      <c r="F412" s="2"/>
      <c r="G412" s="3" t="str">
        <f t="shared" si="1"/>
        <v/>
      </c>
      <c r="H412" s="3" t="str">
        <f>IF(ISBLANK(A412), "", IF(D412&gt;0, IF(COUNTIF(Expenses!E:E, D412)&gt;0, "Matched", "Unmatched"), IF(E412&gt;0, IF(COUNTIF(Income!F:F, E412)&gt;0, "Matched", "Unmatched"), "")))</f>
        <v/>
      </c>
    </row>
    <row r="413">
      <c r="D413" s="2"/>
      <c r="E413" s="2"/>
      <c r="F413" s="2"/>
      <c r="G413" s="3" t="str">
        <f t="shared" si="1"/>
        <v/>
      </c>
      <c r="H413" s="3" t="str">
        <f>IF(ISBLANK(A413), "", IF(D413&gt;0, IF(COUNTIF(Expenses!E:E, D413)&gt;0, "Matched", "Unmatched"), IF(E413&gt;0, IF(COUNTIF(Income!F:F, E413)&gt;0, "Matched", "Unmatched"), "")))</f>
        <v/>
      </c>
    </row>
    <row r="414">
      <c r="D414" s="2"/>
      <c r="E414" s="2"/>
      <c r="F414" s="2"/>
      <c r="G414" s="3" t="str">
        <f t="shared" si="1"/>
        <v/>
      </c>
      <c r="H414" s="3" t="str">
        <f>IF(ISBLANK(A414), "", IF(D414&gt;0, IF(COUNTIF(Expenses!E:E, D414)&gt;0, "Matched", "Unmatched"), IF(E414&gt;0, IF(COUNTIF(Income!F:F, E414)&gt;0, "Matched", "Unmatched"), "")))</f>
        <v/>
      </c>
    </row>
    <row r="415">
      <c r="D415" s="2"/>
      <c r="E415" s="2"/>
      <c r="F415" s="2"/>
      <c r="G415" s="3" t="str">
        <f t="shared" si="1"/>
        <v/>
      </c>
      <c r="H415" s="3" t="str">
        <f>IF(ISBLANK(A415), "", IF(D415&gt;0, IF(COUNTIF(Expenses!E:E, D415)&gt;0, "Matched", "Unmatched"), IF(E415&gt;0, IF(COUNTIF(Income!F:F, E415)&gt;0, "Matched", "Unmatched"), "")))</f>
        <v/>
      </c>
    </row>
    <row r="416">
      <c r="D416" s="2"/>
      <c r="E416" s="2"/>
      <c r="F416" s="2"/>
      <c r="G416" s="3" t="str">
        <f t="shared" si="1"/>
        <v/>
      </c>
      <c r="H416" s="3" t="str">
        <f>IF(ISBLANK(A416), "", IF(D416&gt;0, IF(COUNTIF(Expenses!E:E, D416)&gt;0, "Matched", "Unmatched"), IF(E416&gt;0, IF(COUNTIF(Income!F:F, E416)&gt;0, "Matched", "Unmatched"), "")))</f>
        <v/>
      </c>
    </row>
    <row r="417">
      <c r="D417" s="2"/>
      <c r="E417" s="2"/>
      <c r="F417" s="2"/>
      <c r="G417" s="3" t="str">
        <f t="shared" si="1"/>
        <v/>
      </c>
      <c r="H417" s="3" t="str">
        <f>IF(ISBLANK(A417), "", IF(D417&gt;0, IF(COUNTIF(Expenses!E:E, D417)&gt;0, "Matched", "Unmatched"), IF(E417&gt;0, IF(COUNTIF(Income!F:F, E417)&gt;0, "Matched", "Unmatched"), "")))</f>
        <v/>
      </c>
    </row>
    <row r="418">
      <c r="D418" s="2"/>
      <c r="E418" s="2"/>
      <c r="F418" s="2"/>
      <c r="G418" s="3" t="str">
        <f t="shared" si="1"/>
        <v/>
      </c>
      <c r="H418" s="3" t="str">
        <f>IF(ISBLANK(A418), "", IF(D418&gt;0, IF(COUNTIF(Expenses!E:E, D418)&gt;0, "Matched", "Unmatched"), IF(E418&gt;0, IF(COUNTIF(Income!F:F, E418)&gt;0, "Matched", "Unmatched"), "")))</f>
        <v/>
      </c>
    </row>
    <row r="419">
      <c r="D419" s="2"/>
      <c r="E419" s="2"/>
      <c r="F419" s="2"/>
      <c r="G419" s="3" t="str">
        <f t="shared" si="1"/>
        <v/>
      </c>
      <c r="H419" s="3" t="str">
        <f>IF(ISBLANK(A419), "", IF(D419&gt;0, IF(COUNTIF(Expenses!E:E, D419)&gt;0, "Matched", "Unmatched"), IF(E419&gt;0, IF(COUNTIF(Income!F:F, E419)&gt;0, "Matched", "Unmatched"), "")))</f>
        <v/>
      </c>
    </row>
    <row r="420">
      <c r="D420" s="2"/>
      <c r="E420" s="2"/>
      <c r="F420" s="2"/>
      <c r="G420" s="3" t="str">
        <f t="shared" si="1"/>
        <v/>
      </c>
      <c r="H420" s="3" t="str">
        <f>IF(ISBLANK(A420), "", IF(D420&gt;0, IF(COUNTIF(Expenses!E:E, D420)&gt;0, "Matched", "Unmatched"), IF(E420&gt;0, IF(COUNTIF(Income!F:F, E420)&gt;0, "Matched", "Unmatched"), "")))</f>
        <v/>
      </c>
    </row>
    <row r="421">
      <c r="D421" s="2"/>
      <c r="E421" s="2"/>
      <c r="F421" s="2"/>
      <c r="G421" s="3" t="str">
        <f t="shared" si="1"/>
        <v/>
      </c>
      <c r="H421" s="3" t="str">
        <f>IF(ISBLANK(A421), "", IF(D421&gt;0, IF(COUNTIF(Expenses!E:E, D421)&gt;0, "Matched", "Unmatched"), IF(E421&gt;0, IF(COUNTIF(Income!F:F, E421)&gt;0, "Matched", "Unmatched"), "")))</f>
        <v/>
      </c>
    </row>
    <row r="422">
      <c r="D422" s="2"/>
      <c r="E422" s="2"/>
      <c r="F422" s="2"/>
      <c r="G422" s="3" t="str">
        <f t="shared" si="1"/>
        <v/>
      </c>
      <c r="H422" s="3" t="str">
        <f>IF(ISBLANK(A422), "", IF(D422&gt;0, IF(COUNTIF(Expenses!E:E, D422)&gt;0, "Matched", "Unmatched"), IF(E422&gt;0, IF(COUNTIF(Income!F:F, E422)&gt;0, "Matched", "Unmatched"), "")))</f>
        <v/>
      </c>
    </row>
    <row r="423">
      <c r="D423" s="2"/>
      <c r="E423" s="2"/>
      <c r="F423" s="2"/>
      <c r="G423" s="3" t="str">
        <f t="shared" si="1"/>
        <v/>
      </c>
      <c r="H423" s="3" t="str">
        <f>IF(ISBLANK(A423), "", IF(D423&gt;0, IF(COUNTIF(Expenses!E:E, D423)&gt;0, "Matched", "Unmatched"), IF(E423&gt;0, IF(COUNTIF(Income!F:F, E423)&gt;0, "Matched", "Unmatched"), "")))</f>
        <v/>
      </c>
    </row>
    <row r="424">
      <c r="D424" s="2"/>
      <c r="E424" s="2"/>
      <c r="F424" s="2"/>
      <c r="G424" s="3" t="str">
        <f t="shared" si="1"/>
        <v/>
      </c>
      <c r="H424" s="3" t="str">
        <f>IF(ISBLANK(A424), "", IF(D424&gt;0, IF(COUNTIF(Expenses!E:E, D424)&gt;0, "Matched", "Unmatched"), IF(E424&gt;0, IF(COUNTIF(Income!F:F, E424)&gt;0, "Matched", "Unmatched"), "")))</f>
        <v/>
      </c>
    </row>
    <row r="425">
      <c r="D425" s="2"/>
      <c r="E425" s="2"/>
      <c r="F425" s="2"/>
      <c r="G425" s="3" t="str">
        <f t="shared" si="1"/>
        <v/>
      </c>
      <c r="H425" s="3" t="str">
        <f>IF(ISBLANK(A425), "", IF(D425&gt;0, IF(COUNTIF(Expenses!E:E, D425)&gt;0, "Matched", "Unmatched"), IF(E425&gt;0, IF(COUNTIF(Income!F:F, E425)&gt;0, "Matched", "Unmatched"), "")))</f>
        <v/>
      </c>
    </row>
    <row r="426">
      <c r="D426" s="2"/>
      <c r="E426" s="2"/>
      <c r="F426" s="2"/>
      <c r="G426" s="3" t="str">
        <f t="shared" si="1"/>
        <v/>
      </c>
      <c r="H426" s="3" t="str">
        <f>IF(ISBLANK(A426), "", IF(D426&gt;0, IF(COUNTIF(Expenses!E:E, D426)&gt;0, "Matched", "Unmatched"), IF(E426&gt;0, IF(COUNTIF(Income!F:F, E426)&gt;0, "Matched", "Unmatched"), "")))</f>
        <v/>
      </c>
    </row>
    <row r="427">
      <c r="D427" s="2"/>
      <c r="E427" s="2"/>
      <c r="F427" s="2"/>
      <c r="G427" s="3" t="str">
        <f t="shared" si="1"/>
        <v/>
      </c>
      <c r="H427" s="3" t="str">
        <f>IF(ISBLANK(A427), "", IF(D427&gt;0, IF(COUNTIF(Expenses!E:E, D427)&gt;0, "Matched", "Unmatched"), IF(E427&gt;0, IF(COUNTIF(Income!F:F, E427)&gt;0, "Matched", "Unmatched"), "")))</f>
        <v/>
      </c>
    </row>
    <row r="428">
      <c r="D428" s="2"/>
      <c r="E428" s="2"/>
      <c r="F428" s="2"/>
      <c r="G428" s="3" t="str">
        <f t="shared" si="1"/>
        <v/>
      </c>
      <c r="H428" s="3" t="str">
        <f>IF(ISBLANK(A428), "", IF(D428&gt;0, IF(COUNTIF(Expenses!E:E, D428)&gt;0, "Matched", "Unmatched"), IF(E428&gt;0, IF(COUNTIF(Income!F:F, E428)&gt;0, "Matched", "Unmatched"), "")))</f>
        <v/>
      </c>
    </row>
    <row r="429">
      <c r="D429" s="2"/>
      <c r="E429" s="2"/>
      <c r="F429" s="2"/>
      <c r="G429" s="3" t="str">
        <f t="shared" si="1"/>
        <v/>
      </c>
      <c r="H429" s="3" t="str">
        <f>IF(ISBLANK(A429), "", IF(D429&gt;0, IF(COUNTIF(Expenses!E:E, D429)&gt;0, "Matched", "Unmatched"), IF(E429&gt;0, IF(COUNTIF(Income!F:F, E429)&gt;0, "Matched", "Unmatched"), "")))</f>
        <v/>
      </c>
    </row>
    <row r="430">
      <c r="D430" s="2"/>
      <c r="E430" s="2"/>
      <c r="F430" s="2"/>
      <c r="G430" s="3" t="str">
        <f t="shared" si="1"/>
        <v/>
      </c>
      <c r="H430" s="3" t="str">
        <f>IF(ISBLANK(A430), "", IF(D430&gt;0, IF(COUNTIF(Expenses!E:E, D430)&gt;0, "Matched", "Unmatched"), IF(E430&gt;0, IF(COUNTIF(Income!F:F, E430)&gt;0, "Matched", "Unmatched"), "")))</f>
        <v/>
      </c>
    </row>
    <row r="431">
      <c r="D431" s="2"/>
      <c r="E431" s="2"/>
      <c r="F431" s="2"/>
      <c r="G431" s="3" t="str">
        <f t="shared" si="1"/>
        <v/>
      </c>
      <c r="H431" s="3" t="str">
        <f>IF(ISBLANK(A431), "", IF(D431&gt;0, IF(COUNTIF(Expenses!E:E, D431)&gt;0, "Matched", "Unmatched"), IF(E431&gt;0, IF(COUNTIF(Income!F:F, E431)&gt;0, "Matched", "Unmatched"), "")))</f>
        <v/>
      </c>
    </row>
    <row r="432">
      <c r="D432" s="2"/>
      <c r="E432" s="2"/>
      <c r="F432" s="2"/>
      <c r="G432" s="3" t="str">
        <f t="shared" si="1"/>
        <v/>
      </c>
      <c r="H432" s="3" t="str">
        <f>IF(ISBLANK(A432), "", IF(D432&gt;0, IF(COUNTIF(Expenses!E:E, D432)&gt;0, "Matched", "Unmatched"), IF(E432&gt;0, IF(COUNTIF(Income!F:F, E432)&gt;0, "Matched", "Unmatched"), "")))</f>
        <v/>
      </c>
    </row>
    <row r="433">
      <c r="D433" s="2"/>
      <c r="E433" s="2"/>
      <c r="F433" s="2"/>
      <c r="G433" s="3" t="str">
        <f t="shared" si="1"/>
        <v/>
      </c>
      <c r="H433" s="3" t="str">
        <f>IF(ISBLANK(A433), "", IF(D433&gt;0, IF(COUNTIF(Expenses!E:E, D433)&gt;0, "Matched", "Unmatched"), IF(E433&gt;0, IF(COUNTIF(Income!F:F, E433)&gt;0, "Matched", "Unmatched"), "")))</f>
        <v/>
      </c>
    </row>
    <row r="434">
      <c r="D434" s="2"/>
      <c r="E434" s="2"/>
      <c r="F434" s="2"/>
      <c r="G434" s="3" t="str">
        <f t="shared" si="1"/>
        <v/>
      </c>
      <c r="H434" s="3" t="str">
        <f>IF(ISBLANK(A434), "", IF(D434&gt;0, IF(COUNTIF(Expenses!E:E, D434)&gt;0, "Matched", "Unmatched"), IF(E434&gt;0, IF(COUNTIF(Income!F:F, E434)&gt;0, "Matched", "Unmatched"), "")))</f>
        <v/>
      </c>
    </row>
    <row r="435">
      <c r="D435" s="2"/>
      <c r="E435" s="2"/>
      <c r="F435" s="2"/>
      <c r="G435" s="3" t="str">
        <f t="shared" si="1"/>
        <v/>
      </c>
      <c r="H435" s="3" t="str">
        <f>IF(ISBLANK(A435), "", IF(D435&gt;0, IF(COUNTIF(Expenses!E:E, D435)&gt;0, "Matched", "Unmatched"), IF(E435&gt;0, IF(COUNTIF(Income!F:F, E435)&gt;0, "Matched", "Unmatched"), "")))</f>
        <v/>
      </c>
    </row>
    <row r="436">
      <c r="D436" s="2"/>
      <c r="E436" s="2"/>
      <c r="F436" s="2"/>
      <c r="G436" s="3" t="str">
        <f t="shared" si="1"/>
        <v/>
      </c>
      <c r="H436" s="3" t="str">
        <f>IF(ISBLANK(A436), "", IF(D436&gt;0, IF(COUNTIF(Expenses!E:E, D436)&gt;0, "Matched", "Unmatched"), IF(E436&gt;0, IF(COUNTIF(Income!F:F, E436)&gt;0, "Matched", "Unmatched"), "")))</f>
        <v/>
      </c>
    </row>
    <row r="437">
      <c r="D437" s="2"/>
      <c r="E437" s="2"/>
      <c r="F437" s="2"/>
      <c r="G437" s="3" t="str">
        <f t="shared" si="1"/>
        <v/>
      </c>
      <c r="H437" s="3" t="str">
        <f>IF(ISBLANK(A437), "", IF(D437&gt;0, IF(COUNTIF(Expenses!E:E, D437)&gt;0, "Matched", "Unmatched"), IF(E437&gt;0, IF(COUNTIF(Income!F:F, E437)&gt;0, "Matched", "Unmatched"), "")))</f>
        <v/>
      </c>
    </row>
    <row r="438">
      <c r="D438" s="2"/>
      <c r="E438" s="2"/>
      <c r="F438" s="2"/>
      <c r="G438" s="3" t="str">
        <f t="shared" si="1"/>
        <v/>
      </c>
      <c r="H438" s="3" t="str">
        <f>IF(ISBLANK(A438), "", IF(D438&gt;0, IF(COUNTIF(Expenses!E:E, D438)&gt;0, "Matched", "Unmatched"), IF(E438&gt;0, IF(COUNTIF(Income!F:F, E438)&gt;0, "Matched", "Unmatched"), "")))</f>
        <v/>
      </c>
    </row>
    <row r="439">
      <c r="D439" s="2"/>
      <c r="E439" s="2"/>
      <c r="F439" s="2"/>
      <c r="G439" s="3" t="str">
        <f t="shared" si="1"/>
        <v/>
      </c>
      <c r="H439" s="3" t="str">
        <f>IF(ISBLANK(A439), "", IF(D439&gt;0, IF(COUNTIF(Expenses!E:E, D439)&gt;0, "Matched", "Unmatched"), IF(E439&gt;0, IF(COUNTIF(Income!F:F, E439)&gt;0, "Matched", "Unmatched"), "")))</f>
        <v/>
      </c>
    </row>
    <row r="440">
      <c r="D440" s="2"/>
      <c r="E440" s="2"/>
      <c r="F440" s="2"/>
      <c r="G440" s="3" t="str">
        <f t="shared" si="1"/>
        <v/>
      </c>
      <c r="H440" s="3" t="str">
        <f>IF(ISBLANK(A440), "", IF(D440&gt;0, IF(COUNTIF(Expenses!E:E, D440)&gt;0, "Matched", "Unmatched"), IF(E440&gt;0, IF(COUNTIF(Income!F:F, E440)&gt;0, "Matched", "Unmatched"), "")))</f>
        <v/>
      </c>
    </row>
    <row r="441">
      <c r="D441" s="2"/>
      <c r="E441" s="2"/>
      <c r="F441" s="2"/>
      <c r="G441" s="3" t="str">
        <f t="shared" si="1"/>
        <v/>
      </c>
      <c r="H441" s="3" t="str">
        <f>IF(ISBLANK(A441), "", IF(D441&gt;0, IF(COUNTIF(Expenses!E:E, D441)&gt;0, "Matched", "Unmatched"), IF(E441&gt;0, IF(COUNTIF(Income!F:F, E441)&gt;0, "Matched", "Unmatched"), "")))</f>
        <v/>
      </c>
    </row>
    <row r="442">
      <c r="D442" s="2"/>
      <c r="E442" s="2"/>
      <c r="F442" s="2"/>
      <c r="G442" s="3" t="str">
        <f t="shared" si="1"/>
        <v/>
      </c>
      <c r="H442" s="3" t="str">
        <f>IF(ISBLANK(A442), "", IF(D442&gt;0, IF(COUNTIF(Expenses!E:E, D442)&gt;0, "Matched", "Unmatched"), IF(E442&gt;0, IF(COUNTIF(Income!F:F, E442)&gt;0, "Matched", "Unmatched"), "")))</f>
        <v/>
      </c>
    </row>
    <row r="443">
      <c r="D443" s="2"/>
      <c r="E443" s="2"/>
      <c r="F443" s="2"/>
      <c r="G443" s="3" t="str">
        <f t="shared" si="1"/>
        <v/>
      </c>
      <c r="H443" s="3" t="str">
        <f>IF(ISBLANK(A443), "", IF(D443&gt;0, IF(COUNTIF(Expenses!E:E, D443)&gt;0, "Matched", "Unmatched"), IF(E443&gt;0, IF(COUNTIF(Income!F:F, E443)&gt;0, "Matched", "Unmatched"), "")))</f>
        <v/>
      </c>
    </row>
    <row r="444">
      <c r="D444" s="2"/>
      <c r="E444" s="2"/>
      <c r="F444" s="2"/>
      <c r="G444" s="3" t="str">
        <f t="shared" si="1"/>
        <v/>
      </c>
      <c r="H444" s="3" t="str">
        <f>IF(ISBLANK(A444), "", IF(D444&gt;0, IF(COUNTIF(Expenses!E:E, D444)&gt;0, "Matched", "Unmatched"), IF(E444&gt;0, IF(COUNTIF(Income!F:F, E444)&gt;0, "Matched", "Unmatched"), "")))</f>
        <v/>
      </c>
    </row>
    <row r="445">
      <c r="D445" s="2"/>
      <c r="E445" s="2"/>
      <c r="F445" s="2"/>
      <c r="G445" s="3" t="str">
        <f t="shared" si="1"/>
        <v/>
      </c>
      <c r="H445" s="3" t="str">
        <f>IF(ISBLANK(A445), "", IF(D445&gt;0, IF(COUNTIF(Expenses!E:E, D445)&gt;0, "Matched", "Unmatched"), IF(E445&gt;0, IF(COUNTIF(Income!F:F, E445)&gt;0, "Matched", "Unmatched"), "")))</f>
        <v/>
      </c>
    </row>
    <row r="446">
      <c r="D446" s="2"/>
      <c r="E446" s="2"/>
      <c r="F446" s="2"/>
      <c r="G446" s="3" t="str">
        <f t="shared" si="1"/>
        <v/>
      </c>
      <c r="H446" s="3" t="str">
        <f>IF(ISBLANK(A446), "", IF(D446&gt;0, IF(COUNTIF(Expenses!E:E, D446)&gt;0, "Matched", "Unmatched"), IF(E446&gt;0, IF(COUNTIF(Income!F:F, E446)&gt;0, "Matched", "Unmatched"), "")))</f>
        <v/>
      </c>
    </row>
    <row r="447">
      <c r="D447" s="2"/>
      <c r="E447" s="2"/>
      <c r="F447" s="2"/>
      <c r="G447" s="3" t="str">
        <f t="shared" si="1"/>
        <v/>
      </c>
      <c r="H447" s="3" t="str">
        <f>IF(ISBLANK(A447), "", IF(D447&gt;0, IF(COUNTIF(Expenses!E:E, D447)&gt;0, "Matched", "Unmatched"), IF(E447&gt;0, IF(COUNTIF(Income!F:F, E447)&gt;0, "Matched", "Unmatched"), "")))</f>
        <v/>
      </c>
    </row>
    <row r="448">
      <c r="D448" s="2"/>
      <c r="E448" s="2"/>
      <c r="F448" s="2"/>
      <c r="G448" s="3" t="str">
        <f t="shared" si="1"/>
        <v/>
      </c>
      <c r="H448" s="3" t="str">
        <f>IF(ISBLANK(A448), "", IF(D448&gt;0, IF(COUNTIF(Expenses!E:E, D448)&gt;0, "Matched", "Unmatched"), IF(E448&gt;0, IF(COUNTIF(Income!F:F, E448)&gt;0, "Matched", "Unmatched"), "")))</f>
        <v/>
      </c>
    </row>
    <row r="449">
      <c r="D449" s="2"/>
      <c r="E449" s="2"/>
      <c r="F449" s="2"/>
      <c r="G449" s="3" t="str">
        <f t="shared" si="1"/>
        <v/>
      </c>
      <c r="H449" s="3" t="str">
        <f>IF(ISBLANK(A449), "", IF(D449&gt;0, IF(COUNTIF(Expenses!E:E, D449)&gt;0, "Matched", "Unmatched"), IF(E449&gt;0, IF(COUNTIF(Income!F:F, E449)&gt;0, "Matched", "Unmatched"), "")))</f>
        <v/>
      </c>
    </row>
    <row r="450">
      <c r="D450" s="2"/>
      <c r="E450" s="2"/>
      <c r="F450" s="2"/>
      <c r="G450" s="3" t="str">
        <f t="shared" si="1"/>
        <v/>
      </c>
      <c r="H450" s="3" t="str">
        <f>IF(ISBLANK(A450), "", IF(D450&gt;0, IF(COUNTIF(Expenses!E:E, D450)&gt;0, "Matched", "Unmatched"), IF(E450&gt;0, IF(COUNTIF(Income!F:F, E450)&gt;0, "Matched", "Unmatched"), "")))</f>
        <v/>
      </c>
    </row>
    <row r="451">
      <c r="D451" s="2"/>
      <c r="E451" s="2"/>
      <c r="F451" s="2"/>
      <c r="G451" s="3" t="str">
        <f t="shared" si="1"/>
        <v/>
      </c>
      <c r="H451" s="3" t="str">
        <f>IF(ISBLANK(A451), "", IF(D451&gt;0, IF(COUNTIF(Expenses!E:E, D451)&gt;0, "Matched", "Unmatched"), IF(E451&gt;0, IF(COUNTIF(Income!F:F, E451)&gt;0, "Matched", "Unmatched"), "")))</f>
        <v/>
      </c>
    </row>
    <row r="452">
      <c r="D452" s="2"/>
      <c r="E452" s="2"/>
      <c r="F452" s="2"/>
      <c r="G452" s="3" t="str">
        <f t="shared" si="1"/>
        <v/>
      </c>
      <c r="H452" s="3" t="str">
        <f>IF(ISBLANK(A452), "", IF(D452&gt;0, IF(COUNTIF(Expenses!E:E, D452)&gt;0, "Matched", "Unmatched"), IF(E452&gt;0, IF(COUNTIF(Income!F:F, E452)&gt;0, "Matched", "Unmatched"), "")))</f>
        <v/>
      </c>
    </row>
    <row r="453">
      <c r="D453" s="2"/>
      <c r="E453" s="2"/>
      <c r="F453" s="2"/>
      <c r="G453" s="3" t="str">
        <f t="shared" si="1"/>
        <v/>
      </c>
      <c r="H453" s="3" t="str">
        <f>IF(ISBLANK(A453), "", IF(D453&gt;0, IF(COUNTIF(Expenses!E:E, D453)&gt;0, "Matched", "Unmatched"), IF(E453&gt;0, IF(COUNTIF(Income!F:F, E453)&gt;0, "Matched", "Unmatched"), "")))</f>
        <v/>
      </c>
    </row>
    <row r="454">
      <c r="D454" s="2"/>
      <c r="E454" s="2"/>
      <c r="F454" s="2"/>
      <c r="G454" s="3" t="str">
        <f t="shared" si="1"/>
        <v/>
      </c>
      <c r="H454" s="3" t="str">
        <f>IF(ISBLANK(A454), "", IF(D454&gt;0, IF(COUNTIF(Expenses!E:E, D454)&gt;0, "Matched", "Unmatched"), IF(E454&gt;0, IF(COUNTIF(Income!F:F, E454)&gt;0, "Matched", "Unmatched"), "")))</f>
        <v/>
      </c>
    </row>
    <row r="455">
      <c r="D455" s="2"/>
      <c r="E455" s="2"/>
      <c r="F455" s="2"/>
      <c r="G455" s="3" t="str">
        <f t="shared" si="1"/>
        <v/>
      </c>
      <c r="H455" s="3" t="str">
        <f>IF(ISBLANK(A455), "", IF(D455&gt;0, IF(COUNTIF(Expenses!E:E, D455)&gt;0, "Matched", "Unmatched"), IF(E455&gt;0, IF(COUNTIF(Income!F:F, E455)&gt;0, "Matched", "Unmatched"), "")))</f>
        <v/>
      </c>
    </row>
    <row r="456">
      <c r="D456" s="2"/>
      <c r="E456" s="2"/>
      <c r="F456" s="2"/>
      <c r="G456" s="3" t="str">
        <f t="shared" si="1"/>
        <v/>
      </c>
      <c r="H456" s="3" t="str">
        <f>IF(ISBLANK(A456), "", IF(D456&gt;0, IF(COUNTIF(Expenses!E:E, D456)&gt;0, "Matched", "Unmatched"), IF(E456&gt;0, IF(COUNTIF(Income!F:F, E456)&gt;0, "Matched", "Unmatched"), "")))</f>
        <v/>
      </c>
    </row>
    <row r="457">
      <c r="D457" s="2"/>
      <c r="E457" s="2"/>
      <c r="F457" s="2"/>
      <c r="G457" s="3" t="str">
        <f t="shared" si="1"/>
        <v/>
      </c>
      <c r="H457" s="3" t="str">
        <f>IF(ISBLANK(A457), "", IF(D457&gt;0, IF(COUNTIF(Expenses!E:E, D457)&gt;0, "Matched", "Unmatched"), IF(E457&gt;0, IF(COUNTIF(Income!F:F, E457)&gt;0, "Matched", "Unmatched"), "")))</f>
        <v/>
      </c>
    </row>
    <row r="458">
      <c r="D458" s="2"/>
      <c r="E458" s="2"/>
      <c r="F458" s="2"/>
      <c r="G458" s="3" t="str">
        <f t="shared" si="1"/>
        <v/>
      </c>
      <c r="H458" s="3" t="str">
        <f>IF(ISBLANK(A458), "", IF(D458&gt;0, IF(COUNTIF(Expenses!E:E, D458)&gt;0, "Matched", "Unmatched"), IF(E458&gt;0, IF(COUNTIF(Income!F:F, E458)&gt;0, "Matched", "Unmatched"), "")))</f>
        <v/>
      </c>
    </row>
    <row r="459">
      <c r="D459" s="2"/>
      <c r="E459" s="2"/>
      <c r="F459" s="2"/>
      <c r="G459" s="3" t="str">
        <f t="shared" si="1"/>
        <v/>
      </c>
      <c r="H459" s="3" t="str">
        <f>IF(ISBLANK(A459), "", IF(D459&gt;0, IF(COUNTIF(Expenses!E:E, D459)&gt;0, "Matched", "Unmatched"), IF(E459&gt;0, IF(COUNTIF(Income!F:F, E459)&gt;0, "Matched", "Unmatched"), "")))</f>
        <v/>
      </c>
    </row>
    <row r="460">
      <c r="D460" s="2"/>
      <c r="E460" s="2"/>
      <c r="F460" s="2"/>
      <c r="G460" s="3" t="str">
        <f t="shared" si="1"/>
        <v/>
      </c>
      <c r="H460" s="3" t="str">
        <f>IF(ISBLANK(A460), "", IF(D460&gt;0, IF(COUNTIF(Expenses!E:E, D460)&gt;0, "Matched", "Unmatched"), IF(E460&gt;0, IF(COUNTIF(Income!F:F, E460)&gt;0, "Matched", "Unmatched"), "")))</f>
        <v/>
      </c>
    </row>
    <row r="461">
      <c r="D461" s="2"/>
      <c r="E461" s="2"/>
      <c r="F461" s="2"/>
      <c r="G461" s="3" t="str">
        <f t="shared" si="1"/>
        <v/>
      </c>
      <c r="H461" s="3" t="str">
        <f>IF(ISBLANK(A461), "", IF(D461&gt;0, IF(COUNTIF(Expenses!E:E, D461)&gt;0, "Matched", "Unmatched"), IF(E461&gt;0, IF(COUNTIF(Income!F:F, E461)&gt;0, "Matched", "Unmatched"), "")))</f>
        <v/>
      </c>
    </row>
    <row r="462">
      <c r="D462" s="2"/>
      <c r="E462" s="2"/>
      <c r="F462" s="2"/>
      <c r="G462" s="3" t="str">
        <f t="shared" si="1"/>
        <v/>
      </c>
      <c r="H462" s="3" t="str">
        <f>IF(ISBLANK(A462), "", IF(D462&gt;0, IF(COUNTIF(Expenses!E:E, D462)&gt;0, "Matched", "Unmatched"), IF(E462&gt;0, IF(COUNTIF(Income!F:F, E462)&gt;0, "Matched", "Unmatched"), "")))</f>
        <v/>
      </c>
    </row>
    <row r="463">
      <c r="D463" s="2"/>
      <c r="E463" s="2"/>
      <c r="F463" s="2"/>
      <c r="G463" s="3" t="str">
        <f t="shared" si="1"/>
        <v/>
      </c>
      <c r="H463" s="3" t="str">
        <f>IF(ISBLANK(A463), "", IF(D463&gt;0, IF(COUNTIF(Expenses!E:E, D463)&gt;0, "Matched", "Unmatched"), IF(E463&gt;0, IF(COUNTIF(Income!F:F, E463)&gt;0, "Matched", "Unmatched"), "")))</f>
        <v/>
      </c>
    </row>
    <row r="464">
      <c r="D464" s="2"/>
      <c r="E464" s="2"/>
      <c r="F464" s="2"/>
      <c r="G464" s="3" t="str">
        <f t="shared" si="1"/>
        <v/>
      </c>
      <c r="H464" s="3" t="str">
        <f>IF(ISBLANK(A464), "", IF(D464&gt;0, IF(COUNTIF(Expenses!E:E, D464)&gt;0, "Matched", "Unmatched"), IF(E464&gt;0, IF(COUNTIF(Income!F:F, E464)&gt;0, "Matched", "Unmatched"), "")))</f>
        <v/>
      </c>
    </row>
    <row r="465">
      <c r="D465" s="2"/>
      <c r="E465" s="2"/>
      <c r="F465" s="2"/>
      <c r="G465" s="3" t="str">
        <f t="shared" si="1"/>
        <v/>
      </c>
      <c r="H465" s="3" t="str">
        <f>IF(ISBLANK(A465), "", IF(D465&gt;0, IF(COUNTIF(Expenses!E:E, D465)&gt;0, "Matched", "Unmatched"), IF(E465&gt;0, IF(COUNTIF(Income!F:F, E465)&gt;0, "Matched", "Unmatched"), "")))</f>
        <v/>
      </c>
    </row>
    <row r="466">
      <c r="D466" s="2"/>
      <c r="E466" s="2"/>
      <c r="F466" s="2"/>
      <c r="G466" s="3" t="str">
        <f t="shared" si="1"/>
        <v/>
      </c>
      <c r="H466" s="3" t="str">
        <f>IF(ISBLANK(A466), "", IF(D466&gt;0, IF(COUNTIF(Expenses!E:E, D466)&gt;0, "Matched", "Unmatched"), IF(E466&gt;0, IF(COUNTIF(Income!F:F, E466)&gt;0, "Matched", "Unmatched"), "")))</f>
        <v/>
      </c>
    </row>
    <row r="467">
      <c r="D467" s="2"/>
      <c r="E467" s="2"/>
      <c r="F467" s="2"/>
      <c r="G467" s="3" t="str">
        <f t="shared" si="1"/>
        <v/>
      </c>
      <c r="H467" s="3" t="str">
        <f>IF(ISBLANK(A467), "", IF(D467&gt;0, IF(COUNTIF(Expenses!E:E, D467)&gt;0, "Matched", "Unmatched"), IF(E467&gt;0, IF(COUNTIF(Income!F:F, E467)&gt;0, "Matched", "Unmatched"), "")))</f>
        <v/>
      </c>
    </row>
    <row r="468">
      <c r="D468" s="2"/>
      <c r="E468" s="2"/>
      <c r="F468" s="2"/>
      <c r="G468" s="3" t="str">
        <f t="shared" si="1"/>
        <v/>
      </c>
      <c r="H468" s="3" t="str">
        <f>IF(ISBLANK(A468), "", IF(D468&gt;0, IF(COUNTIF(Expenses!E:E, D468)&gt;0, "Matched", "Unmatched"), IF(E468&gt;0, IF(COUNTIF(Income!F:F, E468)&gt;0, "Matched", "Unmatched"), "")))</f>
        <v/>
      </c>
    </row>
    <row r="469">
      <c r="D469" s="2"/>
      <c r="E469" s="2"/>
      <c r="F469" s="2"/>
      <c r="G469" s="3" t="str">
        <f t="shared" si="1"/>
        <v/>
      </c>
      <c r="H469" s="3" t="str">
        <f>IF(ISBLANK(A469), "", IF(D469&gt;0, IF(COUNTIF(Expenses!E:E, D469)&gt;0, "Matched", "Unmatched"), IF(E469&gt;0, IF(COUNTIF(Income!F:F, E469)&gt;0, "Matched", "Unmatched"), "")))</f>
        <v/>
      </c>
    </row>
    <row r="470">
      <c r="D470" s="2"/>
      <c r="E470" s="2"/>
      <c r="F470" s="2"/>
      <c r="G470" s="3" t="str">
        <f t="shared" si="1"/>
        <v/>
      </c>
      <c r="H470" s="3" t="str">
        <f>IF(ISBLANK(A470), "", IF(D470&gt;0, IF(COUNTIF(Expenses!E:E, D470)&gt;0, "Matched", "Unmatched"), IF(E470&gt;0, IF(COUNTIF(Income!F:F, E470)&gt;0, "Matched", "Unmatched"), "")))</f>
        <v/>
      </c>
    </row>
    <row r="471">
      <c r="D471" s="2"/>
      <c r="E471" s="2"/>
      <c r="F471" s="2"/>
      <c r="G471" s="3" t="str">
        <f t="shared" si="1"/>
        <v/>
      </c>
      <c r="H471" s="3" t="str">
        <f>IF(ISBLANK(A471), "", IF(D471&gt;0, IF(COUNTIF(Expenses!E:E, D471)&gt;0, "Matched", "Unmatched"), IF(E471&gt;0, IF(COUNTIF(Income!F:F, E471)&gt;0, "Matched", "Unmatched"), "")))</f>
        <v/>
      </c>
    </row>
    <row r="472">
      <c r="D472" s="2"/>
      <c r="E472" s="2"/>
      <c r="F472" s="2"/>
      <c r="G472" s="3" t="str">
        <f t="shared" si="1"/>
        <v/>
      </c>
      <c r="H472" s="3" t="str">
        <f>IF(ISBLANK(A472), "", IF(D472&gt;0, IF(COUNTIF(Expenses!E:E, D472)&gt;0, "Matched", "Unmatched"), IF(E472&gt;0, IF(COUNTIF(Income!F:F, E472)&gt;0, "Matched", "Unmatched"), "")))</f>
        <v/>
      </c>
    </row>
    <row r="473">
      <c r="D473" s="2"/>
      <c r="E473" s="2"/>
      <c r="F473" s="2"/>
      <c r="G473" s="3" t="str">
        <f t="shared" si="1"/>
        <v/>
      </c>
      <c r="H473" s="3" t="str">
        <f>IF(ISBLANK(A473), "", IF(D473&gt;0, IF(COUNTIF(Expenses!E:E, D473)&gt;0, "Matched", "Unmatched"), IF(E473&gt;0, IF(COUNTIF(Income!F:F, E473)&gt;0, "Matched", "Unmatched"), "")))</f>
        <v/>
      </c>
    </row>
    <row r="474">
      <c r="D474" s="2"/>
      <c r="E474" s="2"/>
      <c r="F474" s="2"/>
      <c r="G474" s="3" t="str">
        <f t="shared" si="1"/>
        <v/>
      </c>
      <c r="H474" s="3" t="str">
        <f>IF(ISBLANK(A474), "", IF(D474&gt;0, IF(COUNTIF(Expenses!E:E, D474)&gt;0, "Matched", "Unmatched"), IF(E474&gt;0, IF(COUNTIF(Income!F:F, E474)&gt;0, "Matched", "Unmatched"), "")))</f>
        <v/>
      </c>
    </row>
    <row r="475">
      <c r="D475" s="2"/>
      <c r="E475" s="2"/>
      <c r="F475" s="2"/>
      <c r="G475" s="3" t="str">
        <f t="shared" si="1"/>
        <v/>
      </c>
      <c r="H475" s="3" t="str">
        <f>IF(ISBLANK(A475), "", IF(D475&gt;0, IF(COUNTIF(Expenses!E:E, D475)&gt;0, "Matched", "Unmatched"), IF(E475&gt;0, IF(COUNTIF(Income!F:F, E475)&gt;0, "Matched", "Unmatched"), "")))</f>
        <v/>
      </c>
    </row>
    <row r="476">
      <c r="D476" s="2"/>
      <c r="E476" s="2"/>
      <c r="F476" s="2"/>
      <c r="G476" s="3" t="str">
        <f t="shared" si="1"/>
        <v/>
      </c>
      <c r="H476" s="3" t="str">
        <f>IF(ISBLANK(A476), "", IF(D476&gt;0, IF(COUNTIF(Expenses!E:E, D476)&gt;0, "Matched", "Unmatched"), IF(E476&gt;0, IF(COUNTIF(Income!F:F, E476)&gt;0, "Matched", "Unmatched"), "")))</f>
        <v/>
      </c>
    </row>
    <row r="477">
      <c r="D477" s="2"/>
      <c r="E477" s="2"/>
      <c r="F477" s="2"/>
      <c r="G477" s="3" t="str">
        <f t="shared" si="1"/>
        <v/>
      </c>
      <c r="H477" s="3" t="str">
        <f>IF(ISBLANK(A477), "", IF(D477&gt;0, IF(COUNTIF(Expenses!E:E, D477)&gt;0, "Matched", "Unmatched"), IF(E477&gt;0, IF(COUNTIF(Income!F:F, E477)&gt;0, "Matched", "Unmatched"), "")))</f>
        <v/>
      </c>
    </row>
    <row r="478">
      <c r="D478" s="2"/>
      <c r="E478" s="2"/>
      <c r="F478" s="2"/>
      <c r="G478" s="3" t="str">
        <f t="shared" si="1"/>
        <v/>
      </c>
      <c r="H478" s="3" t="str">
        <f>IF(ISBLANK(A478), "", IF(D478&gt;0, IF(COUNTIF(Expenses!E:E, D478)&gt;0, "Matched", "Unmatched"), IF(E478&gt;0, IF(COUNTIF(Income!F:F, E478)&gt;0, "Matched", "Unmatched"), "")))</f>
        <v/>
      </c>
    </row>
    <row r="479">
      <c r="D479" s="2"/>
      <c r="E479" s="2"/>
      <c r="F479" s="2"/>
      <c r="G479" s="3" t="str">
        <f t="shared" si="1"/>
        <v/>
      </c>
      <c r="H479" s="3" t="str">
        <f>IF(ISBLANK(A479), "", IF(D479&gt;0, IF(COUNTIF(Expenses!E:E, D479)&gt;0, "Matched", "Unmatched"), IF(E479&gt;0, IF(COUNTIF(Income!F:F, E479)&gt;0, "Matched", "Unmatched"), "")))</f>
        <v/>
      </c>
    </row>
    <row r="480">
      <c r="D480" s="2"/>
      <c r="E480" s="2"/>
      <c r="F480" s="2"/>
      <c r="G480" s="3" t="str">
        <f t="shared" si="1"/>
        <v/>
      </c>
      <c r="H480" s="3" t="str">
        <f>IF(ISBLANK(A480), "", IF(D480&gt;0, IF(COUNTIF(Expenses!E:E, D480)&gt;0, "Matched", "Unmatched"), IF(E480&gt;0, IF(COUNTIF(Income!F:F, E480)&gt;0, "Matched", "Unmatched"), "")))</f>
        <v/>
      </c>
    </row>
    <row r="481">
      <c r="D481" s="2"/>
      <c r="E481" s="2"/>
      <c r="F481" s="2"/>
      <c r="G481" s="3" t="str">
        <f t="shared" si="1"/>
        <v/>
      </c>
      <c r="H481" s="3" t="str">
        <f>IF(ISBLANK(A481), "", IF(D481&gt;0, IF(COUNTIF(Expenses!E:E, D481)&gt;0, "Matched", "Unmatched"), IF(E481&gt;0, IF(COUNTIF(Income!F:F, E481)&gt;0, "Matched", "Unmatched"), "")))</f>
        <v/>
      </c>
    </row>
    <row r="482">
      <c r="D482" s="2"/>
      <c r="E482" s="2"/>
      <c r="F482" s="2"/>
      <c r="G482" s="3" t="str">
        <f t="shared" si="1"/>
        <v/>
      </c>
      <c r="H482" s="3" t="str">
        <f>IF(ISBLANK(A482), "", IF(D482&gt;0, IF(COUNTIF(Expenses!E:E, D482)&gt;0, "Matched", "Unmatched"), IF(E482&gt;0, IF(COUNTIF(Income!F:F, E482)&gt;0, "Matched", "Unmatched"), "")))</f>
        <v/>
      </c>
    </row>
    <row r="483">
      <c r="D483" s="2"/>
      <c r="E483" s="2"/>
      <c r="F483" s="2"/>
      <c r="G483" s="3" t="str">
        <f t="shared" si="1"/>
        <v/>
      </c>
      <c r="H483" s="3" t="str">
        <f>IF(ISBLANK(A483), "", IF(D483&gt;0, IF(COUNTIF(Expenses!E:E, D483)&gt;0, "Matched", "Unmatched"), IF(E483&gt;0, IF(COUNTIF(Income!F:F, E483)&gt;0, "Matched", "Unmatched"), "")))</f>
        <v/>
      </c>
    </row>
    <row r="484">
      <c r="D484" s="2"/>
      <c r="E484" s="2"/>
      <c r="F484" s="2"/>
      <c r="G484" s="3" t="str">
        <f t="shared" si="1"/>
        <v/>
      </c>
      <c r="H484" s="3" t="str">
        <f>IF(ISBLANK(A484), "", IF(D484&gt;0, IF(COUNTIF(Expenses!E:E, D484)&gt;0, "Matched", "Unmatched"), IF(E484&gt;0, IF(COUNTIF(Income!F:F, E484)&gt;0, "Matched", "Unmatched"), "")))</f>
        <v/>
      </c>
    </row>
    <row r="485">
      <c r="D485" s="2"/>
      <c r="E485" s="2"/>
      <c r="F485" s="2"/>
      <c r="G485" s="3" t="str">
        <f t="shared" si="1"/>
        <v/>
      </c>
      <c r="H485" s="3" t="str">
        <f>IF(ISBLANK(A485), "", IF(D485&gt;0, IF(COUNTIF(Expenses!E:E, D485)&gt;0, "Matched", "Unmatched"), IF(E485&gt;0, IF(COUNTIF(Income!F:F, E485)&gt;0, "Matched", "Unmatched"), "")))</f>
        <v/>
      </c>
    </row>
    <row r="486">
      <c r="D486" s="2"/>
      <c r="E486" s="2"/>
      <c r="F486" s="2"/>
      <c r="G486" s="3" t="str">
        <f t="shared" si="1"/>
        <v/>
      </c>
      <c r="H486" s="3" t="str">
        <f>IF(ISBLANK(A486), "", IF(D486&gt;0, IF(COUNTIF(Expenses!E:E, D486)&gt;0, "Matched", "Unmatched"), IF(E486&gt;0, IF(COUNTIF(Income!F:F, E486)&gt;0, "Matched", "Unmatched"), "")))</f>
        <v/>
      </c>
    </row>
    <row r="487">
      <c r="D487" s="2"/>
      <c r="E487" s="2"/>
      <c r="F487" s="2"/>
      <c r="G487" s="3" t="str">
        <f t="shared" si="1"/>
        <v/>
      </c>
      <c r="H487" s="3" t="str">
        <f>IF(ISBLANK(A487), "", IF(D487&gt;0, IF(COUNTIF(Expenses!E:E, D487)&gt;0, "Matched", "Unmatched"), IF(E487&gt;0, IF(COUNTIF(Income!F:F, E487)&gt;0, "Matched", "Unmatched"), "")))</f>
        <v/>
      </c>
    </row>
    <row r="488">
      <c r="D488" s="2"/>
      <c r="E488" s="2"/>
      <c r="F488" s="2"/>
      <c r="G488" s="3" t="str">
        <f t="shared" si="1"/>
        <v/>
      </c>
      <c r="H488" s="3" t="str">
        <f>IF(ISBLANK(A488), "", IF(D488&gt;0, IF(COUNTIF(Expenses!E:E, D488)&gt;0, "Matched", "Unmatched"), IF(E488&gt;0, IF(COUNTIF(Income!F:F, E488)&gt;0, "Matched", "Unmatched"), "")))</f>
        <v/>
      </c>
    </row>
    <row r="489">
      <c r="D489" s="2"/>
      <c r="E489" s="2"/>
      <c r="F489" s="2"/>
      <c r="G489" s="3" t="str">
        <f t="shared" si="1"/>
        <v/>
      </c>
      <c r="H489" s="3" t="str">
        <f>IF(ISBLANK(A489), "", IF(D489&gt;0, IF(COUNTIF(Expenses!E:E, D489)&gt;0, "Matched", "Unmatched"), IF(E489&gt;0, IF(COUNTIF(Income!F:F, E489)&gt;0, "Matched", "Unmatched"), "")))</f>
        <v/>
      </c>
    </row>
    <row r="490">
      <c r="D490" s="2"/>
      <c r="E490" s="2"/>
      <c r="F490" s="2"/>
      <c r="G490" s="3" t="str">
        <f t="shared" si="1"/>
        <v/>
      </c>
      <c r="H490" s="3" t="str">
        <f>IF(ISBLANK(A490), "", IF(D490&gt;0, IF(COUNTIF(Expenses!E:E, D490)&gt;0, "Matched", "Unmatched"), IF(E490&gt;0, IF(COUNTIF(Income!F:F, E490)&gt;0, "Matched", "Unmatched"), "")))</f>
        <v/>
      </c>
    </row>
    <row r="491">
      <c r="D491" s="2"/>
      <c r="E491" s="2"/>
      <c r="F491" s="2"/>
      <c r="G491" s="3" t="str">
        <f t="shared" si="1"/>
        <v/>
      </c>
      <c r="H491" s="3" t="str">
        <f>IF(ISBLANK(A491), "", IF(D491&gt;0, IF(COUNTIF(Expenses!E:E, D491)&gt;0, "Matched", "Unmatched"), IF(E491&gt;0, IF(COUNTIF(Income!F:F, E491)&gt;0, "Matched", "Unmatched"), "")))</f>
        <v/>
      </c>
    </row>
    <row r="492">
      <c r="D492" s="2"/>
      <c r="E492" s="2"/>
      <c r="F492" s="2"/>
      <c r="G492" s="3" t="str">
        <f t="shared" si="1"/>
        <v/>
      </c>
      <c r="H492" s="3" t="str">
        <f>IF(ISBLANK(A492), "", IF(D492&gt;0, IF(COUNTIF(Expenses!E:E, D492)&gt;0, "Matched", "Unmatched"), IF(E492&gt;0, IF(COUNTIF(Income!F:F, E492)&gt;0, "Matched", "Unmatched"), "")))</f>
        <v/>
      </c>
    </row>
    <row r="493">
      <c r="D493" s="2"/>
      <c r="E493" s="2"/>
      <c r="F493" s="2"/>
      <c r="G493" s="3" t="str">
        <f t="shared" si="1"/>
        <v/>
      </c>
      <c r="H493" s="3" t="str">
        <f>IF(ISBLANK(A493), "", IF(D493&gt;0, IF(COUNTIF(Expenses!E:E, D493)&gt;0, "Matched", "Unmatched"), IF(E493&gt;0, IF(COUNTIF(Income!F:F, E493)&gt;0, "Matched", "Unmatched"), "")))</f>
        <v/>
      </c>
    </row>
    <row r="494">
      <c r="D494" s="2"/>
      <c r="E494" s="2"/>
      <c r="F494" s="2"/>
      <c r="G494" s="3" t="str">
        <f t="shared" si="1"/>
        <v/>
      </c>
      <c r="H494" s="3" t="str">
        <f>IF(ISBLANK(A494), "", IF(D494&gt;0, IF(COUNTIF(Expenses!E:E, D494)&gt;0, "Matched", "Unmatched"), IF(E494&gt;0, IF(COUNTIF(Income!F:F, E494)&gt;0, "Matched", "Unmatched"), "")))</f>
        <v/>
      </c>
    </row>
    <row r="495">
      <c r="D495" s="2"/>
      <c r="E495" s="2"/>
      <c r="F495" s="2"/>
      <c r="G495" s="3" t="str">
        <f t="shared" si="1"/>
        <v/>
      </c>
      <c r="H495" s="3" t="str">
        <f>IF(ISBLANK(A495), "", IF(D495&gt;0, IF(COUNTIF(Expenses!E:E, D495)&gt;0, "Matched", "Unmatched"), IF(E495&gt;0, IF(COUNTIF(Income!F:F, E495)&gt;0, "Matched", "Unmatched"), "")))</f>
        <v/>
      </c>
    </row>
    <row r="496">
      <c r="D496" s="2"/>
      <c r="E496" s="2"/>
      <c r="F496" s="2"/>
      <c r="G496" s="3" t="str">
        <f t="shared" si="1"/>
        <v/>
      </c>
      <c r="H496" s="3" t="str">
        <f>IF(ISBLANK(A496), "", IF(D496&gt;0, IF(COUNTIF(Expenses!E:E, D496)&gt;0, "Matched", "Unmatched"), IF(E496&gt;0, IF(COUNTIF(Income!F:F, E496)&gt;0, "Matched", "Unmatched"), "")))</f>
        <v/>
      </c>
    </row>
    <row r="497">
      <c r="D497" s="2"/>
      <c r="E497" s="2"/>
      <c r="F497" s="2"/>
      <c r="G497" s="3" t="str">
        <f t="shared" si="1"/>
        <v/>
      </c>
      <c r="H497" s="3" t="str">
        <f>IF(ISBLANK(A497), "", IF(D497&gt;0, IF(COUNTIF(Expenses!E:E, D497)&gt;0, "Matched", "Unmatched"), IF(E497&gt;0, IF(COUNTIF(Income!F:F, E497)&gt;0, "Matched", "Unmatched"), "")))</f>
        <v/>
      </c>
    </row>
    <row r="498">
      <c r="D498" s="2"/>
      <c r="E498" s="2"/>
      <c r="F498" s="2"/>
      <c r="G498" s="3" t="str">
        <f t="shared" si="1"/>
        <v/>
      </c>
      <c r="H498" s="3" t="str">
        <f>IF(ISBLANK(A498), "", IF(D498&gt;0, IF(COUNTIF(Expenses!E:E, D498)&gt;0, "Matched", "Unmatched"), IF(E498&gt;0, IF(COUNTIF(Income!F:F, E498)&gt;0, "Matched", "Unmatched"), "")))</f>
        <v/>
      </c>
    </row>
    <row r="499">
      <c r="D499" s="2"/>
      <c r="E499" s="2"/>
      <c r="F499" s="2"/>
      <c r="G499" s="3" t="str">
        <f t="shared" si="1"/>
        <v/>
      </c>
      <c r="H499" s="3" t="str">
        <f>IF(ISBLANK(A499), "", IF(D499&gt;0, IF(COUNTIF(Expenses!E:E, D499)&gt;0, "Matched", "Unmatched"), IF(E499&gt;0, IF(COUNTIF(Income!F:F, E499)&gt;0, "Matched", "Unmatched"), "")))</f>
        <v/>
      </c>
    </row>
    <row r="500">
      <c r="D500" s="2"/>
      <c r="E500" s="2"/>
      <c r="F500" s="2"/>
      <c r="G500" s="3" t="str">
        <f t="shared" si="1"/>
        <v/>
      </c>
      <c r="H500" s="3" t="str">
        <f>IF(ISBLANK(A500), "", IF(D500&gt;0, IF(COUNTIF(Expenses!E:E, D500)&gt;0, "Matched", "Unmatched"), IF(E500&gt;0, IF(COUNTIF(Income!F:F, E500)&gt;0, "Matched", "Unmatched"), "")))</f>
        <v/>
      </c>
    </row>
    <row r="501">
      <c r="D501" s="2"/>
      <c r="E501" s="2"/>
      <c r="F501" s="2"/>
      <c r="G501" s="3" t="str">
        <f t="shared" si="1"/>
        <v/>
      </c>
      <c r="H501" s="3" t="str">
        <f>IF(ISBLANK(A501), "", IF(D501&gt;0, IF(COUNTIF(Expenses!E:E, D501)&gt;0, "Matched", "Unmatched"), IF(E501&gt;0, IF(COUNTIF(Income!F:F, E501)&gt;0, "Matched", "Unmatched"), "")))</f>
        <v/>
      </c>
    </row>
    <row r="502">
      <c r="D502" s="2"/>
      <c r="E502" s="2"/>
      <c r="F502" s="2"/>
      <c r="G502" s="3" t="str">
        <f t="shared" si="1"/>
        <v/>
      </c>
      <c r="H502" s="3" t="str">
        <f>IF(ISBLANK(A502), "", IF(D502&gt;0, IF(COUNTIF(Expenses!E:E, D502)&gt;0, "Matched", "Unmatched"), IF(E502&gt;0, IF(COUNTIF(Income!F:F, E502)&gt;0, "Matched", "Unmatched"), "")))</f>
        <v/>
      </c>
    </row>
    <row r="503">
      <c r="D503" s="2"/>
      <c r="E503" s="2"/>
      <c r="F503" s="2"/>
      <c r="G503" s="3" t="str">
        <f t="shared" si="1"/>
        <v/>
      </c>
      <c r="H503" s="3" t="str">
        <f>IF(ISBLANK(A503), "", IF(D503&gt;0, IF(COUNTIF(Expenses!E:E, D503)&gt;0, "Matched", "Unmatched"), IF(E503&gt;0, IF(COUNTIF(Income!F:F, E503)&gt;0, "Matched", "Unmatched"), "")))</f>
        <v/>
      </c>
    </row>
    <row r="504">
      <c r="D504" s="2"/>
      <c r="E504" s="2"/>
      <c r="F504" s="2"/>
      <c r="G504" s="3" t="str">
        <f t="shared" si="1"/>
        <v/>
      </c>
      <c r="H504" s="3" t="str">
        <f>IF(ISBLANK(A504), "", IF(D504&gt;0, IF(COUNTIF(Expenses!E:E, D504)&gt;0, "Matched", "Unmatched"), IF(E504&gt;0, IF(COUNTIF(Income!F:F, E504)&gt;0, "Matched", "Unmatched"), "")))</f>
        <v/>
      </c>
    </row>
    <row r="505">
      <c r="D505" s="2"/>
      <c r="E505" s="2"/>
      <c r="F505" s="2"/>
      <c r="G505" s="3" t="str">
        <f t="shared" si="1"/>
        <v/>
      </c>
      <c r="H505" s="3" t="str">
        <f>IF(ISBLANK(A505), "", IF(D505&gt;0, IF(COUNTIF(Expenses!E:E, D505)&gt;0, "Matched", "Unmatched"), IF(E505&gt;0, IF(COUNTIF(Income!F:F, E505)&gt;0, "Matched", "Unmatched"), "")))</f>
        <v/>
      </c>
    </row>
    <row r="506">
      <c r="D506" s="2"/>
      <c r="E506" s="2"/>
      <c r="F506" s="2"/>
      <c r="G506" s="3" t="str">
        <f t="shared" si="1"/>
        <v/>
      </c>
      <c r="H506" s="3" t="str">
        <f>IF(ISBLANK(A506), "", IF(D506&gt;0, IF(COUNTIF(Expenses!E:E, D506)&gt;0, "Matched", "Unmatched"), IF(E506&gt;0, IF(COUNTIF(Income!F:F, E506)&gt;0, "Matched", "Unmatched"), "")))</f>
        <v/>
      </c>
    </row>
    <row r="507">
      <c r="D507" s="2"/>
      <c r="E507" s="2"/>
      <c r="F507" s="2"/>
      <c r="G507" s="3" t="str">
        <f t="shared" si="1"/>
        <v/>
      </c>
      <c r="H507" s="3" t="str">
        <f>IF(ISBLANK(A507), "", IF(D507&gt;0, IF(COUNTIF(Expenses!E:E, D507)&gt;0, "Matched", "Unmatched"), IF(E507&gt;0, IF(COUNTIF(Income!F:F, E507)&gt;0, "Matched", "Unmatched"), "")))</f>
        <v/>
      </c>
    </row>
    <row r="508">
      <c r="D508" s="2"/>
      <c r="E508" s="2"/>
      <c r="F508" s="2"/>
      <c r="G508" s="3" t="str">
        <f t="shared" si="1"/>
        <v/>
      </c>
      <c r="H508" s="3" t="str">
        <f>IF(ISBLANK(A508), "", IF(D508&gt;0, IF(COUNTIF(Expenses!E:E, D508)&gt;0, "Matched", "Unmatched"), IF(E508&gt;0, IF(COUNTIF(Income!F:F, E508)&gt;0, "Matched", "Unmatched"), "")))</f>
        <v/>
      </c>
    </row>
    <row r="509">
      <c r="D509" s="2"/>
      <c r="E509" s="2"/>
      <c r="F509" s="2"/>
      <c r="G509" s="3" t="str">
        <f t="shared" si="1"/>
        <v/>
      </c>
      <c r="H509" s="3" t="str">
        <f>IF(ISBLANK(A509), "", IF(D509&gt;0, IF(COUNTIF(Expenses!E:E, D509)&gt;0, "Matched", "Unmatched"), IF(E509&gt;0, IF(COUNTIF(Income!F:F, E509)&gt;0, "Matched", "Unmatched"), "")))</f>
        <v/>
      </c>
    </row>
    <row r="510">
      <c r="D510" s="2"/>
      <c r="E510" s="2"/>
      <c r="F510" s="2"/>
      <c r="G510" s="3" t="str">
        <f t="shared" si="1"/>
        <v/>
      </c>
      <c r="H510" s="3" t="str">
        <f>IF(ISBLANK(A510), "", IF(D510&gt;0, IF(COUNTIF(Expenses!E:E, D510)&gt;0, "Matched", "Unmatched"), IF(E510&gt;0, IF(COUNTIF(Income!F:F, E510)&gt;0, "Matched", "Unmatched"), "")))</f>
        <v/>
      </c>
    </row>
    <row r="511">
      <c r="D511" s="2"/>
      <c r="E511" s="2"/>
      <c r="F511" s="2"/>
      <c r="G511" s="3" t="str">
        <f t="shared" si="1"/>
        <v/>
      </c>
      <c r="H511" s="3" t="str">
        <f>IF(ISBLANK(A511), "", IF(D511&gt;0, IF(COUNTIF(Expenses!E:E, D511)&gt;0, "Matched", "Unmatched"), IF(E511&gt;0, IF(COUNTIF(Income!F:F, E511)&gt;0, "Matched", "Unmatched"), "")))</f>
        <v/>
      </c>
    </row>
    <row r="512">
      <c r="D512" s="2"/>
      <c r="E512" s="2"/>
      <c r="F512" s="2"/>
      <c r="G512" s="3" t="str">
        <f t="shared" si="1"/>
        <v/>
      </c>
      <c r="H512" s="3" t="str">
        <f>IF(ISBLANK(A512), "", IF(D512&gt;0, IF(COUNTIF(Expenses!E:E, D512)&gt;0, "Matched", "Unmatched"), IF(E512&gt;0, IF(COUNTIF(Income!F:F, E512)&gt;0, "Matched", "Unmatched"), "")))</f>
        <v/>
      </c>
    </row>
    <row r="513">
      <c r="D513" s="2"/>
      <c r="E513" s="2"/>
      <c r="F513" s="2"/>
      <c r="G513" s="3" t="str">
        <f t="shared" si="1"/>
        <v/>
      </c>
      <c r="H513" s="3" t="str">
        <f>IF(ISBLANK(A513), "", IF(D513&gt;0, IF(COUNTIF(Expenses!E:E, D513)&gt;0, "Matched", "Unmatched"), IF(E513&gt;0, IF(COUNTIF(Income!F:F, E513)&gt;0, "Matched", "Unmatched"), "")))</f>
        <v/>
      </c>
    </row>
    <row r="514">
      <c r="D514" s="2"/>
      <c r="E514" s="2"/>
      <c r="F514" s="2"/>
      <c r="G514" s="3" t="str">
        <f t="shared" si="1"/>
        <v/>
      </c>
      <c r="H514" s="3" t="str">
        <f>IF(ISBLANK(A514), "", IF(D514&gt;0, IF(COUNTIF(Expenses!E:E, D514)&gt;0, "Matched", "Unmatched"), IF(E514&gt;0, IF(COUNTIF(Income!F:F, E514)&gt;0, "Matched", "Unmatched"), "")))</f>
        <v/>
      </c>
    </row>
    <row r="515">
      <c r="D515" s="2"/>
      <c r="E515" s="2"/>
      <c r="F515" s="2"/>
      <c r="G515" s="3" t="str">
        <f t="shared" si="1"/>
        <v/>
      </c>
      <c r="H515" s="3" t="str">
        <f>IF(ISBLANK(A515), "", IF(D515&gt;0, IF(COUNTIF(Expenses!E:E, D515)&gt;0, "Matched", "Unmatched"), IF(E515&gt;0, IF(COUNTIF(Income!F:F, E515)&gt;0, "Matched", "Unmatched"), "")))</f>
        <v/>
      </c>
    </row>
    <row r="516">
      <c r="D516" s="2"/>
      <c r="E516" s="2"/>
      <c r="F516" s="2"/>
      <c r="G516" s="3" t="str">
        <f t="shared" si="1"/>
        <v/>
      </c>
      <c r="H516" s="3" t="str">
        <f>IF(ISBLANK(A516), "", IF(D516&gt;0, IF(COUNTIF(Expenses!E:E, D516)&gt;0, "Matched", "Unmatched"), IF(E516&gt;0, IF(COUNTIF(Income!F:F, E516)&gt;0, "Matched", "Unmatched"), "")))</f>
        <v/>
      </c>
    </row>
    <row r="517">
      <c r="D517" s="2"/>
      <c r="E517" s="2"/>
      <c r="F517" s="2"/>
      <c r="G517" s="3" t="str">
        <f t="shared" si="1"/>
        <v/>
      </c>
      <c r="H517" s="3" t="str">
        <f>IF(ISBLANK(A517), "", IF(D517&gt;0, IF(COUNTIF(Expenses!E:E, D517)&gt;0, "Matched", "Unmatched"), IF(E517&gt;0, IF(COUNTIF(Income!F:F, E517)&gt;0, "Matched", "Unmatched"), "")))</f>
        <v/>
      </c>
    </row>
    <row r="518">
      <c r="D518" s="2"/>
      <c r="E518" s="2"/>
      <c r="F518" s="2"/>
      <c r="G518" s="3" t="str">
        <f t="shared" si="1"/>
        <v/>
      </c>
      <c r="H518" s="3" t="str">
        <f>IF(ISBLANK(A518), "", IF(D518&gt;0, IF(COUNTIF(Expenses!E:E, D518)&gt;0, "Matched", "Unmatched"), IF(E518&gt;0, IF(COUNTIF(Income!F:F, E518)&gt;0, "Matched", "Unmatched"), "")))</f>
        <v/>
      </c>
    </row>
    <row r="519">
      <c r="D519" s="2"/>
      <c r="E519" s="2"/>
      <c r="F519" s="2"/>
      <c r="G519" s="3" t="str">
        <f t="shared" si="1"/>
        <v/>
      </c>
      <c r="H519" s="3" t="str">
        <f>IF(ISBLANK(A519), "", IF(D519&gt;0, IF(COUNTIF(Expenses!E:E, D519)&gt;0, "Matched", "Unmatched"), IF(E519&gt;0, IF(COUNTIF(Income!F:F, E519)&gt;0, "Matched", "Unmatched"), "")))</f>
        <v/>
      </c>
    </row>
    <row r="520">
      <c r="D520" s="2"/>
      <c r="E520" s="2"/>
      <c r="F520" s="2"/>
      <c r="G520" s="3" t="str">
        <f t="shared" si="1"/>
        <v/>
      </c>
      <c r="H520" s="3" t="str">
        <f>IF(ISBLANK(A520), "", IF(D520&gt;0, IF(COUNTIF(Expenses!E:E, D520)&gt;0, "Matched", "Unmatched"), IF(E520&gt;0, IF(COUNTIF(Income!F:F, E520)&gt;0, "Matched", "Unmatched"), "")))</f>
        <v/>
      </c>
    </row>
    <row r="521">
      <c r="D521" s="2"/>
      <c r="E521" s="2"/>
      <c r="F521" s="2"/>
      <c r="G521" s="3" t="str">
        <f t="shared" si="1"/>
        <v/>
      </c>
      <c r="H521" s="3" t="str">
        <f>IF(ISBLANK(A521), "", IF(D521&gt;0, IF(COUNTIF(Expenses!E:E, D521)&gt;0, "Matched", "Unmatched"), IF(E521&gt;0, IF(COUNTIF(Income!F:F, E521)&gt;0, "Matched", "Unmatched"), "")))</f>
        <v/>
      </c>
    </row>
    <row r="522">
      <c r="D522" s="2"/>
      <c r="E522" s="2"/>
      <c r="F522" s="2"/>
      <c r="G522" s="3" t="str">
        <f t="shared" si="1"/>
        <v/>
      </c>
      <c r="H522" s="3" t="str">
        <f>IF(ISBLANK(A522), "", IF(D522&gt;0, IF(COUNTIF(Expenses!E:E, D522)&gt;0, "Matched", "Unmatched"), IF(E522&gt;0, IF(COUNTIF(Income!F:F, E522)&gt;0, "Matched", "Unmatched"), "")))</f>
        <v/>
      </c>
    </row>
    <row r="523">
      <c r="D523" s="2"/>
      <c r="E523" s="2"/>
      <c r="F523" s="2"/>
      <c r="G523" s="3" t="str">
        <f t="shared" si="1"/>
        <v/>
      </c>
      <c r="H523" s="3" t="str">
        <f>IF(ISBLANK(A523), "", IF(D523&gt;0, IF(COUNTIF(Expenses!E:E, D523)&gt;0, "Matched", "Unmatched"), IF(E523&gt;0, IF(COUNTIF(Income!F:F, E523)&gt;0, "Matched", "Unmatched"), "")))</f>
        <v/>
      </c>
    </row>
    <row r="524">
      <c r="D524" s="2"/>
      <c r="E524" s="2"/>
      <c r="F524" s="2"/>
      <c r="G524" s="3" t="str">
        <f t="shared" si="1"/>
        <v/>
      </c>
      <c r="H524" s="3" t="str">
        <f>IF(ISBLANK(A524), "", IF(D524&gt;0, IF(COUNTIF(Expenses!E:E, D524)&gt;0, "Matched", "Unmatched"), IF(E524&gt;0, IF(COUNTIF(Income!F:F, E524)&gt;0, "Matched", "Unmatched"), "")))</f>
        <v/>
      </c>
    </row>
    <row r="525">
      <c r="D525" s="2"/>
      <c r="E525" s="2"/>
      <c r="F525" s="2"/>
      <c r="G525" s="3" t="str">
        <f t="shared" si="1"/>
        <v/>
      </c>
      <c r="H525" s="3" t="str">
        <f>IF(ISBLANK(A525), "", IF(D525&gt;0, IF(COUNTIF(Expenses!E:E, D525)&gt;0, "Matched", "Unmatched"), IF(E525&gt;0, IF(COUNTIF(Income!F:F, E525)&gt;0, "Matched", "Unmatched"), "")))</f>
        <v/>
      </c>
    </row>
    <row r="526">
      <c r="D526" s="2"/>
      <c r="E526" s="2"/>
      <c r="F526" s="2"/>
      <c r="G526" s="3" t="str">
        <f t="shared" si="1"/>
        <v/>
      </c>
      <c r="H526" s="3" t="str">
        <f>IF(ISBLANK(A526), "", IF(D526&gt;0, IF(COUNTIF(Expenses!E:E, D526)&gt;0, "Matched", "Unmatched"), IF(E526&gt;0, IF(COUNTIF(Income!F:F, E526)&gt;0, "Matched", "Unmatched"), "")))</f>
        <v/>
      </c>
    </row>
    <row r="527">
      <c r="D527" s="2"/>
      <c r="E527" s="2"/>
      <c r="F527" s="2"/>
      <c r="G527" s="3" t="str">
        <f t="shared" si="1"/>
        <v/>
      </c>
      <c r="H527" s="3" t="str">
        <f>IF(ISBLANK(A527), "", IF(D527&gt;0, IF(COUNTIF(Expenses!E:E, D527)&gt;0, "Matched", "Unmatched"), IF(E527&gt;0, IF(COUNTIF(Income!F:F, E527)&gt;0, "Matched", "Unmatched"), "")))</f>
        <v/>
      </c>
    </row>
    <row r="528">
      <c r="D528" s="2"/>
      <c r="E528" s="2"/>
      <c r="F528" s="2"/>
      <c r="G528" s="3" t="str">
        <f t="shared" si="1"/>
        <v/>
      </c>
      <c r="H528" s="3" t="str">
        <f>IF(ISBLANK(A528), "", IF(D528&gt;0, IF(COUNTIF(Expenses!E:E, D528)&gt;0, "Matched", "Unmatched"), IF(E528&gt;0, IF(COUNTIF(Income!F:F, E528)&gt;0, "Matched", "Unmatched"), "")))</f>
        <v/>
      </c>
    </row>
    <row r="529">
      <c r="D529" s="2"/>
      <c r="E529" s="2"/>
      <c r="F529" s="2"/>
      <c r="G529" s="3" t="str">
        <f t="shared" si="1"/>
        <v/>
      </c>
      <c r="H529" s="3" t="str">
        <f>IF(ISBLANK(A529), "", IF(D529&gt;0, IF(COUNTIF(Expenses!E:E, D529)&gt;0, "Matched", "Unmatched"), IF(E529&gt;0, IF(COUNTIF(Income!F:F, E529)&gt;0, "Matched", "Unmatched"), "")))</f>
        <v/>
      </c>
    </row>
    <row r="530">
      <c r="D530" s="2"/>
      <c r="E530" s="2"/>
      <c r="F530" s="2"/>
      <c r="G530" s="3" t="str">
        <f t="shared" si="1"/>
        <v/>
      </c>
      <c r="H530" s="3" t="str">
        <f>IF(ISBLANK(A530), "", IF(D530&gt;0, IF(COUNTIF(Expenses!E:E, D530)&gt;0, "Matched", "Unmatched"), IF(E530&gt;0, IF(COUNTIF(Income!F:F, E530)&gt;0, "Matched", "Unmatched"), "")))</f>
        <v/>
      </c>
    </row>
    <row r="531">
      <c r="D531" s="2"/>
      <c r="E531" s="2"/>
      <c r="F531" s="2"/>
      <c r="G531" s="3" t="str">
        <f t="shared" si="1"/>
        <v/>
      </c>
      <c r="H531" s="3" t="str">
        <f>IF(ISBLANK(A531), "", IF(D531&gt;0, IF(COUNTIF(Expenses!E:E, D531)&gt;0, "Matched", "Unmatched"), IF(E531&gt;0, IF(COUNTIF(Income!F:F, E531)&gt;0, "Matched", "Unmatched"), "")))</f>
        <v/>
      </c>
    </row>
    <row r="532">
      <c r="D532" s="2"/>
      <c r="E532" s="2"/>
      <c r="F532" s="2"/>
      <c r="G532" s="3" t="str">
        <f t="shared" si="1"/>
        <v/>
      </c>
      <c r="H532" s="3" t="str">
        <f>IF(ISBLANK(A532), "", IF(D532&gt;0, IF(COUNTIF(Expenses!E:E, D532)&gt;0, "Matched", "Unmatched"), IF(E532&gt;0, IF(COUNTIF(Income!F:F, E532)&gt;0, "Matched", "Unmatched"), "")))</f>
        <v/>
      </c>
    </row>
    <row r="533">
      <c r="D533" s="2"/>
      <c r="E533" s="2"/>
      <c r="F533" s="2"/>
      <c r="G533" s="3" t="str">
        <f t="shared" si="1"/>
        <v/>
      </c>
      <c r="H533" s="3" t="str">
        <f>IF(ISBLANK(A533), "", IF(D533&gt;0, IF(COUNTIF(Expenses!E:E, D533)&gt;0, "Matched", "Unmatched"), IF(E533&gt;0, IF(COUNTIF(Income!F:F, E533)&gt;0, "Matched", "Unmatched"), "")))</f>
        <v/>
      </c>
    </row>
    <row r="534">
      <c r="D534" s="2"/>
      <c r="E534" s="2"/>
      <c r="F534" s="2"/>
      <c r="G534" s="3" t="str">
        <f t="shared" si="1"/>
        <v/>
      </c>
      <c r="H534" s="3" t="str">
        <f>IF(ISBLANK(A534), "", IF(D534&gt;0, IF(COUNTIF(Expenses!E:E, D534)&gt;0, "Matched", "Unmatched"), IF(E534&gt;0, IF(COUNTIF(Income!F:F, E534)&gt;0, "Matched", "Unmatched"), "")))</f>
        <v/>
      </c>
    </row>
    <row r="535">
      <c r="D535" s="2"/>
      <c r="E535" s="2"/>
      <c r="F535" s="2"/>
      <c r="G535" s="3" t="str">
        <f t="shared" si="1"/>
        <v/>
      </c>
      <c r="H535" s="3" t="str">
        <f>IF(ISBLANK(A535), "", IF(D535&gt;0, IF(COUNTIF(Expenses!E:E, D535)&gt;0, "Matched", "Unmatched"), IF(E535&gt;0, IF(COUNTIF(Income!F:F, E535)&gt;0, "Matched", "Unmatched"), "")))</f>
        <v/>
      </c>
    </row>
    <row r="536">
      <c r="D536" s="2"/>
      <c r="E536" s="2"/>
      <c r="F536" s="2"/>
      <c r="G536" s="3" t="str">
        <f t="shared" si="1"/>
        <v/>
      </c>
      <c r="H536" s="3" t="str">
        <f>IF(ISBLANK(A536), "", IF(D536&gt;0, IF(COUNTIF(Expenses!E:E, D536)&gt;0, "Matched", "Unmatched"), IF(E536&gt;0, IF(COUNTIF(Income!F:F, E536)&gt;0, "Matched", "Unmatched"), "")))</f>
        <v/>
      </c>
    </row>
    <row r="537">
      <c r="D537" s="2"/>
      <c r="E537" s="2"/>
      <c r="F537" s="2"/>
      <c r="G537" s="3" t="str">
        <f t="shared" si="1"/>
        <v/>
      </c>
      <c r="H537" s="3" t="str">
        <f>IF(ISBLANK(A537), "", IF(D537&gt;0, IF(COUNTIF(Expenses!E:E, D537)&gt;0, "Matched", "Unmatched"), IF(E537&gt;0, IF(COUNTIF(Income!F:F, E537)&gt;0, "Matched", "Unmatched"), "")))</f>
        <v/>
      </c>
    </row>
    <row r="538">
      <c r="D538" s="2"/>
      <c r="E538" s="2"/>
      <c r="F538" s="2"/>
      <c r="G538" s="3" t="str">
        <f t="shared" si="1"/>
        <v/>
      </c>
      <c r="H538" s="3" t="str">
        <f>IF(ISBLANK(A538), "", IF(D538&gt;0, IF(COUNTIF(Expenses!E:E, D538)&gt;0, "Matched", "Unmatched"), IF(E538&gt;0, IF(COUNTIF(Income!F:F, E538)&gt;0, "Matched", "Unmatched"), "")))</f>
        <v/>
      </c>
    </row>
    <row r="539">
      <c r="D539" s="2"/>
      <c r="E539" s="2"/>
      <c r="F539" s="2"/>
      <c r="G539" s="3" t="str">
        <f t="shared" si="1"/>
        <v/>
      </c>
      <c r="H539" s="3" t="str">
        <f>IF(ISBLANK(A539), "", IF(D539&gt;0, IF(COUNTIF(Expenses!E:E, D539)&gt;0, "Matched", "Unmatched"), IF(E539&gt;0, IF(COUNTIF(Income!F:F, E539)&gt;0, "Matched", "Unmatched"), "")))</f>
        <v/>
      </c>
    </row>
    <row r="540">
      <c r="D540" s="2"/>
      <c r="E540" s="2"/>
      <c r="F540" s="2"/>
      <c r="G540" s="3" t="str">
        <f t="shared" si="1"/>
        <v/>
      </c>
      <c r="H540" s="3" t="str">
        <f>IF(ISBLANK(A540), "", IF(D540&gt;0, IF(COUNTIF(Expenses!E:E, D540)&gt;0, "Matched", "Unmatched"), IF(E540&gt;0, IF(COUNTIF(Income!F:F, E540)&gt;0, "Matched", "Unmatched"), "")))</f>
        <v/>
      </c>
    </row>
    <row r="541">
      <c r="D541" s="2"/>
      <c r="E541" s="2"/>
      <c r="F541" s="2"/>
      <c r="G541" s="3" t="str">
        <f t="shared" si="1"/>
        <v/>
      </c>
      <c r="H541" s="3" t="str">
        <f>IF(ISBLANK(A541), "", IF(D541&gt;0, IF(COUNTIF(Expenses!E:E, D541)&gt;0, "Matched", "Unmatched"), IF(E541&gt;0, IF(COUNTIF(Income!F:F, E541)&gt;0, "Matched", "Unmatched"), "")))</f>
        <v/>
      </c>
    </row>
    <row r="542">
      <c r="D542" s="2"/>
      <c r="E542" s="2"/>
      <c r="F542" s="2"/>
      <c r="G542" s="3" t="str">
        <f t="shared" si="1"/>
        <v/>
      </c>
      <c r="H542" s="3" t="str">
        <f>IF(ISBLANK(A542), "", IF(D542&gt;0, IF(COUNTIF(Expenses!E:E, D542)&gt;0, "Matched", "Unmatched"), IF(E542&gt;0, IF(COUNTIF(Income!F:F, E542)&gt;0, "Matched", "Unmatched"), "")))</f>
        <v/>
      </c>
    </row>
    <row r="543">
      <c r="D543" s="2"/>
      <c r="E543" s="2"/>
      <c r="F543" s="2"/>
      <c r="G543" s="3" t="str">
        <f t="shared" si="1"/>
        <v/>
      </c>
      <c r="H543" s="3" t="str">
        <f>IF(ISBLANK(A543), "", IF(D543&gt;0, IF(COUNTIF(Expenses!E:E, D543)&gt;0, "Matched", "Unmatched"), IF(E543&gt;0, IF(COUNTIF(Income!F:F, E543)&gt;0, "Matched", "Unmatched"), "")))</f>
        <v/>
      </c>
    </row>
    <row r="544">
      <c r="D544" s="2"/>
      <c r="E544" s="2"/>
      <c r="F544" s="2"/>
      <c r="G544" s="3" t="str">
        <f t="shared" si="1"/>
        <v/>
      </c>
      <c r="H544" s="3" t="str">
        <f>IF(ISBLANK(A544), "", IF(D544&gt;0, IF(COUNTIF(Expenses!E:E, D544)&gt;0, "Matched", "Unmatched"), IF(E544&gt;0, IF(COUNTIF(Income!F:F, E544)&gt;0, "Matched", "Unmatched"), "")))</f>
        <v/>
      </c>
    </row>
    <row r="545">
      <c r="D545" s="2"/>
      <c r="E545" s="2"/>
      <c r="F545" s="2"/>
      <c r="G545" s="3" t="str">
        <f t="shared" si="1"/>
        <v/>
      </c>
      <c r="H545" s="3" t="str">
        <f>IF(ISBLANK(A545), "", IF(D545&gt;0, IF(COUNTIF(Expenses!E:E, D545)&gt;0, "Matched", "Unmatched"), IF(E545&gt;0, IF(COUNTIF(Income!F:F, E545)&gt;0, "Matched", "Unmatched"), "")))</f>
        <v/>
      </c>
    </row>
    <row r="546">
      <c r="D546" s="2"/>
      <c r="E546" s="2"/>
      <c r="F546" s="2"/>
      <c r="G546" s="3" t="str">
        <f t="shared" si="1"/>
        <v/>
      </c>
      <c r="H546" s="3" t="str">
        <f>IF(ISBLANK(A546), "", IF(D546&gt;0, IF(COUNTIF(Expenses!E:E, D546)&gt;0, "Matched", "Unmatched"), IF(E546&gt;0, IF(COUNTIF(Income!F:F, E546)&gt;0, "Matched", "Unmatched"), "")))</f>
        <v/>
      </c>
    </row>
    <row r="547">
      <c r="D547" s="2"/>
      <c r="E547" s="2"/>
      <c r="F547" s="2"/>
      <c r="G547" s="3" t="str">
        <f t="shared" si="1"/>
        <v/>
      </c>
      <c r="H547" s="3" t="str">
        <f>IF(ISBLANK(A547), "", IF(D547&gt;0, IF(COUNTIF(Expenses!E:E, D547)&gt;0, "Matched", "Unmatched"), IF(E547&gt;0, IF(COUNTIF(Income!F:F, E547)&gt;0, "Matched", "Unmatched"), "")))</f>
        <v/>
      </c>
    </row>
    <row r="548">
      <c r="D548" s="2"/>
      <c r="E548" s="2"/>
      <c r="F548" s="2"/>
      <c r="G548" s="3" t="str">
        <f t="shared" si="1"/>
        <v/>
      </c>
      <c r="H548" s="3" t="str">
        <f>IF(ISBLANK(A548), "", IF(D548&gt;0, IF(COUNTIF(Expenses!E:E, D548)&gt;0, "Matched", "Unmatched"), IF(E548&gt;0, IF(COUNTIF(Income!F:F, E548)&gt;0, "Matched", "Unmatched"), "")))</f>
        <v/>
      </c>
    </row>
    <row r="549">
      <c r="D549" s="2"/>
      <c r="E549" s="2"/>
      <c r="F549" s="2"/>
      <c r="G549" s="3" t="str">
        <f t="shared" si="1"/>
        <v/>
      </c>
      <c r="H549" s="3" t="str">
        <f>IF(ISBLANK(A549), "", IF(D549&gt;0, IF(COUNTIF(Expenses!E:E, D549)&gt;0, "Matched", "Unmatched"), IF(E549&gt;0, IF(COUNTIF(Income!F:F, E549)&gt;0, "Matched", "Unmatched"), "")))</f>
        <v/>
      </c>
    </row>
    <row r="550">
      <c r="D550" s="2"/>
      <c r="E550" s="2"/>
      <c r="F550" s="2"/>
      <c r="G550" s="3" t="str">
        <f t="shared" si="1"/>
        <v/>
      </c>
      <c r="H550" s="3" t="str">
        <f>IF(ISBLANK(A550), "", IF(D550&gt;0, IF(COUNTIF(Expenses!E:E, D550)&gt;0, "Matched", "Unmatched"), IF(E550&gt;0, IF(COUNTIF(Income!F:F, E550)&gt;0, "Matched", "Unmatched"), "")))</f>
        <v/>
      </c>
    </row>
    <row r="551">
      <c r="D551" s="2"/>
      <c r="E551" s="2"/>
      <c r="F551" s="2"/>
      <c r="G551" s="3" t="str">
        <f t="shared" si="1"/>
        <v/>
      </c>
      <c r="H551" s="3" t="str">
        <f>IF(ISBLANK(A551), "", IF(D551&gt;0, IF(COUNTIF(Expenses!E:E, D551)&gt;0, "Matched", "Unmatched"), IF(E551&gt;0, IF(COUNTIF(Income!F:F, E551)&gt;0, "Matched", "Unmatched"), "")))</f>
        <v/>
      </c>
    </row>
    <row r="552">
      <c r="D552" s="2"/>
      <c r="E552" s="2"/>
      <c r="F552" s="2"/>
      <c r="G552" s="3" t="str">
        <f t="shared" si="1"/>
        <v/>
      </c>
      <c r="H552" s="3" t="str">
        <f>IF(ISBLANK(A552), "", IF(D552&gt;0, IF(COUNTIF(Expenses!E:E, D552)&gt;0, "Matched", "Unmatched"), IF(E552&gt;0, IF(COUNTIF(Income!F:F, E552)&gt;0, "Matched", "Unmatched"), "")))</f>
        <v/>
      </c>
    </row>
    <row r="553">
      <c r="D553" s="2"/>
      <c r="E553" s="2"/>
      <c r="F553" s="2"/>
      <c r="G553" s="3" t="str">
        <f t="shared" si="1"/>
        <v/>
      </c>
      <c r="H553" s="3" t="str">
        <f>IF(ISBLANK(A553), "", IF(D553&gt;0, IF(COUNTIF(Expenses!E:E, D553)&gt;0, "Matched", "Unmatched"), IF(E553&gt;0, IF(COUNTIF(Income!F:F, E553)&gt;0, "Matched", "Unmatched"), "")))</f>
        <v/>
      </c>
    </row>
    <row r="554">
      <c r="D554" s="2"/>
      <c r="E554" s="2"/>
      <c r="F554" s="2"/>
      <c r="G554" s="3" t="str">
        <f t="shared" si="1"/>
        <v/>
      </c>
      <c r="H554" s="3" t="str">
        <f>IF(ISBLANK(A554), "", IF(D554&gt;0, IF(COUNTIF(Expenses!E:E, D554)&gt;0, "Matched", "Unmatched"), IF(E554&gt;0, IF(COUNTIF(Income!F:F, E554)&gt;0, "Matched", "Unmatched"), "")))</f>
        <v/>
      </c>
    </row>
    <row r="555">
      <c r="D555" s="2"/>
      <c r="E555" s="2"/>
      <c r="F555" s="2"/>
      <c r="G555" s="3" t="str">
        <f t="shared" si="1"/>
        <v/>
      </c>
      <c r="H555" s="3" t="str">
        <f>IF(ISBLANK(A555), "", IF(D555&gt;0, IF(COUNTIF(Expenses!E:E, D555)&gt;0, "Matched", "Unmatched"), IF(E555&gt;0, IF(COUNTIF(Income!F:F, E555)&gt;0, "Matched", "Unmatched"), "")))</f>
        <v/>
      </c>
    </row>
    <row r="556">
      <c r="D556" s="2"/>
      <c r="E556" s="2"/>
      <c r="F556" s="2"/>
      <c r="G556" s="3" t="str">
        <f t="shared" si="1"/>
        <v/>
      </c>
      <c r="H556" s="3" t="str">
        <f>IF(ISBLANK(A556), "", IF(D556&gt;0, IF(COUNTIF(Expenses!E:E, D556)&gt;0, "Matched", "Unmatched"), IF(E556&gt;0, IF(COUNTIF(Income!F:F, E556)&gt;0, "Matched", "Unmatched"), "")))</f>
        <v/>
      </c>
    </row>
    <row r="557">
      <c r="D557" s="2"/>
      <c r="E557" s="2"/>
      <c r="F557" s="2"/>
      <c r="G557" s="3" t="str">
        <f t="shared" si="1"/>
        <v/>
      </c>
      <c r="H557" s="3" t="str">
        <f>IF(ISBLANK(A557), "", IF(D557&gt;0, IF(COUNTIF(Expenses!E:E, D557)&gt;0, "Matched", "Unmatched"), IF(E557&gt;0, IF(COUNTIF(Income!F:F, E557)&gt;0, "Matched", "Unmatched"), "")))</f>
        <v/>
      </c>
    </row>
    <row r="558">
      <c r="D558" s="2"/>
      <c r="E558" s="2"/>
      <c r="F558" s="2"/>
      <c r="G558" s="3" t="str">
        <f t="shared" si="1"/>
        <v/>
      </c>
      <c r="H558" s="3" t="str">
        <f>IF(ISBLANK(A558), "", IF(D558&gt;0, IF(COUNTIF(Expenses!E:E, D558)&gt;0, "Matched", "Unmatched"), IF(E558&gt;0, IF(COUNTIF(Income!F:F, E558)&gt;0, "Matched", "Unmatched"), "")))</f>
        <v/>
      </c>
    </row>
    <row r="559">
      <c r="D559" s="2"/>
      <c r="E559" s="2"/>
      <c r="F559" s="2"/>
      <c r="G559" s="3" t="str">
        <f t="shared" si="1"/>
        <v/>
      </c>
      <c r="H559" s="3" t="str">
        <f>IF(ISBLANK(A559), "", IF(D559&gt;0, IF(COUNTIF(Expenses!E:E, D559)&gt;0, "Matched", "Unmatched"), IF(E559&gt;0, IF(COUNTIF(Income!F:F, E559)&gt;0, "Matched", "Unmatched"), "")))</f>
        <v/>
      </c>
    </row>
    <row r="560">
      <c r="D560" s="2"/>
      <c r="E560" s="2"/>
      <c r="F560" s="2"/>
      <c r="G560" s="3" t="str">
        <f t="shared" si="1"/>
        <v/>
      </c>
      <c r="H560" s="3" t="str">
        <f>IF(ISBLANK(A560), "", IF(D560&gt;0, IF(COUNTIF(Expenses!E:E, D560)&gt;0, "Matched", "Unmatched"), IF(E560&gt;0, IF(COUNTIF(Income!F:F, E560)&gt;0, "Matched", "Unmatched"), "")))</f>
        <v/>
      </c>
    </row>
    <row r="561">
      <c r="D561" s="2"/>
      <c r="E561" s="2"/>
      <c r="F561" s="2"/>
      <c r="G561" s="3" t="str">
        <f t="shared" si="1"/>
        <v/>
      </c>
      <c r="H561" s="3" t="str">
        <f>IF(ISBLANK(A561), "", IF(D561&gt;0, IF(COUNTIF(Expenses!E:E, D561)&gt;0, "Matched", "Unmatched"), IF(E561&gt;0, IF(COUNTIF(Income!F:F, E561)&gt;0, "Matched", "Unmatched"), "")))</f>
        <v/>
      </c>
    </row>
    <row r="562">
      <c r="D562" s="2"/>
      <c r="E562" s="2"/>
      <c r="F562" s="2"/>
      <c r="G562" s="3" t="str">
        <f t="shared" si="1"/>
        <v/>
      </c>
      <c r="H562" s="3" t="str">
        <f>IF(ISBLANK(A562), "", IF(D562&gt;0, IF(COUNTIF(Expenses!E:E, D562)&gt;0, "Matched", "Unmatched"), IF(E562&gt;0, IF(COUNTIF(Income!F:F, E562)&gt;0, "Matched", "Unmatched"), "")))</f>
        <v/>
      </c>
    </row>
    <row r="563">
      <c r="D563" s="2"/>
      <c r="E563" s="2"/>
      <c r="F563" s="2"/>
      <c r="G563" s="3" t="str">
        <f t="shared" si="1"/>
        <v/>
      </c>
      <c r="H563" s="3" t="str">
        <f>IF(ISBLANK(A563), "", IF(D563&gt;0, IF(COUNTIF(Expenses!E:E, D563)&gt;0, "Matched", "Unmatched"), IF(E563&gt;0, IF(COUNTIF(Income!F:F, E563)&gt;0, "Matched", "Unmatched"), "")))</f>
        <v/>
      </c>
    </row>
    <row r="564">
      <c r="D564" s="2"/>
      <c r="E564" s="2"/>
      <c r="F564" s="2"/>
      <c r="G564" s="3" t="str">
        <f t="shared" si="1"/>
        <v/>
      </c>
      <c r="H564" s="3" t="str">
        <f>IF(ISBLANK(A564), "", IF(D564&gt;0, IF(COUNTIF(Expenses!E:E, D564)&gt;0, "Matched", "Unmatched"), IF(E564&gt;0, IF(COUNTIF(Income!F:F, E564)&gt;0, "Matched", "Unmatched"), "")))</f>
        <v/>
      </c>
    </row>
    <row r="565">
      <c r="D565" s="2"/>
      <c r="E565" s="2"/>
      <c r="F565" s="2"/>
      <c r="G565" s="3" t="str">
        <f t="shared" si="1"/>
        <v/>
      </c>
      <c r="H565" s="3" t="str">
        <f>IF(ISBLANK(A565), "", IF(D565&gt;0, IF(COUNTIF(Expenses!E:E, D565)&gt;0, "Matched", "Unmatched"), IF(E565&gt;0, IF(COUNTIF(Income!F:F, E565)&gt;0, "Matched", "Unmatched"), "")))</f>
        <v/>
      </c>
    </row>
    <row r="566">
      <c r="D566" s="2"/>
      <c r="E566" s="2"/>
      <c r="F566" s="2"/>
      <c r="G566" s="3" t="str">
        <f t="shared" si="1"/>
        <v/>
      </c>
      <c r="H566" s="3" t="str">
        <f>IF(ISBLANK(A566), "", IF(D566&gt;0, IF(COUNTIF(Expenses!E:E, D566)&gt;0, "Matched", "Unmatched"), IF(E566&gt;0, IF(COUNTIF(Income!F:F, E566)&gt;0, "Matched", "Unmatched"), "")))</f>
        <v/>
      </c>
    </row>
    <row r="567">
      <c r="D567" s="2"/>
      <c r="E567" s="2"/>
      <c r="F567" s="2"/>
      <c r="G567" s="3" t="str">
        <f t="shared" si="1"/>
        <v/>
      </c>
      <c r="H567" s="3" t="str">
        <f>IF(ISBLANK(A567), "", IF(D567&gt;0, IF(COUNTIF(Expenses!E:E, D567)&gt;0, "Matched", "Unmatched"), IF(E567&gt;0, IF(COUNTIF(Income!F:F, E567)&gt;0, "Matched", "Unmatched"), "")))</f>
        <v/>
      </c>
    </row>
    <row r="568">
      <c r="D568" s="2"/>
      <c r="E568" s="2"/>
      <c r="F568" s="2"/>
      <c r="G568" s="3" t="str">
        <f t="shared" si="1"/>
        <v/>
      </c>
      <c r="H568" s="3" t="str">
        <f>IF(ISBLANK(A568), "", IF(D568&gt;0, IF(COUNTIF(Expenses!E:E, D568)&gt;0, "Matched", "Unmatched"), IF(E568&gt;0, IF(COUNTIF(Income!F:F, E568)&gt;0, "Matched", "Unmatched"), "")))</f>
        <v/>
      </c>
    </row>
    <row r="569">
      <c r="D569" s="2"/>
      <c r="E569" s="2"/>
      <c r="F569" s="2"/>
      <c r="G569" s="3" t="str">
        <f t="shared" si="1"/>
        <v/>
      </c>
      <c r="H569" s="3" t="str">
        <f>IF(ISBLANK(A569), "", IF(D569&gt;0, IF(COUNTIF(Expenses!E:E, D569)&gt;0, "Matched", "Unmatched"), IF(E569&gt;0, IF(COUNTIF(Income!F:F, E569)&gt;0, "Matched", "Unmatched"), "")))</f>
        <v/>
      </c>
    </row>
    <row r="570">
      <c r="D570" s="2"/>
      <c r="E570" s="2"/>
      <c r="F570" s="2"/>
      <c r="G570" s="3" t="str">
        <f t="shared" si="1"/>
        <v/>
      </c>
      <c r="H570" s="3" t="str">
        <f>IF(ISBLANK(A570), "", IF(D570&gt;0, IF(COUNTIF(Expenses!E:E, D570)&gt;0, "Matched", "Unmatched"), IF(E570&gt;0, IF(COUNTIF(Income!F:F, E570)&gt;0, "Matched", "Unmatched"), "")))</f>
        <v/>
      </c>
    </row>
    <row r="571">
      <c r="D571" s="2"/>
      <c r="E571" s="2"/>
      <c r="F571" s="2"/>
      <c r="G571" s="3" t="str">
        <f t="shared" si="1"/>
        <v/>
      </c>
      <c r="H571" s="3" t="str">
        <f>IF(ISBLANK(A571), "", IF(D571&gt;0, IF(COUNTIF(Expenses!E:E, D571)&gt;0, "Matched", "Unmatched"), IF(E571&gt;0, IF(COUNTIF(Income!F:F, E571)&gt;0, "Matched", "Unmatched"), "")))</f>
        <v/>
      </c>
    </row>
    <row r="572">
      <c r="D572" s="2"/>
      <c r="E572" s="2"/>
      <c r="F572" s="2"/>
      <c r="G572" s="3" t="str">
        <f t="shared" si="1"/>
        <v/>
      </c>
      <c r="H572" s="3" t="str">
        <f>IF(ISBLANK(A572), "", IF(D572&gt;0, IF(COUNTIF(Expenses!E:E, D572)&gt;0, "Matched", "Unmatched"), IF(E572&gt;0, IF(COUNTIF(Income!F:F, E572)&gt;0, "Matched", "Unmatched"), "")))</f>
        <v/>
      </c>
    </row>
    <row r="573">
      <c r="D573" s="2"/>
      <c r="E573" s="2"/>
      <c r="F573" s="2"/>
      <c r="G573" s="3" t="str">
        <f t="shared" si="1"/>
        <v/>
      </c>
      <c r="H573" s="3" t="str">
        <f>IF(ISBLANK(A573), "", IF(D573&gt;0, IF(COUNTIF(Expenses!E:E, D573)&gt;0, "Matched", "Unmatched"), IF(E573&gt;0, IF(COUNTIF(Income!F:F, E573)&gt;0, "Matched", "Unmatched"), "")))</f>
        <v/>
      </c>
    </row>
    <row r="574">
      <c r="D574" s="2"/>
      <c r="E574" s="2"/>
      <c r="F574" s="2"/>
      <c r="G574" s="3" t="str">
        <f t="shared" si="1"/>
        <v/>
      </c>
      <c r="H574" s="3" t="str">
        <f>IF(ISBLANK(A574), "", IF(D574&gt;0, IF(COUNTIF(Expenses!E:E, D574)&gt;0, "Matched", "Unmatched"), IF(E574&gt;0, IF(COUNTIF(Income!F:F, E574)&gt;0, "Matched", "Unmatched"), "")))</f>
        <v/>
      </c>
    </row>
    <row r="575">
      <c r="D575" s="2"/>
      <c r="E575" s="2"/>
      <c r="F575" s="2"/>
      <c r="G575" s="3" t="str">
        <f t="shared" si="1"/>
        <v/>
      </c>
      <c r="H575" s="3" t="str">
        <f>IF(ISBLANK(A575), "", IF(D575&gt;0, IF(COUNTIF(Expenses!E:E, D575)&gt;0, "Matched", "Unmatched"), IF(E575&gt;0, IF(COUNTIF(Income!F:F, E575)&gt;0, "Matched", "Unmatched"), "")))</f>
        <v/>
      </c>
    </row>
    <row r="576">
      <c r="D576" s="2"/>
      <c r="E576" s="2"/>
      <c r="F576" s="2"/>
      <c r="G576" s="3" t="str">
        <f t="shared" si="1"/>
        <v/>
      </c>
      <c r="H576" s="3" t="str">
        <f>IF(ISBLANK(A576), "", IF(D576&gt;0, IF(COUNTIF(Expenses!E:E, D576)&gt;0, "Matched", "Unmatched"), IF(E576&gt;0, IF(COUNTIF(Income!F:F, E576)&gt;0, "Matched", "Unmatched"), "")))</f>
        <v/>
      </c>
    </row>
    <row r="577">
      <c r="D577" s="2"/>
      <c r="E577" s="2"/>
      <c r="F577" s="2"/>
      <c r="G577" s="3" t="str">
        <f t="shared" si="1"/>
        <v/>
      </c>
      <c r="H577" s="3" t="str">
        <f>IF(ISBLANK(A577), "", IF(D577&gt;0, IF(COUNTIF(Expenses!E:E, D577)&gt;0, "Matched", "Unmatched"), IF(E577&gt;0, IF(COUNTIF(Income!F:F, E577)&gt;0, "Matched", "Unmatched"), "")))</f>
        <v/>
      </c>
    </row>
    <row r="578">
      <c r="D578" s="2"/>
      <c r="E578" s="2"/>
      <c r="F578" s="2"/>
      <c r="G578" s="3" t="str">
        <f t="shared" si="1"/>
        <v/>
      </c>
      <c r="H578" s="3" t="str">
        <f>IF(ISBLANK(A578), "", IF(D578&gt;0, IF(COUNTIF(Expenses!E:E, D578)&gt;0, "Matched", "Unmatched"), IF(E578&gt;0, IF(COUNTIF(Income!F:F, E578)&gt;0, "Matched", "Unmatched"), "")))</f>
        <v/>
      </c>
    </row>
    <row r="579">
      <c r="D579" s="2"/>
      <c r="E579" s="2"/>
      <c r="F579" s="2"/>
      <c r="G579" s="3" t="str">
        <f t="shared" si="1"/>
        <v/>
      </c>
      <c r="H579" s="3" t="str">
        <f>IF(ISBLANK(A579), "", IF(D579&gt;0, IF(COUNTIF(Expenses!E:E, D579)&gt;0, "Matched", "Unmatched"), IF(E579&gt;0, IF(COUNTIF(Income!F:F, E579)&gt;0, "Matched", "Unmatched"), "")))</f>
        <v/>
      </c>
    </row>
    <row r="580">
      <c r="D580" s="2"/>
      <c r="E580" s="2"/>
      <c r="F580" s="2"/>
      <c r="G580" s="3" t="str">
        <f t="shared" si="1"/>
        <v/>
      </c>
      <c r="H580" s="3" t="str">
        <f>IF(ISBLANK(A580), "", IF(D580&gt;0, IF(COUNTIF(Expenses!E:E, D580)&gt;0, "Matched", "Unmatched"), IF(E580&gt;0, IF(COUNTIF(Income!F:F, E580)&gt;0, "Matched", "Unmatched"), "")))</f>
        <v/>
      </c>
    </row>
    <row r="581">
      <c r="D581" s="2"/>
      <c r="E581" s="2"/>
      <c r="F581" s="2"/>
      <c r="G581" s="3" t="str">
        <f t="shared" si="1"/>
        <v/>
      </c>
      <c r="H581" s="3" t="str">
        <f>IF(ISBLANK(A581), "", IF(D581&gt;0, IF(COUNTIF(Expenses!E:E, D581)&gt;0, "Matched", "Unmatched"), IF(E581&gt;0, IF(COUNTIF(Income!F:F, E581)&gt;0, "Matched", "Unmatched"), "")))</f>
        <v/>
      </c>
    </row>
    <row r="582">
      <c r="D582" s="2"/>
      <c r="E582" s="2"/>
      <c r="F582" s="2"/>
      <c r="G582" s="3" t="str">
        <f t="shared" si="1"/>
        <v/>
      </c>
      <c r="H582" s="3" t="str">
        <f>IF(ISBLANK(A582), "", IF(D582&gt;0, IF(COUNTIF(Expenses!E:E, D582)&gt;0, "Matched", "Unmatched"), IF(E582&gt;0, IF(COUNTIF(Income!F:F, E582)&gt;0, "Matched", "Unmatched"), "")))</f>
        <v/>
      </c>
    </row>
    <row r="583">
      <c r="D583" s="2"/>
      <c r="E583" s="2"/>
      <c r="F583" s="2"/>
      <c r="G583" s="3" t="str">
        <f t="shared" si="1"/>
        <v/>
      </c>
      <c r="H583" s="3" t="str">
        <f>IF(ISBLANK(A583), "", IF(D583&gt;0, IF(COUNTIF(Expenses!E:E, D583)&gt;0, "Matched", "Unmatched"), IF(E583&gt;0, IF(COUNTIF(Income!F:F, E583)&gt;0, "Matched", "Unmatched"), "")))</f>
        <v/>
      </c>
    </row>
    <row r="584">
      <c r="D584" s="2"/>
      <c r="E584" s="2"/>
      <c r="F584" s="2"/>
      <c r="G584" s="3" t="str">
        <f t="shared" si="1"/>
        <v/>
      </c>
      <c r="H584" s="3" t="str">
        <f>IF(ISBLANK(A584), "", IF(D584&gt;0, IF(COUNTIF(Expenses!E:E, D584)&gt;0, "Matched", "Unmatched"), IF(E584&gt;0, IF(COUNTIF(Income!F:F, E584)&gt;0, "Matched", "Unmatched"), "")))</f>
        <v/>
      </c>
    </row>
    <row r="585">
      <c r="D585" s="2"/>
      <c r="E585" s="2"/>
      <c r="F585" s="2"/>
      <c r="G585" s="3" t="str">
        <f t="shared" si="1"/>
        <v/>
      </c>
      <c r="H585" s="3" t="str">
        <f>IF(ISBLANK(A585), "", IF(D585&gt;0, IF(COUNTIF(Expenses!E:E, D585)&gt;0, "Matched", "Unmatched"), IF(E585&gt;0, IF(COUNTIF(Income!F:F, E585)&gt;0, "Matched", "Unmatched"), "")))</f>
        <v/>
      </c>
    </row>
    <row r="586">
      <c r="D586" s="2"/>
      <c r="E586" s="2"/>
      <c r="F586" s="2"/>
      <c r="G586" s="3" t="str">
        <f t="shared" si="1"/>
        <v/>
      </c>
      <c r="H586" s="3" t="str">
        <f>IF(ISBLANK(A586), "", IF(D586&gt;0, IF(COUNTIF(Expenses!E:E, D586)&gt;0, "Matched", "Unmatched"), IF(E586&gt;0, IF(COUNTIF(Income!F:F, E586)&gt;0, "Matched", "Unmatched"), "")))</f>
        <v/>
      </c>
    </row>
    <row r="587">
      <c r="D587" s="2"/>
      <c r="E587" s="2"/>
      <c r="F587" s="2"/>
      <c r="G587" s="3" t="str">
        <f t="shared" si="1"/>
        <v/>
      </c>
      <c r="H587" s="3" t="str">
        <f>IF(ISBLANK(A587), "", IF(D587&gt;0, IF(COUNTIF(Expenses!E:E, D587)&gt;0, "Matched", "Unmatched"), IF(E587&gt;0, IF(COUNTIF(Income!F:F, E587)&gt;0, "Matched", "Unmatched"), "")))</f>
        <v/>
      </c>
    </row>
    <row r="588">
      <c r="D588" s="2"/>
      <c r="E588" s="2"/>
      <c r="F588" s="2"/>
      <c r="G588" s="3" t="str">
        <f t="shared" si="1"/>
        <v/>
      </c>
      <c r="H588" s="3" t="str">
        <f>IF(ISBLANK(A588), "", IF(D588&gt;0, IF(COUNTIF(Expenses!E:E, D588)&gt;0, "Matched", "Unmatched"), IF(E588&gt;0, IF(COUNTIF(Income!F:F, E588)&gt;0, "Matched", "Unmatched"), "")))</f>
        <v/>
      </c>
    </row>
    <row r="589">
      <c r="D589" s="2"/>
      <c r="E589" s="2"/>
      <c r="F589" s="2"/>
      <c r="G589" s="3" t="str">
        <f t="shared" si="1"/>
        <v/>
      </c>
      <c r="H589" s="3" t="str">
        <f>IF(ISBLANK(A589), "", IF(D589&gt;0, IF(COUNTIF(Expenses!E:E, D589)&gt;0, "Matched", "Unmatched"), IF(E589&gt;0, IF(COUNTIF(Income!F:F, E589)&gt;0, "Matched", "Unmatched"), "")))</f>
        <v/>
      </c>
    </row>
    <row r="590">
      <c r="D590" s="2"/>
      <c r="E590" s="2"/>
      <c r="F590" s="2"/>
      <c r="G590" s="3" t="str">
        <f t="shared" si="1"/>
        <v/>
      </c>
      <c r="H590" s="3" t="str">
        <f>IF(ISBLANK(A590), "", IF(D590&gt;0, IF(COUNTIF(Expenses!E:E, D590)&gt;0, "Matched", "Unmatched"), IF(E590&gt;0, IF(COUNTIF(Income!F:F, E590)&gt;0, "Matched", "Unmatched"), "")))</f>
        <v/>
      </c>
    </row>
    <row r="591">
      <c r="D591" s="2"/>
      <c r="E591" s="2"/>
      <c r="F591" s="2"/>
      <c r="G591" s="3" t="str">
        <f t="shared" si="1"/>
        <v/>
      </c>
      <c r="H591" s="3" t="str">
        <f>IF(ISBLANK(A591), "", IF(D591&gt;0, IF(COUNTIF(Expenses!E:E, D591)&gt;0, "Matched", "Unmatched"), IF(E591&gt;0, IF(COUNTIF(Income!F:F, E591)&gt;0, "Matched", "Unmatched"), "")))</f>
        <v/>
      </c>
    </row>
    <row r="592">
      <c r="D592" s="2"/>
      <c r="E592" s="2"/>
      <c r="F592" s="2"/>
      <c r="G592" s="3" t="str">
        <f t="shared" si="1"/>
        <v/>
      </c>
      <c r="H592" s="3" t="str">
        <f>IF(ISBLANK(A592), "", IF(D592&gt;0, IF(COUNTIF(Expenses!E:E, D592)&gt;0, "Matched", "Unmatched"), IF(E592&gt;0, IF(COUNTIF(Income!F:F, E592)&gt;0, "Matched", "Unmatched"), "")))</f>
        <v/>
      </c>
    </row>
    <row r="593">
      <c r="D593" s="2"/>
      <c r="E593" s="2"/>
      <c r="F593" s="2"/>
      <c r="G593" s="3" t="str">
        <f t="shared" si="1"/>
        <v/>
      </c>
      <c r="H593" s="3" t="str">
        <f>IF(ISBLANK(A593), "", IF(D593&gt;0, IF(COUNTIF(Expenses!E:E, D593)&gt;0, "Matched", "Unmatched"), IF(E593&gt;0, IF(COUNTIF(Income!F:F, E593)&gt;0, "Matched", "Unmatched"), "")))</f>
        <v/>
      </c>
    </row>
    <row r="594">
      <c r="D594" s="2"/>
      <c r="E594" s="2"/>
      <c r="F594" s="2"/>
      <c r="G594" s="3" t="str">
        <f t="shared" si="1"/>
        <v/>
      </c>
      <c r="H594" s="3" t="str">
        <f>IF(ISBLANK(A594), "", IF(D594&gt;0, IF(COUNTIF(Expenses!E:E, D594)&gt;0, "Matched", "Unmatched"), IF(E594&gt;0, IF(COUNTIF(Income!F:F, E594)&gt;0, "Matched", "Unmatched"), "")))</f>
        <v/>
      </c>
    </row>
    <row r="595">
      <c r="D595" s="2"/>
      <c r="E595" s="2"/>
      <c r="F595" s="2"/>
      <c r="G595" s="3" t="str">
        <f t="shared" si="1"/>
        <v/>
      </c>
      <c r="H595" s="3" t="str">
        <f>IF(ISBLANK(A595), "", IF(D595&gt;0, IF(COUNTIF(Expenses!E:E, D595)&gt;0, "Matched", "Unmatched"), IF(E595&gt;0, IF(COUNTIF(Income!F:F, E595)&gt;0, "Matched", "Unmatched"), "")))</f>
        <v/>
      </c>
    </row>
    <row r="596">
      <c r="D596" s="2"/>
      <c r="E596" s="2"/>
      <c r="F596" s="2"/>
      <c r="G596" s="3" t="str">
        <f t="shared" si="1"/>
        <v/>
      </c>
      <c r="H596" s="3" t="str">
        <f>IF(ISBLANK(A596), "", IF(D596&gt;0, IF(COUNTIF(Expenses!E:E, D596)&gt;0, "Matched", "Unmatched"), IF(E596&gt;0, IF(COUNTIF(Income!F:F, E596)&gt;0, "Matched", "Unmatched"), "")))</f>
        <v/>
      </c>
    </row>
    <row r="597">
      <c r="D597" s="2"/>
      <c r="E597" s="2"/>
      <c r="F597" s="2"/>
      <c r="G597" s="3" t="str">
        <f t="shared" si="1"/>
        <v/>
      </c>
      <c r="H597" s="3" t="str">
        <f>IF(ISBLANK(A597), "", IF(D597&gt;0, IF(COUNTIF(Expenses!E:E, D597)&gt;0, "Matched", "Unmatched"), IF(E597&gt;0, IF(COUNTIF(Income!F:F, E597)&gt;0, "Matched", "Unmatched"), "")))</f>
        <v/>
      </c>
    </row>
    <row r="598">
      <c r="D598" s="2"/>
      <c r="E598" s="2"/>
      <c r="F598" s="2"/>
      <c r="G598" s="3" t="str">
        <f t="shared" si="1"/>
        <v/>
      </c>
      <c r="H598" s="3" t="str">
        <f>IF(ISBLANK(A598), "", IF(D598&gt;0, IF(COUNTIF(Expenses!E:E, D598)&gt;0, "Matched", "Unmatched"), IF(E598&gt;0, IF(COUNTIF(Income!F:F, E598)&gt;0, "Matched", "Unmatched"), "")))</f>
        <v/>
      </c>
    </row>
    <row r="599">
      <c r="D599" s="2"/>
      <c r="E599" s="2"/>
      <c r="F599" s="2"/>
      <c r="G599" s="3" t="str">
        <f t="shared" si="1"/>
        <v/>
      </c>
      <c r="H599" s="3" t="str">
        <f>IF(ISBLANK(A599), "", IF(D599&gt;0, IF(COUNTIF(Expenses!E:E, D599)&gt;0, "Matched", "Unmatched"), IF(E599&gt;0, IF(COUNTIF(Income!F:F, E599)&gt;0, "Matched", "Unmatched"), "")))</f>
        <v/>
      </c>
    </row>
    <row r="600">
      <c r="D600" s="2"/>
      <c r="E600" s="2"/>
      <c r="F600" s="2"/>
      <c r="G600" s="3" t="str">
        <f t="shared" si="1"/>
        <v/>
      </c>
      <c r="H600" s="3" t="str">
        <f>IF(ISBLANK(A600), "", IF(D600&gt;0, IF(COUNTIF(Expenses!E:E, D600)&gt;0, "Matched", "Unmatched"), IF(E600&gt;0, IF(COUNTIF(Income!F:F, E600)&gt;0, "Matched", "Unmatched"), "")))</f>
        <v/>
      </c>
    </row>
    <row r="601">
      <c r="D601" s="2"/>
      <c r="E601" s="2"/>
      <c r="F601" s="2"/>
      <c r="G601" s="3" t="str">
        <f t="shared" si="1"/>
        <v/>
      </c>
      <c r="H601" s="3" t="str">
        <f>IF(ISBLANK(A601), "", IF(D601&gt;0, IF(COUNTIF(Expenses!E:E, D601)&gt;0, "Matched", "Unmatched"), IF(E601&gt;0, IF(COUNTIF(Income!F:F, E601)&gt;0, "Matched", "Unmatched"), "")))</f>
        <v/>
      </c>
    </row>
    <row r="602">
      <c r="D602" s="2"/>
      <c r="E602" s="2"/>
      <c r="F602" s="2"/>
      <c r="G602" s="3" t="str">
        <f t="shared" si="1"/>
        <v/>
      </c>
      <c r="H602" s="3" t="str">
        <f>IF(ISBLANK(A602), "", IF(D602&gt;0, IF(COUNTIF(Expenses!E:E, D602)&gt;0, "Matched", "Unmatched"), IF(E602&gt;0, IF(COUNTIF(Income!F:F, E602)&gt;0, "Matched", "Unmatched"), "")))</f>
        <v/>
      </c>
    </row>
    <row r="603">
      <c r="D603" s="2"/>
      <c r="E603" s="2"/>
      <c r="F603" s="2"/>
      <c r="G603" s="3" t="str">
        <f t="shared" si="1"/>
        <v/>
      </c>
      <c r="H603" s="3" t="str">
        <f>IF(ISBLANK(A603), "", IF(D603&gt;0, IF(COUNTIF(Expenses!E:E, D603)&gt;0, "Matched", "Unmatched"), IF(E603&gt;0, IF(COUNTIF(Income!F:F, E603)&gt;0, "Matched", "Unmatched"), "")))</f>
        <v/>
      </c>
    </row>
    <row r="604">
      <c r="D604" s="2"/>
      <c r="E604" s="2"/>
      <c r="F604" s="2"/>
      <c r="G604" s="3" t="str">
        <f t="shared" si="1"/>
        <v/>
      </c>
      <c r="H604" s="3" t="str">
        <f>IF(ISBLANK(A604), "", IF(D604&gt;0, IF(COUNTIF(Expenses!E:E, D604)&gt;0, "Matched", "Unmatched"), IF(E604&gt;0, IF(COUNTIF(Income!F:F, E604)&gt;0, "Matched", "Unmatched"), "")))</f>
        <v/>
      </c>
    </row>
    <row r="605">
      <c r="D605" s="2"/>
      <c r="E605" s="2"/>
      <c r="F605" s="2"/>
      <c r="G605" s="3" t="str">
        <f t="shared" si="1"/>
        <v/>
      </c>
      <c r="H605" s="3" t="str">
        <f>IF(ISBLANK(A605), "", IF(D605&gt;0, IF(COUNTIF(Expenses!E:E, D605)&gt;0, "Matched", "Unmatched"), IF(E605&gt;0, IF(COUNTIF(Income!F:F, E605)&gt;0, "Matched", "Unmatched"), "")))</f>
        <v/>
      </c>
    </row>
    <row r="606">
      <c r="D606" s="2"/>
      <c r="E606" s="2"/>
      <c r="F606" s="2"/>
      <c r="G606" s="3" t="str">
        <f t="shared" si="1"/>
        <v/>
      </c>
      <c r="H606" s="3" t="str">
        <f>IF(ISBLANK(A606), "", IF(D606&gt;0, IF(COUNTIF(Expenses!E:E, D606)&gt;0, "Matched", "Unmatched"), IF(E606&gt;0, IF(COUNTIF(Income!F:F, E606)&gt;0, "Matched", "Unmatched"), "")))</f>
        <v/>
      </c>
    </row>
    <row r="607">
      <c r="D607" s="2"/>
      <c r="E607" s="2"/>
      <c r="F607" s="2"/>
      <c r="G607" s="3" t="str">
        <f t="shared" si="1"/>
        <v/>
      </c>
      <c r="H607" s="3" t="str">
        <f>IF(ISBLANK(A607), "", IF(D607&gt;0, IF(COUNTIF(Expenses!E:E, D607)&gt;0, "Matched", "Unmatched"), IF(E607&gt;0, IF(COUNTIF(Income!F:F, E607)&gt;0, "Matched", "Unmatched"), "")))</f>
        <v/>
      </c>
    </row>
    <row r="608">
      <c r="D608" s="2"/>
      <c r="E608" s="2"/>
      <c r="F608" s="2"/>
      <c r="G608" s="3" t="str">
        <f t="shared" si="1"/>
        <v/>
      </c>
      <c r="H608" s="3" t="str">
        <f>IF(ISBLANK(A608), "", IF(D608&gt;0, IF(COUNTIF(Expenses!E:E, D608)&gt;0, "Matched", "Unmatched"), IF(E608&gt;0, IF(COUNTIF(Income!F:F, E608)&gt;0, "Matched", "Unmatched"), "")))</f>
        <v/>
      </c>
    </row>
    <row r="609">
      <c r="D609" s="2"/>
      <c r="E609" s="2"/>
      <c r="F609" s="2"/>
      <c r="G609" s="3" t="str">
        <f t="shared" si="1"/>
        <v/>
      </c>
      <c r="H609" s="3" t="str">
        <f>IF(ISBLANK(A609), "", IF(D609&gt;0, IF(COUNTIF(Expenses!E:E, D609)&gt;0, "Matched", "Unmatched"), IF(E609&gt;0, IF(COUNTIF(Income!F:F, E609)&gt;0, "Matched", "Unmatched"), "")))</f>
        <v/>
      </c>
    </row>
    <row r="610">
      <c r="D610" s="2"/>
      <c r="E610" s="2"/>
      <c r="F610" s="2"/>
      <c r="G610" s="3" t="str">
        <f t="shared" si="1"/>
        <v/>
      </c>
      <c r="H610" s="3" t="str">
        <f>IF(ISBLANK(A610), "", IF(D610&gt;0, IF(COUNTIF(Expenses!E:E, D610)&gt;0, "Matched", "Unmatched"), IF(E610&gt;0, IF(COUNTIF(Income!F:F, E610)&gt;0, "Matched", "Unmatched"), "")))</f>
        <v/>
      </c>
    </row>
    <row r="611">
      <c r="D611" s="2"/>
      <c r="E611" s="2"/>
      <c r="F611" s="2"/>
      <c r="G611" s="3" t="str">
        <f t="shared" si="1"/>
        <v/>
      </c>
      <c r="H611" s="3" t="str">
        <f>IF(ISBLANK(A611), "", IF(D611&gt;0, IF(COUNTIF(Expenses!E:E, D611)&gt;0, "Matched", "Unmatched"), IF(E611&gt;0, IF(COUNTIF(Income!F:F, E611)&gt;0, "Matched", "Unmatched"), "")))</f>
        <v/>
      </c>
    </row>
    <row r="612">
      <c r="D612" s="2"/>
      <c r="E612" s="2"/>
      <c r="F612" s="2"/>
      <c r="G612" s="3" t="str">
        <f t="shared" si="1"/>
        <v/>
      </c>
      <c r="H612" s="3" t="str">
        <f>IF(ISBLANK(A612), "", IF(D612&gt;0, IF(COUNTIF(Expenses!E:E, D612)&gt;0, "Matched", "Unmatched"), IF(E612&gt;0, IF(COUNTIF(Income!F:F, E612)&gt;0, "Matched", "Unmatched"), "")))</f>
        <v/>
      </c>
    </row>
    <row r="613">
      <c r="D613" s="2"/>
      <c r="E613" s="2"/>
      <c r="F613" s="2"/>
      <c r="G613" s="3" t="str">
        <f t="shared" si="1"/>
        <v/>
      </c>
      <c r="H613" s="3" t="str">
        <f>IF(ISBLANK(A613), "", IF(D613&gt;0, IF(COUNTIF(Expenses!E:E, D613)&gt;0, "Matched", "Unmatched"), IF(E613&gt;0, IF(COUNTIF(Income!F:F, E613)&gt;0, "Matched", "Unmatched"), "")))</f>
        <v/>
      </c>
    </row>
    <row r="614">
      <c r="D614" s="2"/>
      <c r="E614" s="2"/>
      <c r="F614" s="2"/>
      <c r="G614" s="3" t="str">
        <f t="shared" si="1"/>
        <v/>
      </c>
      <c r="H614" s="3" t="str">
        <f>IF(ISBLANK(A614), "", IF(D614&gt;0, IF(COUNTIF(Expenses!E:E, D614)&gt;0, "Matched", "Unmatched"), IF(E614&gt;0, IF(COUNTIF(Income!F:F, E614)&gt;0, "Matched", "Unmatched"), "")))</f>
        <v/>
      </c>
    </row>
    <row r="615">
      <c r="D615" s="2"/>
      <c r="E615" s="2"/>
      <c r="F615" s="2"/>
      <c r="G615" s="3" t="str">
        <f t="shared" si="1"/>
        <v/>
      </c>
      <c r="H615" s="3" t="str">
        <f>IF(ISBLANK(A615), "", IF(D615&gt;0, IF(COUNTIF(Expenses!E:E, D615)&gt;0, "Matched", "Unmatched"), IF(E615&gt;0, IF(COUNTIF(Income!F:F, E615)&gt;0, "Matched", "Unmatched"), "")))</f>
        <v/>
      </c>
    </row>
    <row r="616">
      <c r="D616" s="2"/>
      <c r="E616" s="2"/>
      <c r="F616" s="2"/>
      <c r="G616" s="3" t="str">
        <f t="shared" si="1"/>
        <v/>
      </c>
      <c r="H616" s="3" t="str">
        <f>IF(ISBLANK(A616), "", IF(D616&gt;0, IF(COUNTIF(Expenses!E:E, D616)&gt;0, "Matched", "Unmatched"), IF(E616&gt;0, IF(COUNTIF(Income!F:F, E616)&gt;0, "Matched", "Unmatched"), "")))</f>
        <v/>
      </c>
    </row>
    <row r="617">
      <c r="D617" s="2"/>
      <c r="E617" s="2"/>
      <c r="F617" s="2"/>
      <c r="G617" s="3" t="str">
        <f t="shared" si="1"/>
        <v/>
      </c>
      <c r="H617" s="3" t="str">
        <f>IF(ISBLANK(A617), "", IF(D617&gt;0, IF(COUNTIF(Expenses!E:E, D617)&gt;0, "Matched", "Unmatched"), IF(E617&gt;0, IF(COUNTIF(Income!F:F, E617)&gt;0, "Matched", "Unmatched"), "")))</f>
        <v/>
      </c>
    </row>
    <row r="618">
      <c r="D618" s="2"/>
      <c r="E618" s="2"/>
      <c r="F618" s="2"/>
      <c r="G618" s="3" t="str">
        <f t="shared" si="1"/>
        <v/>
      </c>
      <c r="H618" s="3" t="str">
        <f>IF(ISBLANK(A618), "", IF(D618&gt;0, IF(COUNTIF(Expenses!E:E, D618)&gt;0, "Matched", "Unmatched"), IF(E618&gt;0, IF(COUNTIF(Income!F:F, E618)&gt;0, "Matched", "Unmatched"), "")))</f>
        <v/>
      </c>
    </row>
    <row r="619">
      <c r="D619" s="2"/>
      <c r="E619" s="2"/>
      <c r="F619" s="2"/>
      <c r="G619" s="3" t="str">
        <f t="shared" si="1"/>
        <v/>
      </c>
      <c r="H619" s="3" t="str">
        <f>IF(ISBLANK(A619), "", IF(D619&gt;0, IF(COUNTIF(Expenses!E:E, D619)&gt;0, "Matched", "Unmatched"), IF(E619&gt;0, IF(COUNTIF(Income!F:F, E619)&gt;0, "Matched", "Unmatched"), "")))</f>
        <v/>
      </c>
    </row>
    <row r="620">
      <c r="D620" s="2"/>
      <c r="E620" s="2"/>
      <c r="F620" s="2"/>
      <c r="G620" s="3" t="str">
        <f t="shared" si="1"/>
        <v/>
      </c>
      <c r="H620" s="3" t="str">
        <f>IF(ISBLANK(A620), "", IF(D620&gt;0, IF(COUNTIF(Expenses!E:E, D620)&gt;0, "Matched", "Unmatched"), IF(E620&gt;0, IF(COUNTIF(Income!F:F, E620)&gt;0, "Matched", "Unmatched"), "")))</f>
        <v/>
      </c>
    </row>
    <row r="621">
      <c r="D621" s="2"/>
      <c r="E621" s="2"/>
      <c r="F621" s="2"/>
      <c r="G621" s="3" t="str">
        <f t="shared" si="1"/>
        <v/>
      </c>
      <c r="H621" s="3" t="str">
        <f>IF(ISBLANK(A621), "", IF(D621&gt;0, IF(COUNTIF(Expenses!E:E, D621)&gt;0, "Matched", "Unmatched"), IF(E621&gt;0, IF(COUNTIF(Income!F:F, E621)&gt;0, "Matched", "Unmatched"), "")))</f>
        <v/>
      </c>
    </row>
    <row r="622">
      <c r="D622" s="2"/>
      <c r="E622" s="2"/>
      <c r="F622" s="2"/>
      <c r="G622" s="3" t="str">
        <f t="shared" si="1"/>
        <v/>
      </c>
      <c r="H622" s="3" t="str">
        <f>IF(ISBLANK(A622), "", IF(D622&gt;0, IF(COUNTIF(Expenses!E:E, D622)&gt;0, "Matched", "Unmatched"), IF(E622&gt;0, IF(COUNTIF(Income!F:F, E622)&gt;0, "Matched", "Unmatched"), "")))</f>
        <v/>
      </c>
    </row>
    <row r="623">
      <c r="D623" s="2"/>
      <c r="E623" s="2"/>
      <c r="F623" s="2"/>
      <c r="G623" s="3" t="str">
        <f t="shared" si="1"/>
        <v/>
      </c>
      <c r="H623" s="3" t="str">
        <f>IF(ISBLANK(A623), "", IF(D623&gt;0, IF(COUNTIF(Expenses!E:E, D623)&gt;0, "Matched", "Unmatched"), IF(E623&gt;0, IF(COUNTIF(Income!F:F, E623)&gt;0, "Matched", "Unmatched"), "")))</f>
        <v/>
      </c>
    </row>
    <row r="624">
      <c r="D624" s="2"/>
      <c r="E624" s="2"/>
      <c r="F624" s="2"/>
      <c r="G624" s="3" t="str">
        <f t="shared" si="1"/>
        <v/>
      </c>
      <c r="H624" s="3" t="str">
        <f>IF(ISBLANK(A624), "", IF(D624&gt;0, IF(COUNTIF(Expenses!E:E, D624)&gt;0, "Matched", "Unmatched"), IF(E624&gt;0, IF(COUNTIF(Income!F:F, E624)&gt;0, "Matched", "Unmatched"), "")))</f>
        <v/>
      </c>
    </row>
    <row r="625">
      <c r="D625" s="2"/>
      <c r="E625" s="2"/>
      <c r="F625" s="2"/>
      <c r="G625" s="3" t="str">
        <f t="shared" si="1"/>
        <v/>
      </c>
      <c r="H625" s="3" t="str">
        <f>IF(ISBLANK(A625), "", IF(D625&gt;0, IF(COUNTIF(Expenses!E:E, D625)&gt;0, "Matched", "Unmatched"), IF(E625&gt;0, IF(COUNTIF(Income!F:F, E625)&gt;0, "Matched", "Unmatched"), "")))</f>
        <v/>
      </c>
    </row>
    <row r="626">
      <c r="D626" s="2"/>
      <c r="E626" s="2"/>
      <c r="F626" s="2"/>
      <c r="G626" s="3" t="str">
        <f t="shared" si="1"/>
        <v/>
      </c>
      <c r="H626" s="3" t="str">
        <f>IF(ISBLANK(A626), "", IF(D626&gt;0, IF(COUNTIF(Expenses!E:E, D626)&gt;0, "Matched", "Unmatched"), IF(E626&gt;0, IF(COUNTIF(Income!F:F, E626)&gt;0, "Matched", "Unmatched"), "")))</f>
        <v/>
      </c>
    </row>
    <row r="627">
      <c r="D627" s="2"/>
      <c r="E627" s="2"/>
      <c r="F627" s="2"/>
      <c r="G627" s="3" t="str">
        <f t="shared" si="1"/>
        <v/>
      </c>
      <c r="H627" s="3" t="str">
        <f>IF(ISBLANK(A627), "", IF(D627&gt;0, IF(COUNTIF(Expenses!E:E, D627)&gt;0, "Matched", "Unmatched"), IF(E627&gt;0, IF(COUNTIF(Income!F:F, E627)&gt;0, "Matched", "Unmatched"), "")))</f>
        <v/>
      </c>
    </row>
    <row r="628">
      <c r="D628" s="2"/>
      <c r="E628" s="2"/>
      <c r="F628" s="2"/>
      <c r="G628" s="3" t="str">
        <f t="shared" si="1"/>
        <v/>
      </c>
      <c r="H628" s="3" t="str">
        <f>IF(ISBLANK(A628), "", IF(D628&gt;0, IF(COUNTIF(Expenses!E:E, D628)&gt;0, "Matched", "Unmatched"), IF(E628&gt;0, IF(COUNTIF(Income!F:F, E628)&gt;0, "Matched", "Unmatched"), "")))</f>
        <v/>
      </c>
    </row>
    <row r="629">
      <c r="D629" s="2"/>
      <c r="E629" s="2"/>
      <c r="F629" s="2"/>
      <c r="G629" s="3" t="str">
        <f t="shared" si="1"/>
        <v/>
      </c>
      <c r="H629" s="3" t="str">
        <f>IF(ISBLANK(A629), "", IF(D629&gt;0, IF(COUNTIF(Expenses!E:E, D629)&gt;0, "Matched", "Unmatched"), IF(E629&gt;0, IF(COUNTIF(Income!F:F, E629)&gt;0, "Matched", "Unmatched"), "")))</f>
        <v/>
      </c>
    </row>
    <row r="630">
      <c r="D630" s="2"/>
      <c r="E630" s="2"/>
      <c r="F630" s="2"/>
      <c r="G630" s="3" t="str">
        <f t="shared" si="1"/>
        <v/>
      </c>
      <c r="H630" s="3" t="str">
        <f>IF(ISBLANK(A630), "", IF(D630&gt;0, IF(COUNTIF(Expenses!E:E, D630)&gt;0, "Matched", "Unmatched"), IF(E630&gt;0, IF(COUNTIF(Income!F:F, E630)&gt;0, "Matched", "Unmatched"), "")))</f>
        <v/>
      </c>
    </row>
    <row r="631">
      <c r="D631" s="2"/>
      <c r="E631" s="2"/>
      <c r="F631" s="2"/>
      <c r="G631" s="3" t="str">
        <f t="shared" si="1"/>
        <v/>
      </c>
      <c r="H631" s="3" t="str">
        <f>IF(ISBLANK(A631), "", IF(D631&gt;0, IF(COUNTIF(Expenses!E:E, D631)&gt;0, "Matched", "Unmatched"), IF(E631&gt;0, IF(COUNTIF(Income!F:F, E631)&gt;0, "Matched", "Unmatched"), "")))</f>
        <v/>
      </c>
    </row>
    <row r="632">
      <c r="D632" s="2"/>
      <c r="E632" s="2"/>
      <c r="F632" s="2"/>
      <c r="G632" s="3" t="str">
        <f t="shared" si="1"/>
        <v/>
      </c>
      <c r="H632" s="3" t="str">
        <f>IF(ISBLANK(A632), "", IF(D632&gt;0, IF(COUNTIF(Expenses!E:E, D632)&gt;0, "Matched", "Unmatched"), IF(E632&gt;0, IF(COUNTIF(Income!F:F, E632)&gt;0, "Matched", "Unmatched"), "")))</f>
        <v/>
      </c>
    </row>
    <row r="633">
      <c r="D633" s="2"/>
      <c r="E633" s="2"/>
      <c r="F633" s="2"/>
      <c r="G633" s="3" t="str">
        <f t="shared" si="1"/>
        <v/>
      </c>
      <c r="H633" s="3" t="str">
        <f>IF(ISBLANK(A633), "", IF(D633&gt;0, IF(COUNTIF(Expenses!E:E, D633)&gt;0, "Matched", "Unmatched"), IF(E633&gt;0, IF(COUNTIF(Income!F:F, E633)&gt;0, "Matched", "Unmatched"), "")))</f>
        <v/>
      </c>
    </row>
    <row r="634">
      <c r="D634" s="2"/>
      <c r="E634" s="2"/>
      <c r="F634" s="2"/>
      <c r="G634" s="3" t="str">
        <f t="shared" si="1"/>
        <v/>
      </c>
      <c r="H634" s="3" t="str">
        <f>IF(ISBLANK(A634), "", IF(D634&gt;0, IF(COUNTIF(Expenses!E:E, D634)&gt;0, "Matched", "Unmatched"), IF(E634&gt;0, IF(COUNTIF(Income!F:F, E634)&gt;0, "Matched", "Unmatched"), "")))</f>
        <v/>
      </c>
    </row>
    <row r="635">
      <c r="D635" s="2"/>
      <c r="E635" s="2"/>
      <c r="F635" s="2"/>
      <c r="G635" s="3" t="str">
        <f t="shared" si="1"/>
        <v/>
      </c>
      <c r="H635" s="3" t="str">
        <f>IF(ISBLANK(A635), "", IF(D635&gt;0, IF(COUNTIF(Expenses!E:E, D635)&gt;0, "Matched", "Unmatched"), IF(E635&gt;0, IF(COUNTIF(Income!F:F, E635)&gt;0, "Matched", "Unmatched"), "")))</f>
        <v/>
      </c>
    </row>
    <row r="636">
      <c r="D636" s="2"/>
      <c r="E636" s="2"/>
      <c r="F636" s="2"/>
      <c r="G636" s="3" t="str">
        <f t="shared" si="1"/>
        <v/>
      </c>
      <c r="H636" s="3" t="str">
        <f>IF(ISBLANK(A636), "", IF(D636&gt;0, IF(COUNTIF(Expenses!E:E, D636)&gt;0, "Matched", "Unmatched"), IF(E636&gt;0, IF(COUNTIF(Income!F:F, E636)&gt;0, "Matched", "Unmatched"), "")))</f>
        <v/>
      </c>
    </row>
    <row r="637">
      <c r="D637" s="2"/>
      <c r="E637" s="2"/>
      <c r="F637" s="2"/>
      <c r="G637" s="3" t="str">
        <f t="shared" si="1"/>
        <v/>
      </c>
      <c r="H637" s="3" t="str">
        <f>IF(ISBLANK(A637), "", IF(D637&gt;0, IF(COUNTIF(Expenses!E:E, D637)&gt;0, "Matched", "Unmatched"), IF(E637&gt;0, IF(COUNTIF(Income!F:F, E637)&gt;0, "Matched", "Unmatched"), "")))</f>
        <v/>
      </c>
    </row>
    <row r="638">
      <c r="D638" s="2"/>
      <c r="E638" s="2"/>
      <c r="F638" s="2"/>
      <c r="G638" s="3" t="str">
        <f t="shared" si="1"/>
        <v/>
      </c>
      <c r="H638" s="3" t="str">
        <f>IF(ISBLANK(A638), "", IF(D638&gt;0, IF(COUNTIF(Expenses!E:E, D638)&gt;0, "Matched", "Unmatched"), IF(E638&gt;0, IF(COUNTIF(Income!F:F, E638)&gt;0, "Matched", "Unmatched"), "")))</f>
        <v/>
      </c>
    </row>
    <row r="639">
      <c r="D639" s="2"/>
      <c r="E639" s="2"/>
      <c r="F639" s="2"/>
      <c r="G639" s="3" t="str">
        <f t="shared" si="1"/>
        <v/>
      </c>
      <c r="H639" s="3" t="str">
        <f>IF(ISBLANK(A639), "", IF(D639&gt;0, IF(COUNTIF(Expenses!E:E, D639)&gt;0, "Matched", "Unmatched"), IF(E639&gt;0, IF(COUNTIF(Income!F:F, E639)&gt;0, "Matched", "Unmatched"), "")))</f>
        <v/>
      </c>
    </row>
    <row r="640">
      <c r="D640" s="2"/>
      <c r="E640" s="2"/>
      <c r="F640" s="2"/>
      <c r="G640" s="3" t="str">
        <f t="shared" si="1"/>
        <v/>
      </c>
      <c r="H640" s="3" t="str">
        <f>IF(ISBLANK(A640), "", IF(D640&gt;0, IF(COUNTIF(Expenses!E:E, D640)&gt;0, "Matched", "Unmatched"), IF(E640&gt;0, IF(COUNTIF(Income!F:F, E640)&gt;0, "Matched", "Unmatched"), "")))</f>
        <v/>
      </c>
    </row>
    <row r="641">
      <c r="D641" s="2"/>
      <c r="E641" s="2"/>
      <c r="F641" s="2"/>
      <c r="G641" s="3" t="str">
        <f t="shared" si="1"/>
        <v/>
      </c>
      <c r="H641" s="3" t="str">
        <f>IF(ISBLANK(A641), "", IF(D641&gt;0, IF(COUNTIF(Expenses!E:E, D641)&gt;0, "Matched", "Unmatched"), IF(E641&gt;0, IF(COUNTIF(Income!F:F, E641)&gt;0, "Matched", "Unmatched"), "")))</f>
        <v/>
      </c>
    </row>
    <row r="642">
      <c r="D642" s="2"/>
      <c r="E642" s="2"/>
      <c r="F642" s="2"/>
      <c r="G642" s="3" t="str">
        <f t="shared" si="1"/>
        <v/>
      </c>
      <c r="H642" s="3" t="str">
        <f>IF(ISBLANK(A642), "", IF(D642&gt;0, IF(COUNTIF(Expenses!E:E, D642)&gt;0, "Matched", "Unmatched"), IF(E642&gt;0, IF(COUNTIF(Income!F:F, E642)&gt;0, "Matched", "Unmatched"), "")))</f>
        <v/>
      </c>
    </row>
    <row r="643">
      <c r="D643" s="2"/>
      <c r="E643" s="2"/>
      <c r="F643" s="2"/>
      <c r="G643" s="3" t="str">
        <f t="shared" si="1"/>
        <v/>
      </c>
      <c r="H643" s="3" t="str">
        <f>IF(ISBLANK(A643), "", IF(D643&gt;0, IF(COUNTIF(Expenses!E:E, D643)&gt;0, "Matched", "Unmatched"), IF(E643&gt;0, IF(COUNTIF(Income!F:F, E643)&gt;0, "Matched", "Unmatched"), "")))</f>
        <v/>
      </c>
    </row>
    <row r="644">
      <c r="D644" s="2"/>
      <c r="E644" s="2"/>
      <c r="F644" s="2"/>
      <c r="G644" s="3" t="str">
        <f t="shared" si="1"/>
        <v/>
      </c>
      <c r="H644" s="3" t="str">
        <f>IF(ISBLANK(A644), "", IF(D644&gt;0, IF(COUNTIF(Expenses!E:E, D644)&gt;0, "Matched", "Unmatched"), IF(E644&gt;0, IF(COUNTIF(Income!F:F, E644)&gt;0, "Matched", "Unmatched"), "")))</f>
        <v/>
      </c>
    </row>
    <row r="645">
      <c r="D645" s="2"/>
      <c r="E645" s="2"/>
      <c r="F645" s="2"/>
      <c r="G645" s="3" t="str">
        <f t="shared" si="1"/>
        <v/>
      </c>
      <c r="H645" s="3" t="str">
        <f>IF(ISBLANK(A645), "", IF(D645&gt;0, IF(COUNTIF(Expenses!E:E, D645)&gt;0, "Matched", "Unmatched"), IF(E645&gt;0, IF(COUNTIF(Income!F:F, E645)&gt;0, "Matched", "Unmatched"), "")))</f>
        <v/>
      </c>
    </row>
    <row r="646">
      <c r="D646" s="2"/>
      <c r="E646" s="2"/>
      <c r="F646" s="2"/>
      <c r="G646" s="3" t="str">
        <f t="shared" si="1"/>
        <v/>
      </c>
      <c r="H646" s="3" t="str">
        <f>IF(ISBLANK(A646), "", IF(D646&gt;0, IF(COUNTIF(Expenses!E:E, D646)&gt;0, "Matched", "Unmatched"), IF(E646&gt;0, IF(COUNTIF(Income!F:F, E646)&gt;0, "Matched", "Unmatched"), "")))</f>
        <v/>
      </c>
    </row>
    <row r="647">
      <c r="D647" s="2"/>
      <c r="E647" s="2"/>
      <c r="F647" s="2"/>
      <c r="G647" s="3" t="str">
        <f t="shared" si="1"/>
        <v/>
      </c>
      <c r="H647" s="3" t="str">
        <f>IF(ISBLANK(A647), "", IF(D647&gt;0, IF(COUNTIF(Expenses!E:E, D647)&gt;0, "Matched", "Unmatched"), IF(E647&gt;0, IF(COUNTIF(Income!F:F, E647)&gt;0, "Matched", "Unmatched"), "")))</f>
        <v/>
      </c>
    </row>
    <row r="648">
      <c r="D648" s="2"/>
      <c r="E648" s="2"/>
      <c r="F648" s="2"/>
      <c r="G648" s="3" t="str">
        <f t="shared" si="1"/>
        <v/>
      </c>
      <c r="H648" s="3" t="str">
        <f>IF(ISBLANK(A648), "", IF(D648&gt;0, IF(COUNTIF(Expenses!E:E, D648)&gt;0, "Matched", "Unmatched"), IF(E648&gt;0, IF(COUNTIF(Income!F:F, E648)&gt;0, "Matched", "Unmatched"), "")))</f>
        <v/>
      </c>
    </row>
    <row r="649">
      <c r="D649" s="2"/>
      <c r="E649" s="2"/>
      <c r="F649" s="2"/>
      <c r="G649" s="3" t="str">
        <f t="shared" si="1"/>
        <v/>
      </c>
      <c r="H649" s="3" t="str">
        <f>IF(ISBLANK(A649), "", IF(D649&gt;0, IF(COUNTIF(Expenses!E:E, D649)&gt;0, "Matched", "Unmatched"), IF(E649&gt;0, IF(COUNTIF(Income!F:F, E649)&gt;0, "Matched", "Unmatched"), "")))</f>
        <v/>
      </c>
    </row>
    <row r="650">
      <c r="D650" s="2"/>
      <c r="E650" s="2"/>
      <c r="F650" s="2"/>
      <c r="G650" s="3" t="str">
        <f t="shared" si="1"/>
        <v/>
      </c>
      <c r="H650" s="3" t="str">
        <f>IF(ISBLANK(A650), "", IF(D650&gt;0, IF(COUNTIF(Expenses!E:E, D650)&gt;0, "Matched", "Unmatched"), IF(E650&gt;0, IF(COUNTIF(Income!F:F, E650)&gt;0, "Matched", "Unmatched"), "")))</f>
        <v/>
      </c>
    </row>
    <row r="651">
      <c r="D651" s="2"/>
      <c r="E651" s="2"/>
      <c r="F651" s="2"/>
      <c r="G651" s="3" t="str">
        <f t="shared" si="1"/>
        <v/>
      </c>
      <c r="H651" s="3" t="str">
        <f>IF(ISBLANK(A651), "", IF(D651&gt;0, IF(COUNTIF(Expenses!E:E, D651)&gt;0, "Matched", "Unmatched"), IF(E651&gt;0, IF(COUNTIF(Income!F:F, E651)&gt;0, "Matched", "Unmatched"), "")))</f>
        <v/>
      </c>
    </row>
    <row r="652">
      <c r="D652" s="2"/>
      <c r="E652" s="2"/>
      <c r="F652" s="2"/>
      <c r="G652" s="3" t="str">
        <f t="shared" si="1"/>
        <v/>
      </c>
      <c r="H652" s="3" t="str">
        <f>IF(ISBLANK(A652), "", IF(D652&gt;0, IF(COUNTIF(Expenses!E:E, D652)&gt;0, "Matched", "Unmatched"), IF(E652&gt;0, IF(COUNTIF(Income!F:F, E652)&gt;0, "Matched", "Unmatched"), "")))</f>
        <v/>
      </c>
    </row>
    <row r="653">
      <c r="D653" s="2"/>
      <c r="E653" s="2"/>
      <c r="F653" s="2"/>
      <c r="G653" s="3" t="str">
        <f t="shared" si="1"/>
        <v/>
      </c>
      <c r="H653" s="3" t="str">
        <f>IF(ISBLANK(A653), "", IF(D653&gt;0, IF(COUNTIF(Expenses!E:E, D653)&gt;0, "Matched", "Unmatched"), IF(E653&gt;0, IF(COUNTIF(Income!F:F, E653)&gt;0, "Matched", "Unmatched"), "")))</f>
        <v/>
      </c>
    </row>
    <row r="654">
      <c r="D654" s="2"/>
      <c r="E654" s="2"/>
      <c r="F654" s="2"/>
      <c r="G654" s="3" t="str">
        <f t="shared" si="1"/>
        <v/>
      </c>
      <c r="H654" s="3" t="str">
        <f>IF(ISBLANK(A654), "", IF(D654&gt;0, IF(COUNTIF(Expenses!E:E, D654)&gt;0, "Matched", "Unmatched"), IF(E654&gt;0, IF(COUNTIF(Income!F:F, E654)&gt;0, "Matched", "Unmatched"), "")))</f>
        <v/>
      </c>
    </row>
    <row r="655">
      <c r="D655" s="2"/>
      <c r="E655" s="2"/>
      <c r="F655" s="2"/>
      <c r="G655" s="3" t="str">
        <f t="shared" si="1"/>
        <v/>
      </c>
      <c r="H655" s="3" t="str">
        <f>IF(ISBLANK(A655), "", IF(D655&gt;0, IF(COUNTIF(Expenses!E:E, D655)&gt;0, "Matched", "Unmatched"), IF(E655&gt;0, IF(COUNTIF(Income!F:F, E655)&gt;0, "Matched", "Unmatched"), "")))</f>
        <v/>
      </c>
    </row>
    <row r="656">
      <c r="D656" s="2"/>
      <c r="E656" s="2"/>
      <c r="F656" s="2"/>
      <c r="G656" s="3" t="str">
        <f t="shared" si="1"/>
        <v/>
      </c>
      <c r="H656" s="3" t="str">
        <f>IF(ISBLANK(A656), "", IF(D656&gt;0, IF(COUNTIF(Expenses!E:E, D656)&gt;0, "Matched", "Unmatched"), IF(E656&gt;0, IF(COUNTIF(Income!F:F, E656)&gt;0, "Matched", "Unmatched"), "")))</f>
        <v/>
      </c>
    </row>
    <row r="657">
      <c r="D657" s="2"/>
      <c r="E657" s="2"/>
      <c r="F657" s="2"/>
      <c r="G657" s="3" t="str">
        <f t="shared" si="1"/>
        <v/>
      </c>
      <c r="H657" s="3" t="str">
        <f>IF(ISBLANK(A657), "", IF(D657&gt;0, IF(COUNTIF(Expenses!E:E, D657)&gt;0, "Matched", "Unmatched"), IF(E657&gt;0, IF(COUNTIF(Income!F:F, E657)&gt;0, "Matched", "Unmatched"), "")))</f>
        <v/>
      </c>
    </row>
    <row r="658">
      <c r="D658" s="2"/>
      <c r="E658" s="2"/>
      <c r="F658" s="2"/>
      <c r="G658" s="3" t="str">
        <f t="shared" si="1"/>
        <v/>
      </c>
      <c r="H658" s="3" t="str">
        <f>IF(ISBLANK(A658), "", IF(D658&gt;0, IF(COUNTIF(Expenses!E:E, D658)&gt;0, "Matched", "Unmatched"), IF(E658&gt;0, IF(COUNTIF(Income!F:F, E658)&gt;0, "Matched", "Unmatched"), "")))</f>
        <v/>
      </c>
    </row>
    <row r="659">
      <c r="D659" s="2"/>
      <c r="E659" s="2"/>
      <c r="F659" s="2"/>
      <c r="G659" s="3" t="str">
        <f t="shared" si="1"/>
        <v/>
      </c>
      <c r="H659" s="3" t="str">
        <f>IF(ISBLANK(A659), "", IF(D659&gt;0, IF(COUNTIF(Expenses!E:E, D659)&gt;0, "Matched", "Unmatched"), IF(E659&gt;0, IF(COUNTIF(Income!F:F, E659)&gt;0, "Matched", "Unmatched"), "")))</f>
        <v/>
      </c>
    </row>
    <row r="660">
      <c r="D660" s="2"/>
      <c r="E660" s="2"/>
      <c r="F660" s="2"/>
      <c r="G660" s="3" t="str">
        <f t="shared" si="1"/>
        <v/>
      </c>
      <c r="H660" s="3" t="str">
        <f>IF(ISBLANK(A660), "", IF(D660&gt;0, IF(COUNTIF(Expenses!E:E, D660)&gt;0, "Matched", "Unmatched"), IF(E660&gt;0, IF(COUNTIF(Income!F:F, E660)&gt;0, "Matched", "Unmatched"), "")))</f>
        <v/>
      </c>
    </row>
    <row r="661">
      <c r="D661" s="2"/>
      <c r="E661" s="2"/>
      <c r="F661" s="2"/>
      <c r="G661" s="3" t="str">
        <f t="shared" si="1"/>
        <v/>
      </c>
      <c r="H661" s="3" t="str">
        <f>IF(ISBLANK(A661), "", IF(D661&gt;0, IF(COUNTIF(Expenses!E:E, D661)&gt;0, "Matched", "Unmatched"), IF(E661&gt;0, IF(COUNTIF(Income!F:F, E661)&gt;0, "Matched", "Unmatched"), "")))</f>
        <v/>
      </c>
    </row>
    <row r="662">
      <c r="D662" s="2"/>
      <c r="E662" s="2"/>
      <c r="F662" s="2"/>
      <c r="G662" s="3" t="str">
        <f t="shared" si="1"/>
        <v/>
      </c>
      <c r="H662" s="3" t="str">
        <f>IF(ISBLANK(A662), "", IF(D662&gt;0, IF(COUNTIF(Expenses!E:E, D662)&gt;0, "Matched", "Unmatched"), IF(E662&gt;0, IF(COUNTIF(Income!F:F, E662)&gt;0, "Matched", "Unmatched"), "")))</f>
        <v/>
      </c>
    </row>
    <row r="663">
      <c r="D663" s="2"/>
      <c r="E663" s="2"/>
      <c r="F663" s="2"/>
      <c r="G663" s="3" t="str">
        <f t="shared" si="1"/>
        <v/>
      </c>
      <c r="H663" s="3" t="str">
        <f>IF(ISBLANK(A663), "", IF(D663&gt;0, IF(COUNTIF(Expenses!E:E, D663)&gt;0, "Matched", "Unmatched"), IF(E663&gt;0, IF(COUNTIF(Income!F:F, E663)&gt;0, "Matched", "Unmatched"), "")))</f>
        <v/>
      </c>
    </row>
    <row r="664">
      <c r="D664" s="2"/>
      <c r="E664" s="2"/>
      <c r="F664" s="2"/>
      <c r="G664" s="3" t="str">
        <f t="shared" si="1"/>
        <v/>
      </c>
      <c r="H664" s="3" t="str">
        <f>IF(ISBLANK(A664), "", IF(D664&gt;0, IF(COUNTIF(Expenses!E:E, D664)&gt;0, "Matched", "Unmatched"), IF(E664&gt;0, IF(COUNTIF(Income!F:F, E664)&gt;0, "Matched", "Unmatched"), "")))</f>
        <v/>
      </c>
    </row>
    <row r="665">
      <c r="D665" s="2"/>
      <c r="E665" s="2"/>
      <c r="F665" s="2"/>
      <c r="G665" s="3" t="str">
        <f t="shared" si="1"/>
        <v/>
      </c>
      <c r="H665" s="3" t="str">
        <f>IF(ISBLANK(A665), "", IF(D665&gt;0, IF(COUNTIF(Expenses!E:E, D665)&gt;0, "Matched", "Unmatched"), IF(E665&gt;0, IF(COUNTIF(Income!F:F, E665)&gt;0, "Matched", "Unmatched"), "")))</f>
        <v/>
      </c>
    </row>
    <row r="666">
      <c r="D666" s="2"/>
      <c r="E666" s="2"/>
      <c r="F666" s="2"/>
      <c r="G666" s="3" t="str">
        <f t="shared" si="1"/>
        <v/>
      </c>
      <c r="H666" s="3" t="str">
        <f>IF(ISBLANK(A666), "", IF(D666&gt;0, IF(COUNTIF(Expenses!E:E, D666)&gt;0, "Matched", "Unmatched"), IF(E666&gt;0, IF(COUNTIF(Income!F:F, E666)&gt;0, "Matched", "Unmatched"), "")))</f>
        <v/>
      </c>
    </row>
    <row r="667">
      <c r="D667" s="2"/>
      <c r="E667" s="2"/>
      <c r="F667" s="2"/>
      <c r="G667" s="3" t="str">
        <f t="shared" si="1"/>
        <v/>
      </c>
      <c r="H667" s="3" t="str">
        <f>IF(ISBLANK(A667), "", IF(D667&gt;0, IF(COUNTIF(Expenses!E:E, D667)&gt;0, "Matched", "Unmatched"), IF(E667&gt;0, IF(COUNTIF(Income!F:F, E667)&gt;0, "Matched", "Unmatched"), "")))</f>
        <v/>
      </c>
    </row>
    <row r="668">
      <c r="D668" s="2"/>
      <c r="E668" s="2"/>
      <c r="F668" s="2"/>
      <c r="G668" s="3" t="str">
        <f t="shared" si="1"/>
        <v/>
      </c>
      <c r="H668" s="3" t="str">
        <f>IF(ISBLANK(A668), "", IF(D668&gt;0, IF(COUNTIF(Expenses!E:E, D668)&gt;0, "Matched", "Unmatched"), IF(E668&gt;0, IF(COUNTIF(Income!F:F, E668)&gt;0, "Matched", "Unmatched"), "")))</f>
        <v/>
      </c>
    </row>
    <row r="669">
      <c r="D669" s="2"/>
      <c r="E669" s="2"/>
      <c r="F669" s="2"/>
      <c r="G669" s="3" t="str">
        <f t="shared" si="1"/>
        <v/>
      </c>
      <c r="H669" s="3" t="str">
        <f>IF(ISBLANK(A669), "", IF(D669&gt;0, IF(COUNTIF(Expenses!E:E, D669)&gt;0, "Matched", "Unmatched"), IF(E669&gt;0, IF(COUNTIF(Income!F:F, E669)&gt;0, "Matched", "Unmatched"), "")))</f>
        <v/>
      </c>
    </row>
    <row r="670">
      <c r="D670" s="2"/>
      <c r="E670" s="2"/>
      <c r="F670" s="2"/>
      <c r="G670" s="3" t="str">
        <f t="shared" si="1"/>
        <v/>
      </c>
      <c r="H670" s="3" t="str">
        <f>IF(ISBLANK(A670), "", IF(D670&gt;0, IF(COUNTIF(Expenses!E:E, D670)&gt;0, "Matched", "Unmatched"), IF(E670&gt;0, IF(COUNTIF(Income!F:F, E670)&gt;0, "Matched", "Unmatched"), "")))</f>
        <v/>
      </c>
    </row>
    <row r="671">
      <c r="D671" s="2"/>
      <c r="E671" s="2"/>
      <c r="F671" s="2"/>
      <c r="G671" s="3" t="str">
        <f t="shared" si="1"/>
        <v/>
      </c>
      <c r="H671" s="3" t="str">
        <f>IF(ISBLANK(A671), "", IF(D671&gt;0, IF(COUNTIF(Expenses!E:E, D671)&gt;0, "Matched", "Unmatched"), IF(E671&gt;0, IF(COUNTIF(Income!F:F, E671)&gt;0, "Matched", "Unmatched"), "")))</f>
        <v/>
      </c>
    </row>
    <row r="672">
      <c r="D672" s="2"/>
      <c r="E672" s="2"/>
      <c r="F672" s="2"/>
      <c r="G672" s="3" t="str">
        <f t="shared" si="1"/>
        <v/>
      </c>
      <c r="H672" s="3" t="str">
        <f>IF(ISBLANK(A672), "", IF(D672&gt;0, IF(COUNTIF(Expenses!E:E, D672)&gt;0, "Matched", "Unmatched"), IF(E672&gt;0, IF(COUNTIF(Income!F:F, E672)&gt;0, "Matched", "Unmatched"), "")))</f>
        <v/>
      </c>
    </row>
    <row r="673">
      <c r="D673" s="2"/>
      <c r="E673" s="2"/>
      <c r="F673" s="2"/>
      <c r="G673" s="3" t="str">
        <f t="shared" si="1"/>
        <v/>
      </c>
      <c r="H673" s="3" t="str">
        <f>IF(ISBLANK(A673), "", IF(D673&gt;0, IF(COUNTIF(Expenses!E:E, D673)&gt;0, "Matched", "Unmatched"), IF(E673&gt;0, IF(COUNTIF(Income!F:F, E673)&gt;0, "Matched", "Unmatched"), "")))</f>
        <v/>
      </c>
    </row>
    <row r="674">
      <c r="D674" s="2"/>
      <c r="E674" s="2"/>
      <c r="F674" s="2"/>
      <c r="G674" s="3" t="str">
        <f t="shared" si="1"/>
        <v/>
      </c>
      <c r="H674" s="3" t="str">
        <f>IF(ISBLANK(A674), "", IF(D674&gt;0, IF(COUNTIF(Expenses!E:E, D674)&gt;0, "Matched", "Unmatched"), IF(E674&gt;0, IF(COUNTIF(Income!F:F, E674)&gt;0, "Matched", "Unmatched"), "")))</f>
        <v/>
      </c>
    </row>
    <row r="675">
      <c r="D675" s="2"/>
      <c r="E675" s="2"/>
      <c r="F675" s="2"/>
      <c r="G675" s="3" t="str">
        <f t="shared" si="1"/>
        <v/>
      </c>
      <c r="H675" s="3" t="str">
        <f>IF(ISBLANK(A675), "", IF(D675&gt;0, IF(COUNTIF(Expenses!E:E, D675)&gt;0, "Matched", "Unmatched"), IF(E675&gt;0, IF(COUNTIF(Income!F:F, E675)&gt;0, "Matched", "Unmatched"), "")))</f>
        <v/>
      </c>
    </row>
    <row r="676">
      <c r="D676" s="2"/>
      <c r="E676" s="2"/>
      <c r="F676" s="2"/>
      <c r="G676" s="3" t="str">
        <f t="shared" si="1"/>
        <v/>
      </c>
      <c r="H676" s="3" t="str">
        <f>IF(ISBLANK(A676), "", IF(D676&gt;0, IF(COUNTIF(Expenses!E:E, D676)&gt;0, "Matched", "Unmatched"), IF(E676&gt;0, IF(COUNTIF(Income!F:F, E676)&gt;0, "Matched", "Unmatched"), "")))</f>
        <v/>
      </c>
    </row>
    <row r="677">
      <c r="D677" s="2"/>
      <c r="E677" s="2"/>
      <c r="F677" s="2"/>
      <c r="G677" s="3" t="str">
        <f t="shared" si="1"/>
        <v/>
      </c>
      <c r="H677" s="3" t="str">
        <f>IF(ISBLANK(A677), "", IF(D677&gt;0, IF(COUNTIF(Expenses!E:E, D677)&gt;0, "Matched", "Unmatched"), IF(E677&gt;0, IF(COUNTIF(Income!F:F, E677)&gt;0, "Matched", "Unmatched"), "")))</f>
        <v/>
      </c>
    </row>
    <row r="678">
      <c r="D678" s="2"/>
      <c r="E678" s="2"/>
      <c r="F678" s="2"/>
      <c r="G678" s="3" t="str">
        <f t="shared" si="1"/>
        <v/>
      </c>
      <c r="H678" s="3" t="str">
        <f>IF(ISBLANK(A678), "", IF(D678&gt;0, IF(COUNTIF(Expenses!E:E, D678)&gt;0, "Matched", "Unmatched"), IF(E678&gt;0, IF(COUNTIF(Income!F:F, E678)&gt;0, "Matched", "Unmatched"), "")))</f>
        <v/>
      </c>
    </row>
    <row r="679">
      <c r="D679" s="2"/>
      <c r="E679" s="2"/>
      <c r="F679" s="2"/>
      <c r="G679" s="3" t="str">
        <f t="shared" si="1"/>
        <v/>
      </c>
      <c r="H679" s="3" t="str">
        <f>IF(ISBLANK(A679), "", IF(D679&gt;0, IF(COUNTIF(Expenses!E:E, D679)&gt;0, "Matched", "Unmatched"), IF(E679&gt;0, IF(COUNTIF(Income!F:F, E679)&gt;0, "Matched", "Unmatched"), "")))</f>
        <v/>
      </c>
    </row>
    <row r="680">
      <c r="D680" s="2"/>
      <c r="E680" s="2"/>
      <c r="F680" s="2"/>
      <c r="G680" s="3" t="str">
        <f t="shared" si="1"/>
        <v/>
      </c>
      <c r="H680" s="3" t="str">
        <f>IF(ISBLANK(A680), "", IF(D680&gt;0, IF(COUNTIF(Expenses!E:E, D680)&gt;0, "Matched", "Unmatched"), IF(E680&gt;0, IF(COUNTIF(Income!F:F, E680)&gt;0, "Matched", "Unmatched"), "")))</f>
        <v/>
      </c>
    </row>
    <row r="681">
      <c r="D681" s="2"/>
      <c r="E681" s="2"/>
      <c r="F681" s="2"/>
      <c r="G681" s="3" t="str">
        <f t="shared" si="1"/>
        <v/>
      </c>
      <c r="H681" s="3" t="str">
        <f>IF(ISBLANK(A681), "", IF(D681&gt;0, IF(COUNTIF(Expenses!E:E, D681)&gt;0, "Matched", "Unmatched"), IF(E681&gt;0, IF(COUNTIF(Income!F:F, E681)&gt;0, "Matched", "Unmatched"), "")))</f>
        <v/>
      </c>
    </row>
    <row r="682">
      <c r="D682" s="2"/>
      <c r="E682" s="2"/>
      <c r="F682" s="2"/>
      <c r="G682" s="3" t="str">
        <f t="shared" si="1"/>
        <v/>
      </c>
      <c r="H682" s="3" t="str">
        <f>IF(ISBLANK(A682), "", IF(D682&gt;0, IF(COUNTIF(Expenses!E:E, D682)&gt;0, "Matched", "Unmatched"), IF(E682&gt;0, IF(COUNTIF(Income!F:F, E682)&gt;0, "Matched", "Unmatched"), "")))</f>
        <v/>
      </c>
    </row>
    <row r="683">
      <c r="D683" s="2"/>
      <c r="E683" s="2"/>
      <c r="F683" s="2"/>
      <c r="G683" s="3" t="str">
        <f t="shared" si="1"/>
        <v/>
      </c>
      <c r="H683" s="3" t="str">
        <f>IF(ISBLANK(A683), "", IF(D683&gt;0, IF(COUNTIF(Expenses!E:E, D683)&gt;0, "Matched", "Unmatched"), IF(E683&gt;0, IF(COUNTIF(Income!F:F, E683)&gt;0, "Matched", "Unmatched"), "")))</f>
        <v/>
      </c>
    </row>
    <row r="684">
      <c r="D684" s="2"/>
      <c r="E684" s="2"/>
      <c r="F684" s="2"/>
      <c r="G684" s="3" t="str">
        <f t="shared" si="1"/>
        <v/>
      </c>
      <c r="H684" s="3" t="str">
        <f>IF(ISBLANK(A684), "", IF(D684&gt;0, IF(COUNTIF(Expenses!E:E, D684)&gt;0, "Matched", "Unmatched"), IF(E684&gt;0, IF(COUNTIF(Income!F:F, E684)&gt;0, "Matched", "Unmatched"), "")))</f>
        <v/>
      </c>
    </row>
    <row r="685">
      <c r="D685" s="2"/>
      <c r="E685" s="2"/>
      <c r="F685" s="2"/>
      <c r="G685" s="3" t="str">
        <f t="shared" si="1"/>
        <v/>
      </c>
      <c r="H685" s="3" t="str">
        <f>IF(ISBLANK(A685), "", IF(D685&gt;0, IF(COUNTIF(Expenses!E:E, D685)&gt;0, "Matched", "Unmatched"), IF(E685&gt;0, IF(COUNTIF(Income!F:F, E685)&gt;0, "Matched", "Unmatched"), "")))</f>
        <v/>
      </c>
    </row>
    <row r="686">
      <c r="D686" s="2"/>
      <c r="E686" s="2"/>
      <c r="F686" s="2"/>
      <c r="G686" s="3" t="str">
        <f t="shared" si="1"/>
        <v/>
      </c>
      <c r="H686" s="3" t="str">
        <f>IF(ISBLANK(A686), "", IF(D686&gt;0, IF(COUNTIF(Expenses!E:E, D686)&gt;0, "Matched", "Unmatched"), IF(E686&gt;0, IF(COUNTIF(Income!F:F, E686)&gt;0, "Matched", "Unmatched"), "")))</f>
        <v/>
      </c>
    </row>
    <row r="687">
      <c r="D687" s="2"/>
      <c r="E687" s="2"/>
      <c r="F687" s="2"/>
      <c r="G687" s="3" t="str">
        <f t="shared" si="1"/>
        <v/>
      </c>
      <c r="H687" s="3" t="str">
        <f>IF(ISBLANK(A687), "", IF(D687&gt;0, IF(COUNTIF(Expenses!E:E, D687)&gt;0, "Matched", "Unmatched"), IF(E687&gt;0, IF(COUNTIF(Income!F:F, E687)&gt;0, "Matched", "Unmatched"), "")))</f>
        <v/>
      </c>
    </row>
    <row r="688">
      <c r="D688" s="2"/>
      <c r="E688" s="2"/>
      <c r="F688" s="2"/>
      <c r="G688" s="3" t="str">
        <f t="shared" si="1"/>
        <v/>
      </c>
      <c r="H688" s="3" t="str">
        <f>IF(ISBLANK(A688), "", IF(D688&gt;0, IF(COUNTIF(Expenses!E:E, D688)&gt;0, "Matched", "Unmatched"), IF(E688&gt;0, IF(COUNTIF(Income!F:F, E688)&gt;0, "Matched", "Unmatched"), "")))</f>
        <v/>
      </c>
    </row>
    <row r="689">
      <c r="D689" s="2"/>
      <c r="E689" s="2"/>
      <c r="F689" s="2"/>
      <c r="G689" s="3" t="str">
        <f t="shared" si="1"/>
        <v/>
      </c>
      <c r="H689" s="3" t="str">
        <f>IF(ISBLANK(A689), "", IF(D689&gt;0, IF(COUNTIF(Expenses!E:E, D689)&gt;0, "Matched", "Unmatched"), IF(E689&gt;0, IF(COUNTIF(Income!F:F, E689)&gt;0, "Matched", "Unmatched"), "")))</f>
        <v/>
      </c>
    </row>
    <row r="690">
      <c r="D690" s="2"/>
      <c r="E690" s="2"/>
      <c r="F690" s="2"/>
      <c r="G690" s="3" t="str">
        <f t="shared" si="1"/>
        <v/>
      </c>
      <c r="H690" s="3" t="str">
        <f>IF(ISBLANK(A690), "", IF(D690&gt;0, IF(COUNTIF(Expenses!E:E, D690)&gt;0, "Matched", "Unmatched"), IF(E690&gt;0, IF(COUNTIF(Income!F:F, E690)&gt;0, "Matched", "Unmatched"), "")))</f>
        <v/>
      </c>
    </row>
    <row r="691">
      <c r="D691" s="2"/>
      <c r="E691" s="2"/>
      <c r="F691" s="2"/>
      <c r="G691" s="3" t="str">
        <f t="shared" si="1"/>
        <v/>
      </c>
      <c r="H691" s="3" t="str">
        <f>IF(ISBLANK(A691), "", IF(D691&gt;0, IF(COUNTIF(Expenses!E:E, D691)&gt;0, "Matched", "Unmatched"), IF(E691&gt;0, IF(COUNTIF(Income!F:F, E691)&gt;0, "Matched", "Unmatched"), "")))</f>
        <v/>
      </c>
    </row>
    <row r="692">
      <c r="D692" s="2"/>
      <c r="E692" s="2"/>
      <c r="F692" s="2"/>
      <c r="G692" s="3" t="str">
        <f t="shared" si="1"/>
        <v/>
      </c>
      <c r="H692" s="3" t="str">
        <f>IF(ISBLANK(A692), "", IF(D692&gt;0, IF(COUNTIF(Expenses!E:E, D692)&gt;0, "Matched", "Unmatched"), IF(E692&gt;0, IF(COUNTIF(Income!F:F, E692)&gt;0, "Matched", "Unmatched"), "")))</f>
        <v/>
      </c>
    </row>
    <row r="693">
      <c r="D693" s="2"/>
      <c r="E693" s="2"/>
      <c r="F693" s="2"/>
      <c r="G693" s="3" t="str">
        <f t="shared" si="1"/>
        <v/>
      </c>
      <c r="H693" s="3" t="str">
        <f>IF(ISBLANK(A693), "", IF(D693&gt;0, IF(COUNTIF(Expenses!E:E, D693)&gt;0, "Matched", "Unmatched"), IF(E693&gt;0, IF(COUNTIF(Income!F:F, E693)&gt;0, "Matched", "Unmatched"), "")))</f>
        <v/>
      </c>
    </row>
    <row r="694">
      <c r="D694" s="2"/>
      <c r="E694" s="2"/>
      <c r="F694" s="2"/>
      <c r="G694" s="3" t="str">
        <f t="shared" si="1"/>
        <v/>
      </c>
      <c r="H694" s="3" t="str">
        <f>IF(ISBLANK(A694), "", IF(D694&gt;0, IF(COUNTIF(Expenses!E:E, D694)&gt;0, "Matched", "Unmatched"), IF(E694&gt;0, IF(COUNTIF(Income!F:F, E694)&gt;0, "Matched", "Unmatched"), "")))</f>
        <v/>
      </c>
    </row>
    <row r="695">
      <c r="D695" s="2"/>
      <c r="E695" s="2"/>
      <c r="F695" s="2"/>
      <c r="G695" s="3" t="str">
        <f t="shared" si="1"/>
        <v/>
      </c>
      <c r="H695" s="3" t="str">
        <f>IF(ISBLANK(A695), "", IF(D695&gt;0, IF(COUNTIF(Expenses!E:E, D695)&gt;0, "Matched", "Unmatched"), IF(E695&gt;0, IF(COUNTIF(Income!F:F, E695)&gt;0, "Matched", "Unmatched"), "")))</f>
        <v/>
      </c>
    </row>
    <row r="696">
      <c r="D696" s="2"/>
      <c r="E696" s="2"/>
      <c r="F696" s="2"/>
      <c r="G696" s="3" t="str">
        <f t="shared" si="1"/>
        <v/>
      </c>
      <c r="H696" s="3" t="str">
        <f>IF(ISBLANK(A696), "", IF(D696&gt;0, IF(COUNTIF(Expenses!E:E, D696)&gt;0, "Matched", "Unmatched"), IF(E696&gt;0, IF(COUNTIF(Income!F:F, E696)&gt;0, "Matched", "Unmatched"), "")))</f>
        <v/>
      </c>
    </row>
    <row r="697">
      <c r="D697" s="2"/>
      <c r="E697" s="2"/>
      <c r="F697" s="2"/>
      <c r="G697" s="3" t="str">
        <f t="shared" si="1"/>
        <v/>
      </c>
      <c r="H697" s="3" t="str">
        <f>IF(ISBLANK(A697), "", IF(D697&gt;0, IF(COUNTIF(Expenses!E:E, D697)&gt;0, "Matched", "Unmatched"), IF(E697&gt;0, IF(COUNTIF(Income!F:F, E697)&gt;0, "Matched", "Unmatched"), "")))</f>
        <v/>
      </c>
    </row>
    <row r="698">
      <c r="D698" s="2"/>
      <c r="E698" s="2"/>
      <c r="F698" s="2"/>
      <c r="G698" s="3" t="str">
        <f t="shared" si="1"/>
        <v/>
      </c>
      <c r="H698" s="3" t="str">
        <f>IF(ISBLANK(A698), "", IF(D698&gt;0, IF(COUNTIF(Expenses!E:E, D698)&gt;0, "Matched", "Unmatched"), IF(E698&gt;0, IF(COUNTIF(Income!F:F, E698)&gt;0, "Matched", "Unmatched"), "")))</f>
        <v/>
      </c>
    </row>
    <row r="699">
      <c r="D699" s="2"/>
      <c r="E699" s="2"/>
      <c r="F699" s="2"/>
      <c r="G699" s="3" t="str">
        <f t="shared" si="1"/>
        <v/>
      </c>
      <c r="H699" s="3" t="str">
        <f>IF(ISBLANK(A699), "", IF(D699&gt;0, IF(COUNTIF(Expenses!E:E, D699)&gt;0, "Matched", "Unmatched"), IF(E699&gt;0, IF(COUNTIF(Income!F:F, E699)&gt;0, "Matched", "Unmatched"), "")))</f>
        <v/>
      </c>
    </row>
    <row r="700">
      <c r="D700" s="2"/>
      <c r="E700" s="2"/>
      <c r="F700" s="2"/>
      <c r="G700" s="3" t="str">
        <f t="shared" si="1"/>
        <v/>
      </c>
      <c r="H700" s="3" t="str">
        <f>IF(ISBLANK(A700), "", IF(D700&gt;0, IF(COUNTIF(Expenses!E:E, D700)&gt;0, "Matched", "Unmatched"), IF(E700&gt;0, IF(COUNTIF(Income!F:F, E700)&gt;0, "Matched", "Unmatched"), "")))</f>
        <v/>
      </c>
    </row>
    <row r="701">
      <c r="D701" s="2"/>
      <c r="E701" s="2"/>
      <c r="F701" s="2"/>
      <c r="G701" s="3" t="str">
        <f t="shared" si="1"/>
        <v/>
      </c>
      <c r="H701" s="3" t="str">
        <f>IF(ISBLANK(A701), "", IF(D701&gt;0, IF(COUNTIF(Expenses!E:E, D701)&gt;0, "Matched", "Unmatched"), IF(E701&gt;0, IF(COUNTIF(Income!F:F, E701)&gt;0, "Matched", "Unmatched"), "")))</f>
        <v/>
      </c>
    </row>
    <row r="702">
      <c r="D702" s="2"/>
      <c r="E702" s="2"/>
      <c r="F702" s="2"/>
      <c r="G702" s="3" t="str">
        <f t="shared" si="1"/>
        <v/>
      </c>
      <c r="H702" s="3" t="str">
        <f>IF(ISBLANK(A702), "", IF(D702&gt;0, IF(COUNTIF(Expenses!E:E, D702)&gt;0, "Matched", "Unmatched"), IF(E702&gt;0, IF(COUNTIF(Income!F:F, E702)&gt;0, "Matched", "Unmatched"), "")))</f>
        <v/>
      </c>
    </row>
    <row r="703">
      <c r="D703" s="2"/>
      <c r="E703" s="2"/>
      <c r="F703" s="2"/>
      <c r="G703" s="3" t="str">
        <f t="shared" si="1"/>
        <v/>
      </c>
      <c r="H703" s="3" t="str">
        <f>IF(ISBLANK(A703), "", IF(D703&gt;0, IF(COUNTIF(Expenses!E:E, D703)&gt;0, "Matched", "Unmatched"), IF(E703&gt;0, IF(COUNTIF(Income!F:F, E703)&gt;0, "Matched", "Unmatched"), "")))</f>
        <v/>
      </c>
    </row>
    <row r="704">
      <c r="D704" s="2"/>
      <c r="E704" s="2"/>
      <c r="F704" s="2"/>
      <c r="G704" s="3" t="str">
        <f t="shared" si="1"/>
        <v/>
      </c>
      <c r="H704" s="3" t="str">
        <f>IF(ISBLANK(A704), "", IF(D704&gt;0, IF(COUNTIF(Expenses!E:E, D704)&gt;0, "Matched", "Unmatched"), IF(E704&gt;0, IF(COUNTIF(Income!F:F, E704)&gt;0, "Matched", "Unmatched"), "")))</f>
        <v/>
      </c>
    </row>
    <row r="705">
      <c r="D705" s="2"/>
      <c r="E705" s="2"/>
      <c r="F705" s="2"/>
      <c r="G705" s="3" t="str">
        <f t="shared" si="1"/>
        <v/>
      </c>
      <c r="H705" s="3" t="str">
        <f>IF(ISBLANK(A705), "", IF(D705&gt;0, IF(COUNTIF(Expenses!E:E, D705)&gt;0, "Matched", "Unmatched"), IF(E705&gt;0, IF(COUNTIF(Income!F:F, E705)&gt;0, "Matched", "Unmatched"), "")))</f>
        <v/>
      </c>
    </row>
    <row r="706">
      <c r="D706" s="2"/>
      <c r="E706" s="2"/>
      <c r="F706" s="2"/>
      <c r="G706" s="3" t="str">
        <f t="shared" si="1"/>
        <v/>
      </c>
      <c r="H706" s="3" t="str">
        <f>IF(ISBLANK(A706), "", IF(D706&gt;0, IF(COUNTIF(Expenses!E:E, D706)&gt;0, "Matched", "Unmatched"), IF(E706&gt;0, IF(COUNTIF(Income!F:F, E706)&gt;0, "Matched", "Unmatched"), "")))</f>
        <v/>
      </c>
    </row>
    <row r="707">
      <c r="D707" s="2"/>
      <c r="E707" s="2"/>
      <c r="F707" s="2"/>
      <c r="G707" s="3" t="str">
        <f t="shared" si="1"/>
        <v/>
      </c>
      <c r="H707" s="3" t="str">
        <f>IF(ISBLANK(A707), "", IF(D707&gt;0, IF(COUNTIF(Expenses!E:E, D707)&gt;0, "Matched", "Unmatched"), IF(E707&gt;0, IF(COUNTIF(Income!F:F, E707)&gt;0, "Matched", "Unmatched"), "")))</f>
        <v/>
      </c>
    </row>
    <row r="708">
      <c r="D708" s="2"/>
      <c r="E708" s="2"/>
      <c r="F708" s="2"/>
      <c r="G708" s="3" t="str">
        <f t="shared" si="1"/>
        <v/>
      </c>
      <c r="H708" s="3" t="str">
        <f>IF(ISBLANK(A708), "", IF(D708&gt;0, IF(COUNTIF(Expenses!E:E, D708)&gt;0, "Matched", "Unmatched"), IF(E708&gt;0, IF(COUNTIF(Income!F:F, E708)&gt;0, "Matched", "Unmatched"), "")))</f>
        <v/>
      </c>
    </row>
    <row r="709">
      <c r="D709" s="2"/>
      <c r="E709" s="2"/>
      <c r="F709" s="2"/>
      <c r="G709" s="3" t="str">
        <f t="shared" si="1"/>
        <v/>
      </c>
      <c r="H709" s="3" t="str">
        <f>IF(ISBLANK(A709), "", IF(D709&gt;0, IF(COUNTIF(Expenses!E:E, D709)&gt;0, "Matched", "Unmatched"), IF(E709&gt;0, IF(COUNTIF(Income!F:F, E709)&gt;0, "Matched", "Unmatched"), "")))</f>
        <v/>
      </c>
    </row>
    <row r="710">
      <c r="D710" s="2"/>
      <c r="E710" s="2"/>
      <c r="F710" s="2"/>
      <c r="G710" s="3" t="str">
        <f t="shared" si="1"/>
        <v/>
      </c>
      <c r="H710" s="3" t="str">
        <f>IF(ISBLANK(A710), "", IF(D710&gt;0, IF(COUNTIF(Expenses!E:E, D710)&gt;0, "Matched", "Unmatched"), IF(E710&gt;0, IF(COUNTIF(Income!F:F, E710)&gt;0, "Matched", "Unmatched"), "")))</f>
        <v/>
      </c>
    </row>
    <row r="711">
      <c r="D711" s="2"/>
      <c r="E711" s="2"/>
      <c r="F711" s="2"/>
      <c r="G711" s="3" t="str">
        <f t="shared" si="1"/>
        <v/>
      </c>
      <c r="H711" s="3" t="str">
        <f>IF(ISBLANK(A711), "", IF(D711&gt;0, IF(COUNTIF(Expenses!E:E, D711)&gt;0, "Matched", "Unmatched"), IF(E711&gt;0, IF(COUNTIF(Income!F:F, E711)&gt;0, "Matched", "Unmatched"), "")))</f>
        <v/>
      </c>
    </row>
    <row r="712">
      <c r="D712" s="2"/>
      <c r="E712" s="2"/>
      <c r="F712" s="2"/>
      <c r="G712" s="3" t="str">
        <f t="shared" si="1"/>
        <v/>
      </c>
      <c r="H712" s="3" t="str">
        <f>IF(ISBLANK(A712), "", IF(D712&gt;0, IF(COUNTIF(Expenses!E:E, D712)&gt;0, "Matched", "Unmatched"), IF(E712&gt;0, IF(COUNTIF(Income!F:F, E712)&gt;0, "Matched", "Unmatched"), "")))</f>
        <v/>
      </c>
    </row>
    <row r="713">
      <c r="D713" s="2"/>
      <c r="E713" s="2"/>
      <c r="F713" s="2"/>
      <c r="G713" s="3" t="str">
        <f t="shared" si="1"/>
        <v/>
      </c>
      <c r="H713" s="3" t="str">
        <f>IF(ISBLANK(A713), "", IF(D713&gt;0, IF(COUNTIF(Expenses!E:E, D713)&gt;0, "Matched", "Unmatched"), IF(E713&gt;0, IF(COUNTIF(Income!F:F, E713)&gt;0, "Matched", "Unmatched"), "")))</f>
        <v/>
      </c>
    </row>
    <row r="714">
      <c r="D714" s="2"/>
      <c r="E714" s="2"/>
      <c r="F714" s="2"/>
      <c r="G714" s="3" t="str">
        <f t="shared" si="1"/>
        <v/>
      </c>
      <c r="H714" s="3" t="str">
        <f>IF(ISBLANK(A714), "", IF(D714&gt;0, IF(COUNTIF(Expenses!E:E, D714)&gt;0, "Matched", "Unmatched"), IF(E714&gt;0, IF(COUNTIF(Income!F:F, E714)&gt;0, "Matched", "Unmatched"), "")))</f>
        <v/>
      </c>
    </row>
    <row r="715">
      <c r="D715" s="2"/>
      <c r="E715" s="2"/>
      <c r="F715" s="2"/>
      <c r="G715" s="3" t="str">
        <f t="shared" si="1"/>
        <v/>
      </c>
      <c r="H715" s="3" t="str">
        <f>IF(ISBLANK(A715), "", IF(D715&gt;0, IF(COUNTIF(Expenses!E:E, D715)&gt;0, "Matched", "Unmatched"), IF(E715&gt;0, IF(COUNTIF(Income!F:F, E715)&gt;0, "Matched", "Unmatched"), "")))</f>
        <v/>
      </c>
    </row>
    <row r="716">
      <c r="D716" s="2"/>
      <c r="E716" s="2"/>
      <c r="F716" s="2"/>
      <c r="G716" s="3" t="str">
        <f t="shared" si="1"/>
        <v/>
      </c>
      <c r="H716" s="3" t="str">
        <f>IF(ISBLANK(A716), "", IF(D716&gt;0, IF(COUNTIF(Expenses!E:E, D716)&gt;0, "Matched", "Unmatched"), IF(E716&gt;0, IF(COUNTIF(Income!F:F, E716)&gt;0, "Matched", "Unmatched"), "")))</f>
        <v/>
      </c>
    </row>
    <row r="717">
      <c r="D717" s="2"/>
      <c r="E717" s="2"/>
      <c r="F717" s="2"/>
      <c r="G717" s="3" t="str">
        <f t="shared" si="1"/>
        <v/>
      </c>
      <c r="H717" s="3" t="str">
        <f>IF(ISBLANK(A717), "", IF(D717&gt;0, IF(COUNTIF(Expenses!E:E, D717)&gt;0, "Matched", "Unmatched"), IF(E717&gt;0, IF(COUNTIF(Income!F:F, E717)&gt;0, "Matched", "Unmatched"), "")))</f>
        <v/>
      </c>
    </row>
    <row r="718">
      <c r="D718" s="2"/>
      <c r="E718" s="2"/>
      <c r="F718" s="2"/>
      <c r="G718" s="3" t="str">
        <f t="shared" si="1"/>
        <v/>
      </c>
      <c r="H718" s="3" t="str">
        <f>IF(ISBLANK(A718), "", IF(D718&gt;0, IF(COUNTIF(Expenses!E:E, D718)&gt;0, "Matched", "Unmatched"), IF(E718&gt;0, IF(COUNTIF(Income!F:F, E718)&gt;0, "Matched", "Unmatched"), "")))</f>
        <v/>
      </c>
    </row>
    <row r="719">
      <c r="D719" s="2"/>
      <c r="E719" s="2"/>
      <c r="F719" s="2"/>
      <c r="G719" s="3" t="str">
        <f t="shared" si="1"/>
        <v/>
      </c>
      <c r="H719" s="3" t="str">
        <f>IF(ISBLANK(A719), "", IF(D719&gt;0, IF(COUNTIF(Expenses!E:E, D719)&gt;0, "Matched", "Unmatched"), IF(E719&gt;0, IF(COUNTIF(Income!F:F, E719)&gt;0, "Matched", "Unmatched"), "")))</f>
        <v/>
      </c>
    </row>
    <row r="720">
      <c r="D720" s="2"/>
      <c r="E720" s="2"/>
      <c r="F720" s="2"/>
      <c r="G720" s="3" t="str">
        <f t="shared" si="1"/>
        <v/>
      </c>
      <c r="H720" s="3" t="str">
        <f>IF(ISBLANK(A720), "", IF(D720&gt;0, IF(COUNTIF(Expenses!E:E, D720)&gt;0, "Matched", "Unmatched"), IF(E720&gt;0, IF(COUNTIF(Income!F:F, E720)&gt;0, "Matched", "Unmatched"), "")))</f>
        <v/>
      </c>
    </row>
    <row r="721">
      <c r="D721" s="2"/>
      <c r="E721" s="2"/>
      <c r="F721" s="2"/>
      <c r="G721" s="3" t="str">
        <f t="shared" si="1"/>
        <v/>
      </c>
      <c r="H721" s="3" t="str">
        <f>IF(ISBLANK(A721), "", IF(D721&gt;0, IF(COUNTIF(Expenses!E:E, D721)&gt;0, "Matched", "Unmatched"), IF(E721&gt;0, IF(COUNTIF(Income!F:F, E721)&gt;0, "Matched", "Unmatched"), "")))</f>
        <v/>
      </c>
    </row>
    <row r="722">
      <c r="D722" s="2"/>
      <c r="E722" s="2"/>
      <c r="F722" s="2"/>
      <c r="G722" s="3" t="str">
        <f t="shared" si="1"/>
        <v/>
      </c>
      <c r="H722" s="3" t="str">
        <f>IF(ISBLANK(A722), "", IF(D722&gt;0, IF(COUNTIF(Expenses!E:E, D722)&gt;0, "Matched", "Unmatched"), IF(E722&gt;0, IF(COUNTIF(Income!F:F, E722)&gt;0, "Matched", "Unmatched"), "")))</f>
        <v/>
      </c>
    </row>
    <row r="723">
      <c r="D723" s="2"/>
      <c r="E723" s="2"/>
      <c r="F723" s="2"/>
      <c r="G723" s="3" t="str">
        <f t="shared" si="1"/>
        <v/>
      </c>
      <c r="H723" s="3" t="str">
        <f>IF(ISBLANK(A723), "", IF(D723&gt;0, IF(COUNTIF(Expenses!E:E, D723)&gt;0, "Matched", "Unmatched"), IF(E723&gt;0, IF(COUNTIF(Income!F:F, E723)&gt;0, "Matched", "Unmatched"), "")))</f>
        <v/>
      </c>
    </row>
    <row r="724">
      <c r="D724" s="2"/>
      <c r="E724" s="2"/>
      <c r="F724" s="2"/>
      <c r="G724" s="3" t="str">
        <f t="shared" si="1"/>
        <v/>
      </c>
      <c r="H724" s="3" t="str">
        <f>IF(ISBLANK(A724), "", IF(D724&gt;0, IF(COUNTIF(Expenses!E:E, D724)&gt;0, "Matched", "Unmatched"), IF(E724&gt;0, IF(COUNTIF(Income!F:F, E724)&gt;0, "Matched", "Unmatched"), "")))</f>
        <v/>
      </c>
    </row>
    <row r="725">
      <c r="D725" s="2"/>
      <c r="E725" s="2"/>
      <c r="F725" s="2"/>
      <c r="G725" s="3" t="str">
        <f t="shared" si="1"/>
        <v/>
      </c>
      <c r="H725" s="3" t="str">
        <f>IF(ISBLANK(A725), "", IF(D725&gt;0, IF(COUNTIF(Expenses!E:E, D725)&gt;0, "Matched", "Unmatched"), IF(E725&gt;0, IF(COUNTIF(Income!F:F, E725)&gt;0, "Matched", "Unmatched"), "")))</f>
        <v/>
      </c>
    </row>
    <row r="726">
      <c r="D726" s="2"/>
      <c r="E726" s="2"/>
      <c r="F726" s="2"/>
      <c r="G726" s="3" t="str">
        <f t="shared" si="1"/>
        <v/>
      </c>
      <c r="H726" s="3" t="str">
        <f>IF(ISBLANK(A726), "", IF(D726&gt;0, IF(COUNTIF(Expenses!E:E, D726)&gt;0, "Matched", "Unmatched"), IF(E726&gt;0, IF(COUNTIF(Income!F:F, E726)&gt;0, "Matched", "Unmatched"), "")))</f>
        <v/>
      </c>
    </row>
    <row r="727">
      <c r="D727" s="2"/>
      <c r="E727" s="2"/>
      <c r="F727" s="2"/>
      <c r="G727" s="3" t="str">
        <f t="shared" si="1"/>
        <v/>
      </c>
      <c r="H727" s="3" t="str">
        <f>IF(ISBLANK(A727), "", IF(D727&gt;0, IF(COUNTIF(Expenses!E:E, D727)&gt;0, "Matched", "Unmatched"), IF(E727&gt;0, IF(COUNTIF(Income!F:F, E727)&gt;0, "Matched", "Unmatched"), "")))</f>
        <v/>
      </c>
    </row>
    <row r="728">
      <c r="D728" s="2"/>
      <c r="E728" s="2"/>
      <c r="F728" s="2"/>
      <c r="G728" s="3" t="str">
        <f t="shared" si="1"/>
        <v/>
      </c>
      <c r="H728" s="3" t="str">
        <f>IF(ISBLANK(A728), "", IF(D728&gt;0, IF(COUNTIF(Expenses!E:E, D728)&gt;0, "Matched", "Unmatched"), IF(E728&gt;0, IF(COUNTIF(Income!F:F, E728)&gt;0, "Matched", "Unmatched"), "")))</f>
        <v/>
      </c>
    </row>
    <row r="729">
      <c r="D729" s="2"/>
      <c r="E729" s="2"/>
      <c r="F729" s="2"/>
      <c r="G729" s="3" t="str">
        <f t="shared" si="1"/>
        <v/>
      </c>
      <c r="H729" s="3" t="str">
        <f>IF(ISBLANK(A729), "", IF(D729&gt;0, IF(COUNTIF(Expenses!E:E, D729)&gt;0, "Matched", "Unmatched"), IF(E729&gt;0, IF(COUNTIF(Income!F:F, E729)&gt;0, "Matched", "Unmatched"), "")))</f>
        <v/>
      </c>
    </row>
    <row r="730">
      <c r="D730" s="2"/>
      <c r="E730" s="2"/>
      <c r="F730" s="2"/>
      <c r="G730" s="3" t="str">
        <f t="shared" si="1"/>
        <v/>
      </c>
      <c r="H730" s="3" t="str">
        <f>IF(ISBLANK(A730), "", IF(D730&gt;0, IF(COUNTIF(Expenses!E:E, D730)&gt;0, "Matched", "Unmatched"), IF(E730&gt;0, IF(COUNTIF(Income!F:F, E730)&gt;0, "Matched", "Unmatched"), "")))</f>
        <v/>
      </c>
    </row>
    <row r="731">
      <c r="D731" s="2"/>
      <c r="E731" s="2"/>
      <c r="F731" s="2"/>
      <c r="G731" s="3" t="str">
        <f t="shared" si="1"/>
        <v/>
      </c>
      <c r="H731" s="3" t="str">
        <f>IF(ISBLANK(A731), "", IF(D731&gt;0, IF(COUNTIF(Expenses!E:E, D731)&gt;0, "Matched", "Unmatched"), IF(E731&gt;0, IF(COUNTIF(Income!F:F, E731)&gt;0, "Matched", "Unmatched"), "")))</f>
        <v/>
      </c>
    </row>
    <row r="732">
      <c r="D732" s="2"/>
      <c r="E732" s="2"/>
      <c r="F732" s="2"/>
      <c r="G732" s="3" t="str">
        <f t="shared" si="1"/>
        <v/>
      </c>
      <c r="H732" s="3" t="str">
        <f>IF(ISBLANK(A732), "", IF(D732&gt;0, IF(COUNTIF(Expenses!E:E, D732)&gt;0, "Matched", "Unmatched"), IF(E732&gt;0, IF(COUNTIF(Income!F:F, E732)&gt;0, "Matched", "Unmatched"), "")))</f>
        <v/>
      </c>
    </row>
    <row r="733">
      <c r="D733" s="2"/>
      <c r="E733" s="2"/>
      <c r="F733" s="2"/>
      <c r="G733" s="3" t="str">
        <f t="shared" si="1"/>
        <v/>
      </c>
      <c r="H733" s="3" t="str">
        <f>IF(ISBLANK(A733), "", IF(D733&gt;0, IF(COUNTIF(Expenses!E:E, D733)&gt;0, "Matched", "Unmatched"), IF(E733&gt;0, IF(COUNTIF(Income!F:F, E733)&gt;0, "Matched", "Unmatched"), "")))</f>
        <v/>
      </c>
    </row>
    <row r="734">
      <c r="D734" s="2"/>
      <c r="E734" s="2"/>
      <c r="F734" s="2"/>
      <c r="G734" s="3" t="str">
        <f t="shared" si="1"/>
        <v/>
      </c>
      <c r="H734" s="3" t="str">
        <f>IF(ISBLANK(A734), "", IF(D734&gt;0, IF(COUNTIF(Expenses!E:E, D734)&gt;0, "Matched", "Unmatched"), IF(E734&gt;0, IF(COUNTIF(Income!F:F, E734)&gt;0, "Matched", "Unmatched"), "")))</f>
        <v/>
      </c>
    </row>
    <row r="735">
      <c r="D735" s="2"/>
      <c r="E735" s="2"/>
      <c r="F735" s="2"/>
      <c r="G735" s="3" t="str">
        <f t="shared" si="1"/>
        <v/>
      </c>
      <c r="H735" s="3" t="str">
        <f>IF(ISBLANK(A735), "", IF(D735&gt;0, IF(COUNTIF(Expenses!E:E, D735)&gt;0, "Matched", "Unmatched"), IF(E735&gt;0, IF(COUNTIF(Income!F:F, E735)&gt;0, "Matched", "Unmatched"), "")))</f>
        <v/>
      </c>
    </row>
    <row r="736">
      <c r="D736" s="2"/>
      <c r="E736" s="2"/>
      <c r="F736" s="2"/>
      <c r="G736" s="3" t="str">
        <f t="shared" si="1"/>
        <v/>
      </c>
      <c r="H736" s="3" t="str">
        <f>IF(ISBLANK(A736), "", IF(D736&gt;0, IF(COUNTIF(Expenses!E:E, D736)&gt;0, "Matched", "Unmatched"), IF(E736&gt;0, IF(COUNTIF(Income!F:F, E736)&gt;0, "Matched", "Unmatched"), "")))</f>
        <v/>
      </c>
    </row>
    <row r="737">
      <c r="D737" s="2"/>
      <c r="E737" s="2"/>
      <c r="F737" s="2"/>
      <c r="G737" s="3" t="str">
        <f t="shared" si="1"/>
        <v/>
      </c>
      <c r="H737" s="3" t="str">
        <f>IF(ISBLANK(A737), "", IF(D737&gt;0, IF(COUNTIF(Expenses!E:E, D737)&gt;0, "Matched", "Unmatched"), IF(E737&gt;0, IF(COUNTIF(Income!F:F, E737)&gt;0, "Matched", "Unmatched"), "")))</f>
        <v/>
      </c>
    </row>
    <row r="738">
      <c r="D738" s="2"/>
      <c r="E738" s="2"/>
      <c r="F738" s="2"/>
      <c r="G738" s="3" t="str">
        <f t="shared" si="1"/>
        <v/>
      </c>
      <c r="H738" s="3" t="str">
        <f>IF(ISBLANK(A738), "", IF(D738&gt;0, IF(COUNTIF(Expenses!E:E, D738)&gt;0, "Matched", "Unmatched"), IF(E738&gt;0, IF(COUNTIF(Income!F:F, E738)&gt;0, "Matched", "Unmatched"), "")))</f>
        <v/>
      </c>
    </row>
    <row r="739">
      <c r="D739" s="2"/>
      <c r="E739" s="2"/>
      <c r="F739" s="2"/>
      <c r="G739" s="3" t="str">
        <f t="shared" si="1"/>
        <v/>
      </c>
      <c r="H739" s="3" t="str">
        <f>IF(ISBLANK(A739), "", IF(D739&gt;0, IF(COUNTIF(Expenses!E:E, D739)&gt;0, "Matched", "Unmatched"), IF(E739&gt;0, IF(COUNTIF(Income!F:F, E739)&gt;0, "Matched", "Unmatched"), "")))</f>
        <v/>
      </c>
    </row>
    <row r="740">
      <c r="D740" s="2"/>
      <c r="E740" s="2"/>
      <c r="F740" s="2"/>
      <c r="G740" s="3" t="str">
        <f t="shared" si="1"/>
        <v/>
      </c>
      <c r="H740" s="3" t="str">
        <f>IF(ISBLANK(A740), "", IF(D740&gt;0, IF(COUNTIF(Expenses!E:E, D740)&gt;0, "Matched", "Unmatched"), IF(E740&gt;0, IF(COUNTIF(Income!F:F, E740)&gt;0, "Matched", "Unmatched"), "")))</f>
        <v/>
      </c>
    </row>
    <row r="741">
      <c r="D741" s="2"/>
      <c r="E741" s="2"/>
      <c r="F741" s="2"/>
      <c r="G741" s="3" t="str">
        <f t="shared" si="1"/>
        <v/>
      </c>
      <c r="H741" s="3" t="str">
        <f>IF(ISBLANK(A741), "", IF(D741&gt;0, IF(COUNTIF(Expenses!E:E, D741)&gt;0, "Matched", "Unmatched"), IF(E741&gt;0, IF(COUNTIF(Income!F:F, E741)&gt;0, "Matched", "Unmatched"), "")))</f>
        <v/>
      </c>
    </row>
    <row r="742">
      <c r="D742" s="2"/>
      <c r="E742" s="2"/>
      <c r="F742" s="2"/>
      <c r="G742" s="3" t="str">
        <f t="shared" si="1"/>
        <v/>
      </c>
      <c r="H742" s="3" t="str">
        <f>IF(ISBLANK(A742), "", IF(D742&gt;0, IF(COUNTIF(Expenses!E:E, D742)&gt;0, "Matched", "Unmatched"), IF(E742&gt;0, IF(COUNTIF(Income!F:F, E742)&gt;0, "Matched", "Unmatched"), "")))</f>
        <v/>
      </c>
    </row>
    <row r="743">
      <c r="D743" s="2"/>
      <c r="E743" s="2"/>
      <c r="F743" s="2"/>
      <c r="G743" s="3" t="str">
        <f t="shared" si="1"/>
        <v/>
      </c>
      <c r="H743" s="3" t="str">
        <f>IF(ISBLANK(A743), "", IF(D743&gt;0, IF(COUNTIF(Expenses!E:E, D743)&gt;0, "Matched", "Unmatched"), IF(E743&gt;0, IF(COUNTIF(Income!F:F, E743)&gt;0, "Matched", "Unmatched"), "")))</f>
        <v/>
      </c>
    </row>
    <row r="744">
      <c r="D744" s="2"/>
      <c r="E744" s="2"/>
      <c r="F744" s="2"/>
      <c r="G744" s="3" t="str">
        <f t="shared" si="1"/>
        <v/>
      </c>
      <c r="H744" s="3" t="str">
        <f>IF(ISBLANK(A744), "", IF(D744&gt;0, IF(COUNTIF(Expenses!E:E, D744)&gt;0, "Matched", "Unmatched"), IF(E744&gt;0, IF(COUNTIF(Income!F:F, E744)&gt;0, "Matched", "Unmatched"), "")))</f>
        <v/>
      </c>
    </row>
    <row r="745">
      <c r="D745" s="2"/>
      <c r="E745" s="2"/>
      <c r="F745" s="2"/>
      <c r="G745" s="3" t="str">
        <f t="shared" si="1"/>
        <v/>
      </c>
      <c r="H745" s="3" t="str">
        <f>IF(ISBLANK(A745), "", IF(D745&gt;0, IF(COUNTIF(Expenses!E:E, D745)&gt;0, "Matched", "Unmatched"), IF(E745&gt;0, IF(COUNTIF(Income!F:F, E745)&gt;0, "Matched", "Unmatched"), "")))</f>
        <v/>
      </c>
    </row>
    <row r="746">
      <c r="D746" s="2"/>
      <c r="E746" s="2"/>
      <c r="F746" s="2"/>
      <c r="G746" s="3" t="str">
        <f t="shared" si="1"/>
        <v/>
      </c>
      <c r="H746" s="3" t="str">
        <f>IF(ISBLANK(A746), "", IF(D746&gt;0, IF(COUNTIF(Expenses!E:E, D746)&gt;0, "Matched", "Unmatched"), IF(E746&gt;0, IF(COUNTIF(Income!F:F, E746)&gt;0, "Matched", "Unmatched"), "")))</f>
        <v/>
      </c>
    </row>
    <row r="747">
      <c r="D747" s="2"/>
      <c r="E747" s="2"/>
      <c r="F747" s="2"/>
      <c r="G747" s="3" t="str">
        <f t="shared" si="1"/>
        <v/>
      </c>
      <c r="H747" s="3" t="str">
        <f>IF(ISBLANK(A747), "", IF(D747&gt;0, IF(COUNTIF(Expenses!E:E, D747)&gt;0, "Matched", "Unmatched"), IF(E747&gt;0, IF(COUNTIF(Income!F:F, E747)&gt;0, "Matched", "Unmatched"), "")))</f>
        <v/>
      </c>
    </row>
    <row r="748">
      <c r="D748" s="2"/>
      <c r="E748" s="2"/>
      <c r="F748" s="2"/>
      <c r="G748" s="3" t="str">
        <f t="shared" si="1"/>
        <v/>
      </c>
      <c r="H748" s="3" t="str">
        <f>IF(ISBLANK(A748), "", IF(D748&gt;0, IF(COUNTIF(Expenses!E:E, D748)&gt;0, "Matched", "Unmatched"), IF(E748&gt;0, IF(COUNTIF(Income!F:F, E748)&gt;0, "Matched", "Unmatched"), "")))</f>
        <v/>
      </c>
    </row>
    <row r="749">
      <c r="D749" s="2"/>
      <c r="E749" s="2"/>
      <c r="F749" s="2"/>
      <c r="G749" s="3" t="str">
        <f t="shared" si="1"/>
        <v/>
      </c>
      <c r="H749" s="3" t="str">
        <f>IF(ISBLANK(A749), "", IF(D749&gt;0, IF(COUNTIF(Expenses!E:E, D749)&gt;0, "Matched", "Unmatched"), IF(E749&gt;0, IF(COUNTIF(Income!F:F, E749)&gt;0, "Matched", "Unmatched"), "")))</f>
        <v/>
      </c>
    </row>
    <row r="750">
      <c r="D750" s="2"/>
      <c r="E750" s="2"/>
      <c r="F750" s="2"/>
      <c r="G750" s="3" t="str">
        <f t="shared" si="1"/>
        <v/>
      </c>
      <c r="H750" s="3" t="str">
        <f>IF(ISBLANK(A750), "", IF(D750&gt;0, IF(COUNTIF(Expenses!E:E, D750)&gt;0, "Matched", "Unmatched"), IF(E750&gt;0, IF(COUNTIF(Income!F:F, E750)&gt;0, "Matched", "Unmatched"), "")))</f>
        <v/>
      </c>
    </row>
    <row r="751">
      <c r="D751" s="2"/>
      <c r="E751" s="2"/>
      <c r="F751" s="2"/>
      <c r="G751" s="3" t="str">
        <f t="shared" si="1"/>
        <v/>
      </c>
      <c r="H751" s="3" t="str">
        <f>IF(ISBLANK(A751), "", IF(D751&gt;0, IF(COUNTIF(Expenses!E:E, D751)&gt;0, "Matched", "Unmatched"), IF(E751&gt;0, IF(COUNTIF(Income!F:F, E751)&gt;0, "Matched", "Unmatched"), "")))</f>
        <v/>
      </c>
    </row>
    <row r="752">
      <c r="D752" s="2"/>
      <c r="E752" s="2"/>
      <c r="F752" s="2"/>
      <c r="G752" s="3" t="str">
        <f t="shared" si="1"/>
        <v/>
      </c>
      <c r="H752" s="3" t="str">
        <f>IF(ISBLANK(A752), "", IF(D752&gt;0, IF(COUNTIF(Expenses!E:E, D752)&gt;0, "Matched", "Unmatched"), IF(E752&gt;0, IF(COUNTIF(Income!F:F, E752)&gt;0, "Matched", "Unmatched"), "")))</f>
        <v/>
      </c>
    </row>
    <row r="753">
      <c r="D753" s="2"/>
      <c r="E753" s="2"/>
      <c r="F753" s="2"/>
      <c r="G753" s="3" t="str">
        <f t="shared" si="1"/>
        <v/>
      </c>
      <c r="H753" s="3" t="str">
        <f>IF(ISBLANK(A753), "", IF(D753&gt;0, IF(COUNTIF(Expenses!E:E, D753)&gt;0, "Matched", "Unmatched"), IF(E753&gt;0, IF(COUNTIF(Income!F:F, E753)&gt;0, "Matched", "Unmatched"), "")))</f>
        <v/>
      </c>
    </row>
    <row r="754">
      <c r="D754" s="2"/>
      <c r="E754" s="2"/>
      <c r="F754" s="2"/>
      <c r="G754" s="3" t="str">
        <f t="shared" si="1"/>
        <v/>
      </c>
      <c r="H754" s="3" t="str">
        <f>IF(ISBLANK(A754), "", IF(D754&gt;0, IF(COUNTIF(Expenses!E:E, D754)&gt;0, "Matched", "Unmatched"), IF(E754&gt;0, IF(COUNTIF(Income!F:F, E754)&gt;0, "Matched", "Unmatched"), "")))</f>
        <v/>
      </c>
    </row>
    <row r="755">
      <c r="D755" s="2"/>
      <c r="E755" s="2"/>
      <c r="F755" s="2"/>
      <c r="G755" s="3" t="str">
        <f t="shared" si="1"/>
        <v/>
      </c>
      <c r="H755" s="3" t="str">
        <f>IF(ISBLANK(A755), "", IF(D755&gt;0, IF(COUNTIF(Expenses!E:E, D755)&gt;0, "Matched", "Unmatched"), IF(E755&gt;0, IF(COUNTIF(Income!F:F, E755)&gt;0, "Matched", "Unmatched"), "")))</f>
        <v/>
      </c>
    </row>
    <row r="756">
      <c r="D756" s="2"/>
      <c r="E756" s="2"/>
      <c r="F756" s="2"/>
      <c r="G756" s="3" t="str">
        <f t="shared" si="1"/>
        <v/>
      </c>
      <c r="H756" s="3" t="str">
        <f>IF(ISBLANK(A756), "", IF(D756&gt;0, IF(COUNTIF(Expenses!E:E, D756)&gt;0, "Matched", "Unmatched"), IF(E756&gt;0, IF(COUNTIF(Income!F:F, E756)&gt;0, "Matched", "Unmatched"), "")))</f>
        <v/>
      </c>
    </row>
    <row r="757">
      <c r="D757" s="2"/>
      <c r="E757" s="2"/>
      <c r="F757" s="2"/>
      <c r="G757" s="3" t="str">
        <f t="shared" si="1"/>
        <v/>
      </c>
      <c r="H757" s="3" t="str">
        <f>IF(ISBLANK(A757), "", IF(D757&gt;0, IF(COUNTIF(Expenses!E:E, D757)&gt;0, "Matched", "Unmatched"), IF(E757&gt;0, IF(COUNTIF(Income!F:F, E757)&gt;0, "Matched", "Unmatched"), "")))</f>
        <v/>
      </c>
    </row>
    <row r="758">
      <c r="D758" s="2"/>
      <c r="E758" s="2"/>
      <c r="F758" s="2"/>
      <c r="G758" s="3" t="str">
        <f t="shared" si="1"/>
        <v/>
      </c>
      <c r="H758" s="3" t="str">
        <f>IF(ISBLANK(A758), "", IF(D758&gt;0, IF(COUNTIF(Expenses!E:E, D758)&gt;0, "Matched", "Unmatched"), IF(E758&gt;0, IF(COUNTIF(Income!F:F, E758)&gt;0, "Matched", "Unmatched"), "")))</f>
        <v/>
      </c>
    </row>
    <row r="759">
      <c r="D759" s="2"/>
      <c r="E759" s="2"/>
      <c r="F759" s="2"/>
      <c r="G759" s="3" t="str">
        <f t="shared" si="1"/>
        <v/>
      </c>
      <c r="H759" s="3" t="str">
        <f>IF(ISBLANK(A759), "", IF(D759&gt;0, IF(COUNTIF(Expenses!E:E, D759)&gt;0, "Matched", "Unmatched"), IF(E759&gt;0, IF(COUNTIF(Income!F:F, E759)&gt;0, "Matched", "Unmatched"), "")))</f>
        <v/>
      </c>
    </row>
    <row r="760">
      <c r="D760" s="2"/>
      <c r="E760" s="2"/>
      <c r="F760" s="2"/>
      <c r="G760" s="3" t="str">
        <f t="shared" si="1"/>
        <v/>
      </c>
      <c r="H760" s="3" t="str">
        <f>IF(ISBLANK(A760), "", IF(D760&gt;0, IF(COUNTIF(Expenses!E:E, D760)&gt;0, "Matched", "Unmatched"), IF(E760&gt;0, IF(COUNTIF(Income!F:F, E760)&gt;0, "Matched", "Unmatched"), "")))</f>
        <v/>
      </c>
    </row>
    <row r="761">
      <c r="D761" s="2"/>
      <c r="E761" s="2"/>
      <c r="F761" s="2"/>
      <c r="G761" s="3" t="str">
        <f t="shared" si="1"/>
        <v/>
      </c>
      <c r="H761" s="3" t="str">
        <f>IF(ISBLANK(A761), "", IF(D761&gt;0, IF(COUNTIF(Expenses!E:E, D761)&gt;0, "Matched", "Unmatched"), IF(E761&gt;0, IF(COUNTIF(Income!F:F, E761)&gt;0, "Matched", "Unmatched"), "")))</f>
        <v/>
      </c>
    </row>
    <row r="762">
      <c r="D762" s="2"/>
      <c r="E762" s="2"/>
      <c r="F762" s="2"/>
      <c r="G762" s="3" t="str">
        <f t="shared" si="1"/>
        <v/>
      </c>
      <c r="H762" s="3" t="str">
        <f>IF(ISBLANK(A762), "", IF(D762&gt;0, IF(COUNTIF(Expenses!E:E, D762)&gt;0, "Matched", "Unmatched"), IF(E762&gt;0, IF(COUNTIF(Income!F:F, E762)&gt;0, "Matched", "Unmatched"), "")))</f>
        <v/>
      </c>
    </row>
    <row r="763">
      <c r="D763" s="2"/>
      <c r="E763" s="2"/>
      <c r="F763" s="2"/>
      <c r="G763" s="3" t="str">
        <f t="shared" si="1"/>
        <v/>
      </c>
      <c r="H763" s="3" t="str">
        <f>IF(ISBLANK(A763), "", IF(D763&gt;0, IF(COUNTIF(Expenses!E:E, D763)&gt;0, "Matched", "Unmatched"), IF(E763&gt;0, IF(COUNTIF(Income!F:F, E763)&gt;0, "Matched", "Unmatched"), "")))</f>
        <v/>
      </c>
    </row>
    <row r="764">
      <c r="D764" s="2"/>
      <c r="E764" s="2"/>
      <c r="F764" s="2"/>
      <c r="G764" s="3" t="str">
        <f t="shared" si="1"/>
        <v/>
      </c>
      <c r="H764" s="3" t="str">
        <f>IF(ISBLANK(A764), "", IF(D764&gt;0, IF(COUNTIF(Expenses!E:E, D764)&gt;0, "Matched", "Unmatched"), IF(E764&gt;0, IF(COUNTIF(Income!F:F, E764)&gt;0, "Matched", "Unmatched"), "")))</f>
        <v/>
      </c>
    </row>
    <row r="765">
      <c r="D765" s="2"/>
      <c r="E765" s="2"/>
      <c r="F765" s="2"/>
      <c r="G765" s="3" t="str">
        <f t="shared" si="1"/>
        <v/>
      </c>
      <c r="H765" s="3" t="str">
        <f>IF(ISBLANK(A765), "", IF(D765&gt;0, IF(COUNTIF(Expenses!E:E, D765)&gt;0, "Matched", "Unmatched"), IF(E765&gt;0, IF(COUNTIF(Income!F:F, E765)&gt;0, "Matched", "Unmatched"), "")))</f>
        <v/>
      </c>
    </row>
    <row r="766">
      <c r="D766" s="2"/>
      <c r="E766" s="2"/>
      <c r="F766" s="2"/>
      <c r="G766" s="3" t="str">
        <f t="shared" si="1"/>
        <v/>
      </c>
      <c r="H766" s="3" t="str">
        <f>IF(ISBLANK(A766), "", IF(D766&gt;0, IF(COUNTIF(Expenses!E:E, D766)&gt;0, "Matched", "Unmatched"), IF(E766&gt;0, IF(COUNTIF(Income!F:F, E766)&gt;0, "Matched", "Unmatched"), "")))</f>
        <v/>
      </c>
    </row>
    <row r="767">
      <c r="D767" s="2"/>
      <c r="E767" s="2"/>
      <c r="F767" s="2"/>
      <c r="G767" s="3" t="str">
        <f t="shared" si="1"/>
        <v/>
      </c>
      <c r="H767" s="3" t="str">
        <f>IF(ISBLANK(A767), "", IF(D767&gt;0, IF(COUNTIF(Expenses!E:E, D767)&gt;0, "Matched", "Unmatched"), IF(E767&gt;0, IF(COUNTIF(Income!F:F, E767)&gt;0, "Matched", "Unmatched"), "")))</f>
        <v/>
      </c>
    </row>
    <row r="768">
      <c r="D768" s="2"/>
      <c r="E768" s="2"/>
      <c r="F768" s="2"/>
      <c r="G768" s="3" t="str">
        <f t="shared" si="1"/>
        <v/>
      </c>
      <c r="H768" s="3" t="str">
        <f>IF(ISBLANK(A768), "", IF(D768&gt;0, IF(COUNTIF(Expenses!E:E, D768)&gt;0, "Matched", "Unmatched"), IF(E768&gt;0, IF(COUNTIF(Income!F:F, E768)&gt;0, "Matched", "Unmatched"), "")))</f>
        <v/>
      </c>
    </row>
    <row r="769">
      <c r="D769" s="2"/>
      <c r="E769" s="2"/>
      <c r="F769" s="2"/>
      <c r="G769" s="3" t="str">
        <f t="shared" si="1"/>
        <v/>
      </c>
      <c r="H769" s="3" t="str">
        <f>IF(ISBLANK(A769), "", IF(D769&gt;0, IF(COUNTIF(Expenses!E:E, D769)&gt;0, "Matched", "Unmatched"), IF(E769&gt;0, IF(COUNTIF(Income!F:F, E769)&gt;0, "Matched", "Unmatched"), "")))</f>
        <v/>
      </c>
    </row>
    <row r="770">
      <c r="D770" s="2"/>
      <c r="E770" s="2"/>
      <c r="F770" s="2"/>
      <c r="G770" s="3" t="str">
        <f t="shared" si="1"/>
        <v/>
      </c>
      <c r="H770" s="3" t="str">
        <f>IF(ISBLANK(A770), "", IF(D770&gt;0, IF(COUNTIF(Expenses!E:E, D770)&gt;0, "Matched", "Unmatched"), IF(E770&gt;0, IF(COUNTIF(Income!F:F, E770)&gt;0, "Matched", "Unmatched"), "")))</f>
        <v/>
      </c>
    </row>
    <row r="771">
      <c r="D771" s="2"/>
      <c r="E771" s="2"/>
      <c r="F771" s="2"/>
      <c r="G771" s="3" t="str">
        <f t="shared" si="1"/>
        <v/>
      </c>
      <c r="H771" s="3" t="str">
        <f>IF(ISBLANK(A771), "", IF(D771&gt;0, IF(COUNTIF(Expenses!E:E, D771)&gt;0, "Matched", "Unmatched"), IF(E771&gt;0, IF(COUNTIF(Income!F:F, E771)&gt;0, "Matched", "Unmatched"), "")))</f>
        <v/>
      </c>
    </row>
    <row r="772">
      <c r="D772" s="2"/>
      <c r="E772" s="2"/>
      <c r="F772" s="2"/>
      <c r="G772" s="3" t="str">
        <f t="shared" si="1"/>
        <v/>
      </c>
      <c r="H772" s="3" t="str">
        <f>IF(ISBLANK(A772), "", IF(D772&gt;0, IF(COUNTIF(Expenses!E:E, D772)&gt;0, "Matched", "Unmatched"), IF(E772&gt;0, IF(COUNTIF(Income!F:F, E772)&gt;0, "Matched", "Unmatched"), "")))</f>
        <v/>
      </c>
    </row>
    <row r="773">
      <c r="D773" s="2"/>
      <c r="E773" s="2"/>
      <c r="F773" s="2"/>
      <c r="G773" s="3" t="str">
        <f t="shared" si="1"/>
        <v/>
      </c>
      <c r="H773" s="3" t="str">
        <f>IF(ISBLANK(A773), "", IF(D773&gt;0, IF(COUNTIF(Expenses!E:E, D773)&gt;0, "Matched", "Unmatched"), IF(E773&gt;0, IF(COUNTIF(Income!F:F, E773)&gt;0, "Matched", "Unmatched"), "")))</f>
        <v/>
      </c>
    </row>
    <row r="774">
      <c r="D774" s="2"/>
      <c r="E774" s="2"/>
      <c r="F774" s="2"/>
      <c r="G774" s="3" t="str">
        <f t="shared" si="1"/>
        <v/>
      </c>
      <c r="H774" s="3" t="str">
        <f>IF(ISBLANK(A774), "", IF(D774&gt;0, IF(COUNTIF(Expenses!E:E, D774)&gt;0, "Matched", "Unmatched"), IF(E774&gt;0, IF(COUNTIF(Income!F:F, E774)&gt;0, "Matched", "Unmatched"), "")))</f>
        <v/>
      </c>
    </row>
    <row r="775">
      <c r="D775" s="2"/>
      <c r="E775" s="2"/>
      <c r="F775" s="2"/>
      <c r="G775" s="3" t="str">
        <f t="shared" si="1"/>
        <v/>
      </c>
      <c r="H775" s="3" t="str">
        <f>IF(ISBLANK(A775), "", IF(D775&gt;0, IF(COUNTIF(Expenses!E:E, D775)&gt;0, "Matched", "Unmatched"), IF(E775&gt;0, IF(COUNTIF(Income!F:F, E775)&gt;0, "Matched", "Unmatched"), "")))</f>
        <v/>
      </c>
    </row>
    <row r="776">
      <c r="D776" s="2"/>
      <c r="E776" s="2"/>
      <c r="F776" s="2"/>
      <c r="G776" s="3" t="str">
        <f t="shared" si="1"/>
        <v/>
      </c>
      <c r="H776" s="3" t="str">
        <f>IF(ISBLANK(A776), "", IF(D776&gt;0, IF(COUNTIF(Expenses!E:E, D776)&gt;0, "Matched", "Unmatched"), IF(E776&gt;0, IF(COUNTIF(Income!F:F, E776)&gt;0, "Matched", "Unmatched"), "")))</f>
        <v/>
      </c>
    </row>
    <row r="777">
      <c r="D777" s="2"/>
      <c r="E777" s="2"/>
      <c r="F777" s="2"/>
      <c r="G777" s="3" t="str">
        <f t="shared" si="1"/>
        <v/>
      </c>
      <c r="H777" s="3" t="str">
        <f>IF(ISBLANK(A777), "", IF(D777&gt;0, IF(COUNTIF(Expenses!E:E, D777)&gt;0, "Matched", "Unmatched"), IF(E777&gt;0, IF(COUNTIF(Income!F:F, E777)&gt;0, "Matched", "Unmatched"), "")))</f>
        <v/>
      </c>
    </row>
    <row r="778">
      <c r="D778" s="2"/>
      <c r="E778" s="2"/>
      <c r="F778" s="2"/>
      <c r="G778" s="3" t="str">
        <f t="shared" si="1"/>
        <v/>
      </c>
      <c r="H778" s="3" t="str">
        <f>IF(ISBLANK(A778), "", IF(D778&gt;0, IF(COUNTIF(Expenses!E:E, D778)&gt;0, "Matched", "Unmatched"), IF(E778&gt;0, IF(COUNTIF(Income!F:F, E778)&gt;0, "Matched", "Unmatched"), "")))</f>
        <v/>
      </c>
    </row>
    <row r="779">
      <c r="D779" s="2"/>
      <c r="E779" s="2"/>
      <c r="F779" s="2"/>
      <c r="G779" s="3" t="str">
        <f t="shared" si="1"/>
        <v/>
      </c>
      <c r="H779" s="3" t="str">
        <f>IF(ISBLANK(A779), "", IF(D779&gt;0, IF(COUNTIF(Expenses!E:E, D779)&gt;0, "Matched", "Unmatched"), IF(E779&gt;0, IF(COUNTIF(Income!F:F, E779)&gt;0, "Matched", "Unmatched"), "")))</f>
        <v/>
      </c>
    </row>
    <row r="780">
      <c r="D780" s="2"/>
      <c r="E780" s="2"/>
      <c r="F780" s="2"/>
      <c r="G780" s="3" t="str">
        <f t="shared" si="1"/>
        <v/>
      </c>
      <c r="H780" s="3" t="str">
        <f>IF(ISBLANK(A780), "", IF(D780&gt;0, IF(COUNTIF(Expenses!E:E, D780)&gt;0, "Matched", "Unmatched"), IF(E780&gt;0, IF(COUNTIF(Income!F:F, E780)&gt;0, "Matched", "Unmatched"), "")))</f>
        <v/>
      </c>
    </row>
    <row r="781">
      <c r="D781" s="2"/>
      <c r="E781" s="2"/>
      <c r="F781" s="2"/>
      <c r="G781" s="3" t="str">
        <f t="shared" si="1"/>
        <v/>
      </c>
      <c r="H781" s="3" t="str">
        <f>IF(ISBLANK(A781), "", IF(D781&gt;0, IF(COUNTIF(Expenses!E:E, D781)&gt;0, "Matched", "Unmatched"), IF(E781&gt;0, IF(COUNTIF(Income!F:F, E781)&gt;0, "Matched", "Unmatched"), "")))</f>
        <v/>
      </c>
    </row>
    <row r="782">
      <c r="D782" s="2"/>
      <c r="E782" s="2"/>
      <c r="F782" s="2"/>
      <c r="G782" s="3" t="str">
        <f t="shared" si="1"/>
        <v/>
      </c>
      <c r="H782" s="3" t="str">
        <f>IF(ISBLANK(A782), "", IF(D782&gt;0, IF(COUNTIF(Expenses!E:E, D782)&gt;0, "Matched", "Unmatched"), IF(E782&gt;0, IF(COUNTIF(Income!F:F, E782)&gt;0, "Matched", "Unmatched"), "")))</f>
        <v/>
      </c>
    </row>
    <row r="783">
      <c r="D783" s="2"/>
      <c r="E783" s="2"/>
      <c r="F783" s="2"/>
      <c r="G783" s="3" t="str">
        <f t="shared" si="1"/>
        <v/>
      </c>
      <c r="H783" s="3" t="str">
        <f>IF(ISBLANK(A783), "", IF(D783&gt;0, IF(COUNTIF(Expenses!E:E, D783)&gt;0, "Matched", "Unmatched"), IF(E783&gt;0, IF(COUNTIF(Income!F:F, E783)&gt;0, "Matched", "Unmatched"), "")))</f>
        <v/>
      </c>
    </row>
    <row r="784">
      <c r="D784" s="2"/>
      <c r="E784" s="2"/>
      <c r="F784" s="2"/>
      <c r="G784" s="3" t="str">
        <f t="shared" si="1"/>
        <v/>
      </c>
      <c r="H784" s="3" t="str">
        <f>IF(ISBLANK(A784), "", IF(D784&gt;0, IF(COUNTIF(Expenses!E:E, D784)&gt;0, "Matched", "Unmatched"), IF(E784&gt;0, IF(COUNTIF(Income!F:F, E784)&gt;0, "Matched", "Unmatched"), "")))</f>
        <v/>
      </c>
    </row>
    <row r="785">
      <c r="D785" s="2"/>
      <c r="E785" s="2"/>
      <c r="F785" s="2"/>
      <c r="G785" s="3" t="str">
        <f t="shared" si="1"/>
        <v/>
      </c>
      <c r="H785" s="3" t="str">
        <f>IF(ISBLANK(A785), "", IF(D785&gt;0, IF(COUNTIF(Expenses!E:E, D785)&gt;0, "Matched", "Unmatched"), IF(E785&gt;0, IF(COUNTIF(Income!F:F, E785)&gt;0, "Matched", "Unmatched"), "")))</f>
        <v/>
      </c>
    </row>
    <row r="786">
      <c r="D786" s="2"/>
      <c r="E786" s="2"/>
      <c r="F786" s="2"/>
      <c r="G786" s="3" t="str">
        <f t="shared" si="1"/>
        <v/>
      </c>
      <c r="H786" s="3" t="str">
        <f>IF(ISBLANK(A786), "", IF(D786&gt;0, IF(COUNTIF(Expenses!E:E, D786)&gt;0, "Matched", "Unmatched"), IF(E786&gt;0, IF(COUNTIF(Income!F:F, E786)&gt;0, "Matched", "Unmatched"), "")))</f>
        <v/>
      </c>
    </row>
    <row r="787">
      <c r="D787" s="2"/>
      <c r="E787" s="2"/>
      <c r="F787" s="2"/>
      <c r="G787" s="3" t="str">
        <f t="shared" si="1"/>
        <v/>
      </c>
      <c r="H787" s="3" t="str">
        <f>IF(ISBLANK(A787), "", IF(D787&gt;0, IF(COUNTIF(Expenses!E:E, D787)&gt;0, "Matched", "Unmatched"), IF(E787&gt;0, IF(COUNTIF(Income!F:F, E787)&gt;0, "Matched", "Unmatched"), "")))</f>
        <v/>
      </c>
    </row>
    <row r="788">
      <c r="D788" s="2"/>
      <c r="E788" s="2"/>
      <c r="F788" s="2"/>
      <c r="G788" s="3" t="str">
        <f t="shared" si="1"/>
        <v/>
      </c>
      <c r="H788" s="3" t="str">
        <f>IF(ISBLANK(A788), "", IF(D788&gt;0, IF(COUNTIF(Expenses!E:E, D788)&gt;0, "Matched", "Unmatched"), IF(E788&gt;0, IF(COUNTIF(Income!F:F, E788)&gt;0, "Matched", "Unmatched"), "")))</f>
        <v/>
      </c>
    </row>
    <row r="789">
      <c r="D789" s="2"/>
      <c r="E789" s="2"/>
      <c r="F789" s="2"/>
      <c r="G789" s="3" t="str">
        <f t="shared" si="1"/>
        <v/>
      </c>
      <c r="H789" s="3" t="str">
        <f>IF(ISBLANK(A789), "", IF(D789&gt;0, IF(COUNTIF(Expenses!E:E, D789)&gt;0, "Matched", "Unmatched"), IF(E789&gt;0, IF(COUNTIF(Income!F:F, E789)&gt;0, "Matched", "Unmatched"), "")))</f>
        <v/>
      </c>
    </row>
    <row r="790">
      <c r="D790" s="2"/>
      <c r="E790" s="2"/>
      <c r="F790" s="2"/>
      <c r="G790" s="3" t="str">
        <f t="shared" si="1"/>
        <v/>
      </c>
      <c r="H790" s="3" t="str">
        <f>IF(ISBLANK(A790), "", IF(D790&gt;0, IF(COUNTIF(Expenses!E:E, D790)&gt;0, "Matched", "Unmatched"), IF(E790&gt;0, IF(COUNTIF(Income!F:F, E790)&gt;0, "Matched", "Unmatched"), "")))</f>
        <v/>
      </c>
    </row>
    <row r="791">
      <c r="D791" s="2"/>
      <c r="E791" s="2"/>
      <c r="F791" s="2"/>
      <c r="G791" s="3" t="str">
        <f t="shared" si="1"/>
        <v/>
      </c>
      <c r="H791" s="3" t="str">
        <f>IF(ISBLANK(A791), "", IF(D791&gt;0, IF(COUNTIF(Expenses!E:E, D791)&gt;0, "Matched", "Unmatched"), IF(E791&gt;0, IF(COUNTIF(Income!F:F, E791)&gt;0, "Matched", "Unmatched"), "")))</f>
        <v/>
      </c>
    </row>
    <row r="792">
      <c r="D792" s="2"/>
      <c r="E792" s="2"/>
      <c r="F792" s="2"/>
      <c r="G792" s="3" t="str">
        <f t="shared" si="1"/>
        <v/>
      </c>
      <c r="H792" s="3" t="str">
        <f>IF(ISBLANK(A792), "", IF(D792&gt;0, IF(COUNTIF(Expenses!E:E, D792)&gt;0, "Matched", "Unmatched"), IF(E792&gt;0, IF(COUNTIF(Income!F:F, E792)&gt;0, "Matched", "Unmatched"), "")))</f>
        <v/>
      </c>
    </row>
    <row r="793">
      <c r="D793" s="2"/>
      <c r="E793" s="2"/>
      <c r="F793" s="2"/>
      <c r="G793" s="3" t="str">
        <f t="shared" si="1"/>
        <v/>
      </c>
      <c r="H793" s="3" t="str">
        <f>IF(ISBLANK(A793), "", IF(D793&gt;0, IF(COUNTIF(Expenses!E:E, D793)&gt;0, "Matched", "Unmatched"), IF(E793&gt;0, IF(COUNTIF(Income!F:F, E793)&gt;0, "Matched", "Unmatched"), "")))</f>
        <v/>
      </c>
    </row>
    <row r="794">
      <c r="D794" s="2"/>
      <c r="E794" s="2"/>
      <c r="F794" s="2"/>
      <c r="G794" s="3" t="str">
        <f t="shared" si="1"/>
        <v/>
      </c>
      <c r="H794" s="3" t="str">
        <f>IF(ISBLANK(A794), "", IF(D794&gt;0, IF(COUNTIF(Expenses!E:E, D794)&gt;0, "Matched", "Unmatched"), IF(E794&gt;0, IF(COUNTIF(Income!F:F, E794)&gt;0, "Matched", "Unmatched"), "")))</f>
        <v/>
      </c>
    </row>
    <row r="795">
      <c r="D795" s="2"/>
      <c r="E795" s="2"/>
      <c r="F795" s="2"/>
      <c r="G795" s="3" t="str">
        <f t="shared" si="1"/>
        <v/>
      </c>
      <c r="H795" s="3" t="str">
        <f>IF(ISBLANK(A795), "", IF(D795&gt;0, IF(COUNTIF(Expenses!E:E, D795)&gt;0, "Matched", "Unmatched"), IF(E795&gt;0, IF(COUNTIF(Income!F:F, E795)&gt;0, "Matched", "Unmatched"), "")))</f>
        <v/>
      </c>
    </row>
    <row r="796">
      <c r="D796" s="2"/>
      <c r="E796" s="2"/>
      <c r="F796" s="2"/>
      <c r="G796" s="3" t="str">
        <f t="shared" si="1"/>
        <v/>
      </c>
      <c r="H796" s="3" t="str">
        <f>IF(ISBLANK(A796), "", IF(D796&gt;0, IF(COUNTIF(Expenses!E:E, D796)&gt;0, "Matched", "Unmatched"), IF(E796&gt;0, IF(COUNTIF(Income!F:F, E796)&gt;0, "Matched", "Unmatched"), "")))</f>
        <v/>
      </c>
    </row>
    <row r="797">
      <c r="D797" s="2"/>
      <c r="E797" s="2"/>
      <c r="F797" s="2"/>
      <c r="G797" s="3" t="str">
        <f t="shared" si="1"/>
        <v/>
      </c>
      <c r="H797" s="3" t="str">
        <f>IF(ISBLANK(A797), "", IF(D797&gt;0, IF(COUNTIF(Expenses!E:E, D797)&gt;0, "Matched", "Unmatched"), IF(E797&gt;0, IF(COUNTIF(Income!F:F, E797)&gt;0, "Matched", "Unmatched"), "")))</f>
        <v/>
      </c>
    </row>
    <row r="798">
      <c r="D798" s="2"/>
      <c r="E798" s="2"/>
      <c r="F798" s="2"/>
      <c r="G798" s="3" t="str">
        <f t="shared" si="1"/>
        <v/>
      </c>
      <c r="H798" s="3" t="str">
        <f>IF(ISBLANK(A798), "", IF(D798&gt;0, IF(COUNTIF(Expenses!E:E, D798)&gt;0, "Matched", "Unmatched"), IF(E798&gt;0, IF(COUNTIF(Income!F:F, E798)&gt;0, "Matched", "Unmatched"), "")))</f>
        <v/>
      </c>
    </row>
    <row r="799">
      <c r="D799" s="2"/>
      <c r="E799" s="2"/>
      <c r="F799" s="2"/>
      <c r="G799" s="3" t="str">
        <f t="shared" si="1"/>
        <v/>
      </c>
      <c r="H799" s="3" t="str">
        <f>IF(ISBLANK(A799), "", IF(D799&gt;0, IF(COUNTIF(Expenses!E:E, D799)&gt;0, "Matched", "Unmatched"), IF(E799&gt;0, IF(COUNTIF(Income!F:F, E799)&gt;0, "Matched", "Unmatched"), "")))</f>
        <v/>
      </c>
    </row>
    <row r="800">
      <c r="D800" s="2"/>
      <c r="E800" s="2"/>
      <c r="F800" s="2"/>
      <c r="G800" s="3" t="str">
        <f t="shared" si="1"/>
        <v/>
      </c>
      <c r="H800" s="3" t="str">
        <f>IF(ISBLANK(A800), "", IF(D800&gt;0, IF(COUNTIF(Expenses!E:E, D800)&gt;0, "Matched", "Unmatched"), IF(E800&gt;0, IF(COUNTIF(Income!F:F, E800)&gt;0, "Matched", "Unmatched"), "")))</f>
        <v/>
      </c>
    </row>
    <row r="801">
      <c r="D801" s="2"/>
      <c r="E801" s="2"/>
      <c r="F801" s="2"/>
      <c r="G801" s="3" t="str">
        <f t="shared" si="1"/>
        <v/>
      </c>
      <c r="H801" s="3" t="str">
        <f>IF(ISBLANK(A801), "", IF(D801&gt;0, IF(COUNTIF(Expenses!E:E, D801)&gt;0, "Matched", "Unmatched"), IF(E801&gt;0, IF(COUNTIF(Income!F:F, E801)&gt;0, "Matched", "Unmatched"), "")))</f>
        <v/>
      </c>
    </row>
    <row r="802">
      <c r="D802" s="2"/>
      <c r="E802" s="2"/>
      <c r="F802" s="2"/>
      <c r="G802" s="3" t="str">
        <f t="shared" si="1"/>
        <v/>
      </c>
      <c r="H802" s="3" t="str">
        <f>IF(ISBLANK(A802), "", IF(D802&gt;0, IF(COUNTIF(Expenses!E:E, D802)&gt;0, "Matched", "Unmatched"), IF(E802&gt;0, IF(COUNTIF(Income!F:F, E802)&gt;0, "Matched", "Unmatched"), "")))</f>
        <v/>
      </c>
    </row>
    <row r="803">
      <c r="D803" s="2"/>
      <c r="E803" s="2"/>
      <c r="F803" s="2"/>
      <c r="G803" s="3" t="str">
        <f t="shared" si="1"/>
        <v/>
      </c>
      <c r="H803" s="3" t="str">
        <f>IF(ISBLANK(A803), "", IF(D803&gt;0, IF(COUNTIF(Expenses!E:E, D803)&gt;0, "Matched", "Unmatched"), IF(E803&gt;0, IF(COUNTIF(Income!F:F, E803)&gt;0, "Matched", "Unmatched"), "")))</f>
        <v/>
      </c>
    </row>
    <row r="804">
      <c r="D804" s="2"/>
      <c r="E804" s="2"/>
      <c r="F804" s="2"/>
      <c r="G804" s="3" t="str">
        <f t="shared" si="1"/>
        <v/>
      </c>
      <c r="H804" s="3" t="str">
        <f>IF(ISBLANK(A804), "", IF(D804&gt;0, IF(COUNTIF(Expenses!E:E, D804)&gt;0, "Matched", "Unmatched"), IF(E804&gt;0, IF(COUNTIF(Income!F:F, E804)&gt;0, "Matched", "Unmatched"), "")))</f>
        <v/>
      </c>
    </row>
    <row r="805">
      <c r="D805" s="2"/>
      <c r="E805" s="2"/>
      <c r="F805" s="2"/>
      <c r="G805" s="3" t="str">
        <f t="shared" si="1"/>
        <v/>
      </c>
      <c r="H805" s="3" t="str">
        <f>IF(ISBLANK(A805), "", IF(D805&gt;0, IF(COUNTIF(Expenses!E:E, D805)&gt;0, "Matched", "Unmatched"), IF(E805&gt;0, IF(COUNTIF(Income!F:F, E805)&gt;0, "Matched", "Unmatched"), "")))</f>
        <v/>
      </c>
    </row>
    <row r="806">
      <c r="D806" s="2"/>
      <c r="E806" s="2"/>
      <c r="F806" s="2"/>
      <c r="G806" s="3" t="str">
        <f t="shared" si="1"/>
        <v/>
      </c>
      <c r="H806" s="3" t="str">
        <f>IF(ISBLANK(A806), "", IF(D806&gt;0, IF(COUNTIF(Expenses!E:E, D806)&gt;0, "Matched", "Unmatched"), IF(E806&gt;0, IF(COUNTIF(Income!F:F, E806)&gt;0, "Matched", "Unmatched"), "")))</f>
        <v/>
      </c>
    </row>
    <row r="807">
      <c r="D807" s="2"/>
      <c r="E807" s="2"/>
      <c r="F807" s="2"/>
      <c r="G807" s="3" t="str">
        <f t="shared" si="1"/>
        <v/>
      </c>
      <c r="H807" s="3" t="str">
        <f>IF(ISBLANK(A807), "", IF(D807&gt;0, IF(COUNTIF(Expenses!E:E, D807)&gt;0, "Matched", "Unmatched"), IF(E807&gt;0, IF(COUNTIF(Income!F:F, E807)&gt;0, "Matched", "Unmatched"), "")))</f>
        <v/>
      </c>
    </row>
    <row r="808">
      <c r="D808" s="2"/>
      <c r="E808" s="2"/>
      <c r="F808" s="2"/>
      <c r="G808" s="3" t="str">
        <f t="shared" si="1"/>
        <v/>
      </c>
      <c r="H808" s="3" t="str">
        <f>IF(ISBLANK(A808), "", IF(D808&gt;0, IF(COUNTIF(Expenses!E:E, D808)&gt;0, "Matched", "Unmatched"), IF(E808&gt;0, IF(COUNTIF(Income!F:F, E808)&gt;0, "Matched", "Unmatched"), "")))</f>
        <v/>
      </c>
    </row>
    <row r="809">
      <c r="D809" s="2"/>
      <c r="E809" s="2"/>
      <c r="F809" s="2"/>
      <c r="G809" s="3" t="str">
        <f t="shared" si="1"/>
        <v/>
      </c>
      <c r="H809" s="3" t="str">
        <f>IF(ISBLANK(A809), "", IF(D809&gt;0, IF(COUNTIF(Expenses!E:E, D809)&gt;0, "Matched", "Unmatched"), IF(E809&gt;0, IF(COUNTIF(Income!F:F, E809)&gt;0, "Matched", "Unmatched"), "")))</f>
        <v/>
      </c>
    </row>
    <row r="810">
      <c r="D810" s="2"/>
      <c r="E810" s="2"/>
      <c r="F810" s="2"/>
      <c r="G810" s="3" t="str">
        <f t="shared" si="1"/>
        <v/>
      </c>
      <c r="H810" s="3" t="str">
        <f>IF(ISBLANK(A810), "", IF(D810&gt;0, IF(COUNTIF(Expenses!E:E, D810)&gt;0, "Matched", "Unmatched"), IF(E810&gt;0, IF(COUNTIF(Income!F:F, E810)&gt;0, "Matched", "Unmatched"), "")))</f>
        <v/>
      </c>
    </row>
    <row r="811">
      <c r="D811" s="2"/>
      <c r="E811" s="2"/>
      <c r="F811" s="2"/>
      <c r="G811" s="3" t="str">
        <f t="shared" si="1"/>
        <v/>
      </c>
      <c r="H811" s="3" t="str">
        <f>IF(ISBLANK(A811), "", IF(D811&gt;0, IF(COUNTIF(Expenses!E:E, D811)&gt;0, "Matched", "Unmatched"), IF(E811&gt;0, IF(COUNTIF(Income!F:F, E811)&gt;0, "Matched", "Unmatched"), "")))</f>
        <v/>
      </c>
    </row>
    <row r="812">
      <c r="D812" s="2"/>
      <c r="E812" s="2"/>
      <c r="F812" s="2"/>
      <c r="G812" s="3" t="str">
        <f t="shared" si="1"/>
        <v/>
      </c>
      <c r="H812" s="3" t="str">
        <f>IF(ISBLANK(A812), "", IF(D812&gt;0, IF(COUNTIF(Expenses!E:E, D812)&gt;0, "Matched", "Unmatched"), IF(E812&gt;0, IF(COUNTIF(Income!F:F, E812)&gt;0, "Matched", "Unmatched"), "")))</f>
        <v/>
      </c>
    </row>
    <row r="813">
      <c r="D813" s="2"/>
      <c r="E813" s="2"/>
      <c r="F813" s="2"/>
      <c r="G813" s="3" t="str">
        <f t="shared" si="1"/>
        <v/>
      </c>
      <c r="H813" s="3" t="str">
        <f>IF(ISBLANK(A813), "", IF(D813&gt;0, IF(COUNTIF(Expenses!E:E, D813)&gt;0, "Matched", "Unmatched"), IF(E813&gt;0, IF(COUNTIF(Income!F:F, E813)&gt;0, "Matched", "Unmatched"), "")))</f>
        <v/>
      </c>
    </row>
    <row r="814">
      <c r="D814" s="2"/>
      <c r="E814" s="2"/>
      <c r="F814" s="2"/>
      <c r="G814" s="3" t="str">
        <f t="shared" si="1"/>
        <v/>
      </c>
      <c r="H814" s="3" t="str">
        <f>IF(ISBLANK(A814), "", IF(D814&gt;0, IF(COUNTIF(Expenses!E:E, D814)&gt;0, "Matched", "Unmatched"), IF(E814&gt;0, IF(COUNTIF(Income!F:F, E814)&gt;0, "Matched", "Unmatched"), "")))</f>
        <v/>
      </c>
    </row>
    <row r="815">
      <c r="D815" s="2"/>
      <c r="E815" s="2"/>
      <c r="F815" s="2"/>
      <c r="G815" s="3" t="str">
        <f t="shared" si="1"/>
        <v/>
      </c>
      <c r="H815" s="3" t="str">
        <f>IF(ISBLANK(A815), "", IF(D815&gt;0, IF(COUNTIF(Expenses!E:E, D815)&gt;0, "Matched", "Unmatched"), IF(E815&gt;0, IF(COUNTIF(Income!F:F, E815)&gt;0, "Matched", "Unmatched"), "")))</f>
        <v/>
      </c>
    </row>
    <row r="816">
      <c r="D816" s="2"/>
      <c r="E816" s="2"/>
      <c r="F816" s="2"/>
      <c r="G816" s="3" t="str">
        <f t="shared" si="1"/>
        <v/>
      </c>
      <c r="H816" s="3" t="str">
        <f>IF(ISBLANK(A816), "", IF(D816&gt;0, IF(COUNTIF(Expenses!E:E, D816)&gt;0, "Matched", "Unmatched"), IF(E816&gt;0, IF(COUNTIF(Income!F:F, E816)&gt;0, "Matched", "Unmatched"), "")))</f>
        <v/>
      </c>
    </row>
    <row r="817">
      <c r="D817" s="2"/>
      <c r="E817" s="2"/>
      <c r="F817" s="2"/>
      <c r="G817" s="3" t="str">
        <f t="shared" si="1"/>
        <v/>
      </c>
      <c r="H817" s="3" t="str">
        <f>IF(ISBLANK(A817), "", IF(D817&gt;0, IF(COUNTIF(Expenses!E:E, D817)&gt;0, "Matched", "Unmatched"), IF(E817&gt;0, IF(COUNTIF(Income!F:F, E817)&gt;0, "Matched", "Unmatched"), "")))</f>
        <v/>
      </c>
    </row>
    <row r="818">
      <c r="D818" s="2"/>
      <c r="E818" s="2"/>
      <c r="F818" s="2"/>
      <c r="G818" s="3" t="str">
        <f t="shared" si="1"/>
        <v/>
      </c>
      <c r="H818" s="3" t="str">
        <f>IF(ISBLANK(A818), "", IF(D818&gt;0, IF(COUNTIF(Expenses!E:E, D818)&gt;0, "Matched", "Unmatched"), IF(E818&gt;0, IF(COUNTIF(Income!F:F, E818)&gt;0, "Matched", "Unmatched"), "")))</f>
        <v/>
      </c>
    </row>
    <row r="819">
      <c r="D819" s="2"/>
      <c r="E819" s="2"/>
      <c r="F819" s="2"/>
      <c r="G819" s="3" t="str">
        <f t="shared" si="1"/>
        <v/>
      </c>
      <c r="H819" s="3" t="str">
        <f>IF(ISBLANK(A819), "", IF(D819&gt;0, IF(COUNTIF(Expenses!E:E, D819)&gt;0, "Matched", "Unmatched"), IF(E819&gt;0, IF(COUNTIF(Income!F:F, E819)&gt;0, "Matched", "Unmatched"), "")))</f>
        <v/>
      </c>
    </row>
    <row r="820">
      <c r="D820" s="2"/>
      <c r="E820" s="2"/>
      <c r="F820" s="2"/>
      <c r="G820" s="3" t="str">
        <f t="shared" si="1"/>
        <v/>
      </c>
      <c r="H820" s="3" t="str">
        <f>IF(ISBLANK(A820), "", IF(D820&gt;0, IF(COUNTIF(Expenses!E:E, D820)&gt;0, "Matched", "Unmatched"), IF(E820&gt;0, IF(COUNTIF(Income!F:F, E820)&gt;0, "Matched", "Unmatched"), "")))</f>
        <v/>
      </c>
    </row>
    <row r="821">
      <c r="D821" s="2"/>
      <c r="E821" s="2"/>
      <c r="F821" s="2"/>
      <c r="G821" s="3" t="str">
        <f t="shared" si="1"/>
        <v/>
      </c>
      <c r="H821" s="3" t="str">
        <f>IF(ISBLANK(A821), "", IF(D821&gt;0, IF(COUNTIF(Expenses!E:E, D821)&gt;0, "Matched", "Unmatched"), IF(E821&gt;0, IF(COUNTIF(Income!F:F, E821)&gt;0, "Matched", "Unmatched"), "")))</f>
        <v/>
      </c>
    </row>
    <row r="822">
      <c r="D822" s="2"/>
      <c r="E822" s="2"/>
      <c r="F822" s="2"/>
      <c r="G822" s="3" t="str">
        <f t="shared" si="1"/>
        <v/>
      </c>
      <c r="H822" s="3" t="str">
        <f>IF(ISBLANK(A822), "", IF(D822&gt;0, IF(COUNTIF(Expenses!E:E, D822)&gt;0, "Matched", "Unmatched"), IF(E822&gt;0, IF(COUNTIF(Income!F:F, E822)&gt;0, "Matched", "Unmatched"), "")))</f>
        <v/>
      </c>
    </row>
    <row r="823">
      <c r="D823" s="2"/>
      <c r="E823" s="2"/>
      <c r="F823" s="2"/>
      <c r="G823" s="3" t="str">
        <f t="shared" si="1"/>
        <v/>
      </c>
      <c r="H823" s="3" t="str">
        <f>IF(ISBLANK(A823), "", IF(D823&gt;0, IF(COUNTIF(Expenses!E:E, D823)&gt;0, "Matched", "Unmatched"), IF(E823&gt;0, IF(COUNTIF(Income!F:F, E823)&gt;0, "Matched", "Unmatched"), "")))</f>
        <v/>
      </c>
    </row>
    <row r="824">
      <c r="D824" s="2"/>
      <c r="E824" s="2"/>
      <c r="F824" s="2"/>
      <c r="G824" s="3" t="str">
        <f t="shared" si="1"/>
        <v/>
      </c>
      <c r="H824" s="3" t="str">
        <f>IF(ISBLANK(A824), "", IF(D824&gt;0, IF(COUNTIF(Expenses!E:E, D824)&gt;0, "Matched", "Unmatched"), IF(E824&gt;0, IF(COUNTIF(Income!F:F, E824)&gt;0, "Matched", "Unmatched"), "")))</f>
        <v/>
      </c>
    </row>
    <row r="825">
      <c r="D825" s="2"/>
      <c r="E825" s="2"/>
      <c r="F825" s="2"/>
      <c r="G825" s="3" t="str">
        <f t="shared" si="1"/>
        <v/>
      </c>
      <c r="H825" s="3" t="str">
        <f>IF(ISBLANK(A825), "", IF(D825&gt;0, IF(COUNTIF(Expenses!E:E, D825)&gt;0, "Matched", "Unmatched"), IF(E825&gt;0, IF(COUNTIF(Income!F:F, E825)&gt;0, "Matched", "Unmatched"), "")))</f>
        <v/>
      </c>
    </row>
    <row r="826">
      <c r="D826" s="2"/>
      <c r="E826" s="2"/>
      <c r="F826" s="2"/>
      <c r="G826" s="3" t="str">
        <f t="shared" si="1"/>
        <v/>
      </c>
      <c r="H826" s="3" t="str">
        <f>IF(ISBLANK(A826), "", IF(D826&gt;0, IF(COUNTIF(Expenses!E:E, D826)&gt;0, "Matched", "Unmatched"), IF(E826&gt;0, IF(COUNTIF(Income!F:F, E826)&gt;0, "Matched", "Unmatched"), "")))</f>
        <v/>
      </c>
    </row>
    <row r="827">
      <c r="D827" s="2"/>
      <c r="E827" s="2"/>
      <c r="F827" s="2"/>
      <c r="G827" s="3" t="str">
        <f t="shared" si="1"/>
        <v/>
      </c>
      <c r="H827" s="3" t="str">
        <f>IF(ISBLANK(A827), "", IF(D827&gt;0, IF(COUNTIF(Expenses!E:E, D827)&gt;0, "Matched", "Unmatched"), IF(E827&gt;0, IF(COUNTIF(Income!F:F, E827)&gt;0, "Matched", "Unmatched"), "")))</f>
        <v/>
      </c>
    </row>
    <row r="828">
      <c r="D828" s="2"/>
      <c r="E828" s="2"/>
      <c r="F828" s="2"/>
      <c r="G828" s="3" t="str">
        <f t="shared" si="1"/>
        <v/>
      </c>
      <c r="H828" s="3" t="str">
        <f>IF(ISBLANK(A828), "", IF(D828&gt;0, IF(COUNTIF(Expenses!E:E, D828)&gt;0, "Matched", "Unmatched"), IF(E828&gt;0, IF(COUNTIF(Income!F:F, E828)&gt;0, "Matched", "Unmatched"), "")))</f>
        <v/>
      </c>
    </row>
    <row r="829">
      <c r="D829" s="2"/>
      <c r="E829" s="2"/>
      <c r="F829" s="2"/>
      <c r="G829" s="3" t="str">
        <f t="shared" si="1"/>
        <v/>
      </c>
      <c r="H829" s="3" t="str">
        <f>IF(ISBLANK(A829), "", IF(D829&gt;0, IF(COUNTIF(Expenses!E:E, D829)&gt;0, "Matched", "Unmatched"), IF(E829&gt;0, IF(COUNTIF(Income!F:F, E829)&gt;0, "Matched", "Unmatched"), "")))</f>
        <v/>
      </c>
    </row>
    <row r="830">
      <c r="D830" s="2"/>
      <c r="E830" s="2"/>
      <c r="F830" s="2"/>
      <c r="G830" s="3" t="str">
        <f t="shared" si="1"/>
        <v/>
      </c>
      <c r="H830" s="3" t="str">
        <f>IF(ISBLANK(A830), "", IF(D830&gt;0, IF(COUNTIF(Expenses!E:E, D830)&gt;0, "Matched", "Unmatched"), IF(E830&gt;0, IF(COUNTIF(Income!F:F, E830)&gt;0, "Matched", "Unmatched"), "")))</f>
        <v/>
      </c>
    </row>
    <row r="831">
      <c r="D831" s="2"/>
      <c r="E831" s="2"/>
      <c r="F831" s="2"/>
      <c r="G831" s="3" t="str">
        <f t="shared" si="1"/>
        <v/>
      </c>
      <c r="H831" s="3" t="str">
        <f>IF(ISBLANK(A831), "", IF(D831&gt;0, IF(COUNTIF(Expenses!E:E, D831)&gt;0, "Matched", "Unmatched"), IF(E831&gt;0, IF(COUNTIF(Income!F:F, E831)&gt;0, "Matched", "Unmatched"), "")))</f>
        <v/>
      </c>
    </row>
    <row r="832">
      <c r="D832" s="2"/>
      <c r="E832" s="2"/>
      <c r="F832" s="2"/>
      <c r="G832" s="3" t="str">
        <f t="shared" si="1"/>
        <v/>
      </c>
      <c r="H832" s="3" t="str">
        <f>IF(ISBLANK(A832), "", IF(D832&gt;0, IF(COUNTIF(Expenses!E:E, D832)&gt;0, "Matched", "Unmatched"), IF(E832&gt;0, IF(COUNTIF(Income!F:F, E832)&gt;0, "Matched", "Unmatched"), "")))</f>
        <v/>
      </c>
    </row>
    <row r="833">
      <c r="D833" s="2"/>
      <c r="E833" s="2"/>
      <c r="F833" s="2"/>
      <c r="G833" s="3" t="str">
        <f t="shared" si="1"/>
        <v/>
      </c>
      <c r="H833" s="3" t="str">
        <f>IF(ISBLANK(A833), "", IF(D833&gt;0, IF(COUNTIF(Expenses!E:E, D833)&gt;0, "Matched", "Unmatched"), IF(E833&gt;0, IF(COUNTIF(Income!F:F, E833)&gt;0, "Matched", "Unmatched"), "")))</f>
        <v/>
      </c>
    </row>
    <row r="834">
      <c r="D834" s="2"/>
      <c r="E834" s="2"/>
      <c r="F834" s="2"/>
      <c r="G834" s="3" t="str">
        <f t="shared" si="1"/>
        <v/>
      </c>
      <c r="H834" s="3" t="str">
        <f>IF(ISBLANK(A834), "", IF(D834&gt;0, IF(COUNTIF(Expenses!E:E, D834)&gt;0, "Matched", "Unmatched"), IF(E834&gt;0, IF(COUNTIF(Income!F:F, E834)&gt;0, "Matched", "Unmatched"), "")))</f>
        <v/>
      </c>
    </row>
    <row r="835">
      <c r="D835" s="2"/>
      <c r="E835" s="2"/>
      <c r="F835" s="2"/>
      <c r="G835" s="3" t="str">
        <f t="shared" si="1"/>
        <v/>
      </c>
      <c r="H835" s="3" t="str">
        <f>IF(ISBLANK(A835), "", IF(D835&gt;0, IF(COUNTIF(Expenses!E:E, D835)&gt;0, "Matched", "Unmatched"), IF(E835&gt;0, IF(COUNTIF(Income!F:F, E835)&gt;0, "Matched", "Unmatched"), "")))</f>
        <v/>
      </c>
    </row>
    <row r="836">
      <c r="D836" s="2"/>
      <c r="E836" s="2"/>
      <c r="F836" s="2"/>
      <c r="G836" s="3" t="str">
        <f t="shared" si="1"/>
        <v/>
      </c>
      <c r="H836" s="3" t="str">
        <f>IF(ISBLANK(A836), "", IF(D836&gt;0, IF(COUNTIF(Expenses!E:E, D836)&gt;0, "Matched", "Unmatched"), IF(E836&gt;0, IF(COUNTIF(Income!F:F, E836)&gt;0, "Matched", "Unmatched"), "")))</f>
        <v/>
      </c>
    </row>
    <row r="837">
      <c r="D837" s="2"/>
      <c r="E837" s="2"/>
      <c r="F837" s="2"/>
      <c r="G837" s="3" t="str">
        <f t="shared" si="1"/>
        <v/>
      </c>
      <c r="H837" s="3" t="str">
        <f>IF(ISBLANK(A837), "", IF(D837&gt;0, IF(COUNTIF(Expenses!E:E, D837)&gt;0, "Matched", "Unmatched"), IF(E837&gt;0, IF(COUNTIF(Income!F:F, E837)&gt;0, "Matched", "Unmatched"), "")))</f>
        <v/>
      </c>
    </row>
    <row r="838">
      <c r="D838" s="2"/>
      <c r="E838" s="2"/>
      <c r="F838" s="2"/>
      <c r="G838" s="3" t="str">
        <f t="shared" si="1"/>
        <v/>
      </c>
      <c r="H838" s="3" t="str">
        <f>IF(ISBLANK(A838), "", IF(D838&gt;0, IF(COUNTIF(Expenses!E:E, D838)&gt;0, "Matched", "Unmatched"), IF(E838&gt;0, IF(COUNTIF(Income!F:F, E838)&gt;0, "Matched", "Unmatched"), "")))</f>
        <v/>
      </c>
    </row>
    <row r="839">
      <c r="D839" s="2"/>
      <c r="E839" s="2"/>
      <c r="F839" s="2"/>
      <c r="G839" s="3" t="str">
        <f t="shared" si="1"/>
        <v/>
      </c>
      <c r="H839" s="3" t="str">
        <f>IF(ISBLANK(A839), "", IF(D839&gt;0, IF(COUNTIF(Expenses!E:E, D839)&gt;0, "Matched", "Unmatched"), IF(E839&gt;0, IF(COUNTIF(Income!F:F, E839)&gt;0, "Matched", "Unmatched"), "")))</f>
        <v/>
      </c>
    </row>
    <row r="840">
      <c r="D840" s="2"/>
      <c r="E840" s="2"/>
      <c r="F840" s="2"/>
      <c r="G840" s="3" t="str">
        <f t="shared" si="1"/>
        <v/>
      </c>
      <c r="H840" s="3" t="str">
        <f>IF(ISBLANK(A840), "", IF(D840&gt;0, IF(COUNTIF(Expenses!E:E, D840)&gt;0, "Matched", "Unmatched"), IF(E840&gt;0, IF(COUNTIF(Income!F:F, E840)&gt;0, "Matched", "Unmatched"), "")))</f>
        <v/>
      </c>
    </row>
    <row r="841">
      <c r="D841" s="2"/>
      <c r="E841" s="2"/>
      <c r="F841" s="2"/>
      <c r="G841" s="3" t="str">
        <f t="shared" si="1"/>
        <v/>
      </c>
      <c r="H841" s="3" t="str">
        <f>IF(ISBLANK(A841), "", IF(D841&gt;0, IF(COUNTIF(Expenses!E:E, D841)&gt;0, "Matched", "Unmatched"), IF(E841&gt;0, IF(COUNTIF(Income!F:F, E841)&gt;0, "Matched", "Unmatched"), "")))</f>
        <v/>
      </c>
    </row>
    <row r="842">
      <c r="D842" s="2"/>
      <c r="E842" s="2"/>
      <c r="F842" s="2"/>
      <c r="G842" s="3" t="str">
        <f t="shared" si="1"/>
        <v/>
      </c>
      <c r="H842" s="3" t="str">
        <f>IF(ISBLANK(A842), "", IF(D842&gt;0, IF(COUNTIF(Expenses!E:E, D842)&gt;0, "Matched", "Unmatched"), IF(E842&gt;0, IF(COUNTIF(Income!F:F, E842)&gt;0, "Matched", "Unmatched"), "")))</f>
        <v/>
      </c>
    </row>
    <row r="843">
      <c r="D843" s="2"/>
      <c r="E843" s="2"/>
      <c r="F843" s="2"/>
      <c r="G843" s="3" t="str">
        <f t="shared" si="1"/>
        <v/>
      </c>
      <c r="H843" s="3" t="str">
        <f>IF(ISBLANK(A843), "", IF(D843&gt;0, IF(COUNTIF(Expenses!E:E, D843)&gt;0, "Matched", "Unmatched"), IF(E843&gt;0, IF(COUNTIF(Income!F:F, E843)&gt;0, "Matched", "Unmatched"), "")))</f>
        <v/>
      </c>
    </row>
    <row r="844">
      <c r="D844" s="2"/>
      <c r="E844" s="2"/>
      <c r="F844" s="2"/>
      <c r="G844" s="3" t="str">
        <f t="shared" si="1"/>
        <v/>
      </c>
      <c r="H844" s="3" t="str">
        <f>IF(ISBLANK(A844), "", IF(D844&gt;0, IF(COUNTIF(Expenses!E:E, D844)&gt;0, "Matched", "Unmatched"), IF(E844&gt;0, IF(COUNTIF(Income!F:F, E844)&gt;0, "Matched", "Unmatched"), "")))</f>
        <v/>
      </c>
    </row>
    <row r="845">
      <c r="D845" s="2"/>
      <c r="E845" s="2"/>
      <c r="F845" s="2"/>
      <c r="G845" s="3" t="str">
        <f t="shared" si="1"/>
        <v/>
      </c>
      <c r="H845" s="3" t="str">
        <f>IF(ISBLANK(A845), "", IF(D845&gt;0, IF(COUNTIF(Expenses!E:E, D845)&gt;0, "Matched", "Unmatched"), IF(E845&gt;0, IF(COUNTIF(Income!F:F, E845)&gt;0, "Matched", "Unmatched"), "")))</f>
        <v/>
      </c>
    </row>
    <row r="846">
      <c r="D846" s="2"/>
      <c r="E846" s="2"/>
      <c r="F846" s="2"/>
      <c r="G846" s="3" t="str">
        <f t="shared" si="1"/>
        <v/>
      </c>
      <c r="H846" s="3" t="str">
        <f>IF(ISBLANK(A846), "", IF(D846&gt;0, IF(COUNTIF(Expenses!E:E, D846)&gt;0, "Matched", "Unmatched"), IF(E846&gt;0, IF(COUNTIF(Income!F:F, E846)&gt;0, "Matched", "Unmatched"), "")))</f>
        <v/>
      </c>
    </row>
    <row r="847">
      <c r="D847" s="2"/>
      <c r="E847" s="2"/>
      <c r="F847" s="2"/>
      <c r="G847" s="3" t="str">
        <f t="shared" si="1"/>
        <v/>
      </c>
      <c r="H847" s="3" t="str">
        <f>IF(ISBLANK(A847), "", IF(D847&gt;0, IF(COUNTIF(Expenses!E:E, D847)&gt;0, "Matched", "Unmatched"), IF(E847&gt;0, IF(COUNTIF(Income!F:F, E847)&gt;0, "Matched", "Unmatched"), "")))</f>
        <v/>
      </c>
    </row>
    <row r="848">
      <c r="D848" s="2"/>
      <c r="E848" s="2"/>
      <c r="F848" s="2"/>
      <c r="G848" s="3" t="str">
        <f t="shared" si="1"/>
        <v/>
      </c>
      <c r="H848" s="3" t="str">
        <f>IF(ISBLANK(A848), "", IF(D848&gt;0, IF(COUNTIF(Expenses!E:E, D848)&gt;0, "Matched", "Unmatched"), IF(E848&gt;0, IF(COUNTIF(Income!F:F, E848)&gt;0, "Matched", "Unmatched"), "")))</f>
        <v/>
      </c>
    </row>
    <row r="849">
      <c r="D849" s="2"/>
      <c r="E849" s="2"/>
      <c r="F849" s="2"/>
      <c r="G849" s="3" t="str">
        <f t="shared" si="1"/>
        <v/>
      </c>
      <c r="H849" s="3" t="str">
        <f>IF(ISBLANK(A849), "", IF(D849&gt;0, IF(COUNTIF(Expenses!E:E, D849)&gt;0, "Matched", "Unmatched"), IF(E849&gt;0, IF(COUNTIF(Income!F:F, E849)&gt;0, "Matched", "Unmatched"), "")))</f>
        <v/>
      </c>
    </row>
    <row r="850">
      <c r="D850" s="2"/>
      <c r="E850" s="2"/>
      <c r="F850" s="2"/>
      <c r="G850" s="3" t="str">
        <f t="shared" si="1"/>
        <v/>
      </c>
      <c r="H850" s="3" t="str">
        <f>IF(ISBLANK(A850), "", IF(D850&gt;0, IF(COUNTIF(Expenses!E:E, D850)&gt;0, "Matched", "Unmatched"), IF(E850&gt;0, IF(COUNTIF(Income!F:F, E850)&gt;0, "Matched", "Unmatched"), "")))</f>
        <v/>
      </c>
    </row>
    <row r="851">
      <c r="D851" s="2"/>
      <c r="E851" s="2"/>
      <c r="F851" s="2"/>
      <c r="G851" s="3" t="str">
        <f t="shared" si="1"/>
        <v/>
      </c>
      <c r="H851" s="3" t="str">
        <f>IF(ISBLANK(A851), "", IF(D851&gt;0, IF(COUNTIF(Expenses!E:E, D851)&gt;0, "Matched", "Unmatched"), IF(E851&gt;0, IF(COUNTIF(Income!F:F, E851)&gt;0, "Matched", "Unmatched"), "")))</f>
        <v/>
      </c>
    </row>
    <row r="852">
      <c r="D852" s="2"/>
      <c r="E852" s="2"/>
      <c r="F852" s="2"/>
      <c r="G852" s="3" t="str">
        <f t="shared" si="1"/>
        <v/>
      </c>
      <c r="H852" s="3" t="str">
        <f>IF(ISBLANK(A852), "", IF(D852&gt;0, IF(COUNTIF(Expenses!E:E, D852)&gt;0, "Matched", "Unmatched"), IF(E852&gt;0, IF(COUNTIF(Income!F:F, E852)&gt;0, "Matched", "Unmatched"), "")))</f>
        <v/>
      </c>
    </row>
    <row r="853">
      <c r="D853" s="2"/>
      <c r="E853" s="2"/>
      <c r="F853" s="2"/>
      <c r="G853" s="3" t="str">
        <f t="shared" si="1"/>
        <v/>
      </c>
      <c r="H853" s="3" t="str">
        <f>IF(ISBLANK(A853), "", IF(D853&gt;0, IF(COUNTIF(Expenses!E:E, D853)&gt;0, "Matched", "Unmatched"), IF(E853&gt;0, IF(COUNTIF(Income!F:F, E853)&gt;0, "Matched", "Unmatched"), "")))</f>
        <v/>
      </c>
    </row>
    <row r="854">
      <c r="D854" s="2"/>
      <c r="E854" s="2"/>
      <c r="F854" s="2"/>
      <c r="G854" s="3" t="str">
        <f t="shared" si="1"/>
        <v/>
      </c>
      <c r="H854" s="3" t="str">
        <f>IF(ISBLANK(A854), "", IF(D854&gt;0, IF(COUNTIF(Expenses!E:E, D854)&gt;0, "Matched", "Unmatched"), IF(E854&gt;0, IF(COUNTIF(Income!F:F, E854)&gt;0, "Matched", "Unmatched"), "")))</f>
        <v/>
      </c>
    </row>
    <row r="855">
      <c r="D855" s="2"/>
      <c r="E855" s="2"/>
      <c r="F855" s="2"/>
      <c r="G855" s="3" t="str">
        <f t="shared" si="1"/>
        <v/>
      </c>
      <c r="H855" s="3" t="str">
        <f>IF(ISBLANK(A855), "", IF(D855&gt;0, IF(COUNTIF(Expenses!E:E, D855)&gt;0, "Matched", "Unmatched"), IF(E855&gt;0, IF(COUNTIF(Income!F:F, E855)&gt;0, "Matched", "Unmatched"), "")))</f>
        <v/>
      </c>
    </row>
    <row r="856">
      <c r="D856" s="2"/>
      <c r="E856" s="2"/>
      <c r="F856" s="2"/>
      <c r="G856" s="3" t="str">
        <f t="shared" si="1"/>
        <v/>
      </c>
      <c r="H856" s="3" t="str">
        <f>IF(ISBLANK(A856), "", IF(D856&gt;0, IF(COUNTIF(Expenses!E:E, D856)&gt;0, "Matched", "Unmatched"), IF(E856&gt;0, IF(COUNTIF(Income!F:F, E856)&gt;0, "Matched", "Unmatched"), "")))</f>
        <v/>
      </c>
    </row>
    <row r="857">
      <c r="D857" s="2"/>
      <c r="E857" s="2"/>
      <c r="F857" s="2"/>
      <c r="G857" s="3" t="str">
        <f t="shared" si="1"/>
        <v/>
      </c>
      <c r="H857" s="3" t="str">
        <f>IF(ISBLANK(A857), "", IF(D857&gt;0, IF(COUNTIF(Expenses!E:E, D857)&gt;0, "Matched", "Unmatched"), IF(E857&gt;0, IF(COUNTIF(Income!F:F, E857)&gt;0, "Matched", "Unmatched"), "")))</f>
        <v/>
      </c>
    </row>
    <row r="858">
      <c r="D858" s="2"/>
      <c r="E858" s="2"/>
      <c r="F858" s="2"/>
      <c r="G858" s="3" t="str">
        <f t="shared" si="1"/>
        <v/>
      </c>
      <c r="H858" s="3" t="str">
        <f>IF(ISBLANK(A858), "", IF(D858&gt;0, IF(COUNTIF(Expenses!E:E, D858)&gt;0, "Matched", "Unmatched"), IF(E858&gt;0, IF(COUNTIF(Income!F:F, E858)&gt;0, "Matched", "Unmatched"), "")))</f>
        <v/>
      </c>
    </row>
    <row r="859">
      <c r="D859" s="2"/>
      <c r="E859" s="2"/>
      <c r="F859" s="2"/>
      <c r="G859" s="3" t="str">
        <f t="shared" si="1"/>
        <v/>
      </c>
      <c r="H859" s="3" t="str">
        <f>IF(ISBLANK(A859), "", IF(D859&gt;0, IF(COUNTIF(Expenses!E:E, D859)&gt;0, "Matched", "Unmatched"), IF(E859&gt;0, IF(COUNTIF(Income!F:F, E859)&gt;0, "Matched", "Unmatched"), "")))</f>
        <v/>
      </c>
    </row>
    <row r="860">
      <c r="D860" s="2"/>
      <c r="E860" s="2"/>
      <c r="F860" s="2"/>
      <c r="G860" s="3" t="str">
        <f t="shared" si="1"/>
        <v/>
      </c>
      <c r="H860" s="3" t="str">
        <f>IF(ISBLANK(A860), "", IF(D860&gt;0, IF(COUNTIF(Expenses!E:E, D860)&gt;0, "Matched", "Unmatched"), IF(E860&gt;0, IF(COUNTIF(Income!F:F, E860)&gt;0, "Matched", "Unmatched"), "")))</f>
        <v/>
      </c>
    </row>
    <row r="861">
      <c r="D861" s="2"/>
      <c r="E861" s="2"/>
      <c r="F861" s="2"/>
      <c r="G861" s="3" t="str">
        <f t="shared" si="1"/>
        <v/>
      </c>
      <c r="H861" s="3" t="str">
        <f>IF(ISBLANK(A861), "", IF(D861&gt;0, IF(COUNTIF(Expenses!E:E, D861)&gt;0, "Matched", "Unmatched"), IF(E861&gt;0, IF(COUNTIF(Income!F:F, E861)&gt;0, "Matched", "Unmatched"), "")))</f>
        <v/>
      </c>
    </row>
    <row r="862">
      <c r="D862" s="2"/>
      <c r="E862" s="2"/>
      <c r="F862" s="2"/>
      <c r="G862" s="3" t="str">
        <f t="shared" si="1"/>
        <v/>
      </c>
      <c r="H862" s="3" t="str">
        <f>IF(ISBLANK(A862), "", IF(D862&gt;0, IF(COUNTIF(Expenses!E:E, D862)&gt;0, "Matched", "Unmatched"), IF(E862&gt;0, IF(COUNTIF(Income!F:F, E862)&gt;0, "Matched", "Unmatched"), "")))</f>
        <v/>
      </c>
    </row>
    <row r="863">
      <c r="D863" s="2"/>
      <c r="E863" s="2"/>
      <c r="F863" s="2"/>
      <c r="G863" s="3" t="str">
        <f t="shared" si="1"/>
        <v/>
      </c>
      <c r="H863" s="3" t="str">
        <f>IF(ISBLANK(A863), "", IF(D863&gt;0, IF(COUNTIF(Expenses!E:E, D863)&gt;0, "Matched", "Unmatched"), IF(E863&gt;0, IF(COUNTIF(Income!F:F, E863)&gt;0, "Matched", "Unmatched"), "")))</f>
        <v/>
      </c>
    </row>
    <row r="864">
      <c r="D864" s="2"/>
      <c r="E864" s="2"/>
      <c r="F864" s="2"/>
      <c r="G864" s="3" t="str">
        <f t="shared" si="1"/>
        <v/>
      </c>
      <c r="H864" s="3" t="str">
        <f>IF(ISBLANK(A864), "", IF(D864&gt;0, IF(COUNTIF(Expenses!E:E, D864)&gt;0, "Matched", "Unmatched"), IF(E864&gt;0, IF(COUNTIF(Income!F:F, E864)&gt;0, "Matched", "Unmatched"), "")))</f>
        <v/>
      </c>
    </row>
    <row r="865">
      <c r="D865" s="2"/>
      <c r="E865" s="2"/>
      <c r="F865" s="2"/>
      <c r="G865" s="3" t="str">
        <f t="shared" si="1"/>
        <v/>
      </c>
      <c r="H865" s="3" t="str">
        <f>IF(ISBLANK(A865), "", IF(D865&gt;0, IF(COUNTIF(Expenses!E:E, D865)&gt;0, "Matched", "Unmatched"), IF(E865&gt;0, IF(COUNTIF(Income!F:F, E865)&gt;0, "Matched", "Unmatched"), "")))</f>
        <v/>
      </c>
    </row>
    <row r="866">
      <c r="D866" s="2"/>
      <c r="E866" s="2"/>
      <c r="F866" s="2"/>
      <c r="G866" s="3" t="str">
        <f t="shared" si="1"/>
        <v/>
      </c>
      <c r="H866" s="3" t="str">
        <f>IF(ISBLANK(A866), "", IF(D866&gt;0, IF(COUNTIF(Expenses!E:E, D866)&gt;0, "Matched", "Unmatched"), IF(E866&gt;0, IF(COUNTIF(Income!F:F, E866)&gt;0, "Matched", "Unmatched"), "")))</f>
        <v/>
      </c>
    </row>
    <row r="867">
      <c r="D867" s="2"/>
      <c r="E867" s="2"/>
      <c r="F867" s="2"/>
      <c r="G867" s="3" t="str">
        <f t="shared" si="1"/>
        <v/>
      </c>
      <c r="H867" s="3" t="str">
        <f>IF(ISBLANK(A867), "", IF(D867&gt;0, IF(COUNTIF(Expenses!E:E, D867)&gt;0, "Matched", "Unmatched"), IF(E867&gt;0, IF(COUNTIF(Income!F:F, E867)&gt;0, "Matched", "Unmatched"), "")))</f>
        <v/>
      </c>
    </row>
    <row r="868">
      <c r="D868" s="2"/>
      <c r="E868" s="2"/>
      <c r="F868" s="2"/>
      <c r="G868" s="3" t="str">
        <f t="shared" si="1"/>
        <v/>
      </c>
      <c r="H868" s="3" t="str">
        <f>IF(ISBLANK(A868), "", IF(D868&gt;0, IF(COUNTIF(Expenses!E:E, D868)&gt;0, "Matched", "Unmatched"), IF(E868&gt;0, IF(COUNTIF(Income!F:F, E868)&gt;0, "Matched", "Unmatched"), "")))</f>
        <v/>
      </c>
    </row>
    <row r="869">
      <c r="D869" s="2"/>
      <c r="E869" s="2"/>
      <c r="F869" s="2"/>
      <c r="G869" s="3" t="str">
        <f t="shared" si="1"/>
        <v/>
      </c>
      <c r="H869" s="3" t="str">
        <f>IF(ISBLANK(A869), "", IF(D869&gt;0, IF(COUNTIF(Expenses!E:E, D869)&gt;0, "Matched", "Unmatched"), IF(E869&gt;0, IF(COUNTIF(Income!F:F, E869)&gt;0, "Matched", "Unmatched"), "")))</f>
        <v/>
      </c>
    </row>
    <row r="870">
      <c r="D870" s="2"/>
      <c r="E870" s="2"/>
      <c r="F870" s="2"/>
      <c r="G870" s="3" t="str">
        <f t="shared" si="1"/>
        <v/>
      </c>
      <c r="H870" s="3" t="str">
        <f>IF(ISBLANK(A870), "", IF(D870&gt;0, IF(COUNTIF(Expenses!E:E, D870)&gt;0, "Matched", "Unmatched"), IF(E870&gt;0, IF(COUNTIF(Income!F:F, E870)&gt;0, "Matched", "Unmatched"), "")))</f>
        <v/>
      </c>
    </row>
    <row r="871">
      <c r="D871" s="2"/>
      <c r="E871" s="2"/>
      <c r="F871" s="2"/>
      <c r="G871" s="3" t="str">
        <f t="shared" si="1"/>
        <v/>
      </c>
      <c r="H871" s="3" t="str">
        <f>IF(ISBLANK(A871), "", IF(D871&gt;0, IF(COUNTIF(Expenses!E:E, D871)&gt;0, "Matched", "Unmatched"), IF(E871&gt;0, IF(COUNTIF(Income!F:F, E871)&gt;0, "Matched", "Unmatched"), "")))</f>
        <v/>
      </c>
    </row>
    <row r="872">
      <c r="D872" s="2"/>
      <c r="E872" s="2"/>
      <c r="F872" s="2"/>
      <c r="G872" s="3" t="str">
        <f t="shared" si="1"/>
        <v/>
      </c>
      <c r="H872" s="3" t="str">
        <f>IF(ISBLANK(A872), "", IF(D872&gt;0, IF(COUNTIF(Expenses!E:E, D872)&gt;0, "Matched", "Unmatched"), IF(E872&gt;0, IF(COUNTIF(Income!F:F, E872)&gt;0, "Matched", "Unmatched"), "")))</f>
        <v/>
      </c>
    </row>
    <row r="873">
      <c r="D873" s="2"/>
      <c r="E873" s="2"/>
      <c r="F873" s="2"/>
      <c r="G873" s="3" t="str">
        <f t="shared" si="1"/>
        <v/>
      </c>
      <c r="H873" s="3" t="str">
        <f>IF(ISBLANK(A873), "", IF(D873&gt;0, IF(COUNTIF(Expenses!E:E, D873)&gt;0, "Matched", "Unmatched"), IF(E873&gt;0, IF(COUNTIF(Income!F:F, E873)&gt;0, "Matched", "Unmatched"), "")))</f>
        <v/>
      </c>
    </row>
    <row r="874">
      <c r="D874" s="2"/>
      <c r="E874" s="2"/>
      <c r="F874" s="2"/>
      <c r="G874" s="3" t="str">
        <f t="shared" si="1"/>
        <v/>
      </c>
      <c r="H874" s="3" t="str">
        <f>IF(ISBLANK(A874), "", IF(D874&gt;0, IF(COUNTIF(Expenses!E:E, D874)&gt;0, "Matched", "Unmatched"), IF(E874&gt;0, IF(COUNTIF(Income!F:F, E874)&gt;0, "Matched", "Unmatched"), "")))</f>
        <v/>
      </c>
    </row>
    <row r="875">
      <c r="D875" s="2"/>
      <c r="E875" s="2"/>
      <c r="F875" s="2"/>
      <c r="G875" s="3" t="str">
        <f t="shared" si="1"/>
        <v/>
      </c>
      <c r="H875" s="3" t="str">
        <f>IF(ISBLANK(A875), "", IF(D875&gt;0, IF(COUNTIF(Expenses!E:E, D875)&gt;0, "Matched", "Unmatched"), IF(E875&gt;0, IF(COUNTIF(Income!F:F, E875)&gt;0, "Matched", "Unmatched"), "")))</f>
        <v/>
      </c>
    </row>
    <row r="876">
      <c r="D876" s="2"/>
      <c r="E876" s="2"/>
      <c r="F876" s="2"/>
      <c r="G876" s="3" t="str">
        <f t="shared" si="1"/>
        <v/>
      </c>
      <c r="H876" s="3" t="str">
        <f>IF(ISBLANK(A876), "", IF(D876&gt;0, IF(COUNTIF(Expenses!E:E, D876)&gt;0, "Matched", "Unmatched"), IF(E876&gt;0, IF(COUNTIF(Income!F:F, E876)&gt;0, "Matched", "Unmatched"), "")))</f>
        <v/>
      </c>
    </row>
    <row r="877">
      <c r="D877" s="2"/>
      <c r="E877" s="2"/>
      <c r="F877" s="2"/>
      <c r="G877" s="3" t="str">
        <f t="shared" si="1"/>
        <v/>
      </c>
      <c r="H877" s="3" t="str">
        <f>IF(ISBLANK(A877), "", IF(D877&gt;0, IF(COUNTIF(Expenses!E:E, D877)&gt;0, "Matched", "Unmatched"), IF(E877&gt;0, IF(COUNTIF(Income!F:F, E877)&gt;0, "Matched", "Unmatched"), "")))</f>
        <v/>
      </c>
    </row>
    <row r="878">
      <c r="D878" s="2"/>
      <c r="E878" s="2"/>
      <c r="F878" s="2"/>
      <c r="G878" s="3" t="str">
        <f t="shared" si="1"/>
        <v/>
      </c>
      <c r="H878" s="3" t="str">
        <f>IF(ISBLANK(A878), "", IF(D878&gt;0, IF(COUNTIF(Expenses!E:E, D878)&gt;0, "Matched", "Unmatched"), IF(E878&gt;0, IF(COUNTIF(Income!F:F, E878)&gt;0, "Matched", "Unmatched"), "")))</f>
        <v/>
      </c>
    </row>
    <row r="879">
      <c r="D879" s="2"/>
      <c r="E879" s="2"/>
      <c r="F879" s="2"/>
      <c r="G879" s="3" t="str">
        <f t="shared" si="1"/>
        <v/>
      </c>
      <c r="H879" s="3" t="str">
        <f>IF(ISBLANK(A879), "", IF(D879&gt;0, IF(COUNTIF(Expenses!E:E, D879)&gt;0, "Matched", "Unmatched"), IF(E879&gt;0, IF(COUNTIF(Income!F:F, E879)&gt;0, "Matched", "Unmatched"), "")))</f>
        <v/>
      </c>
    </row>
    <row r="880">
      <c r="D880" s="2"/>
      <c r="E880" s="2"/>
      <c r="F880" s="2"/>
      <c r="G880" s="3" t="str">
        <f t="shared" si="1"/>
        <v/>
      </c>
      <c r="H880" s="3" t="str">
        <f>IF(ISBLANK(A880), "", IF(D880&gt;0, IF(COUNTIF(Expenses!E:E, D880)&gt;0, "Matched", "Unmatched"), IF(E880&gt;0, IF(COUNTIF(Income!F:F, E880)&gt;0, "Matched", "Unmatched"), "")))</f>
        <v/>
      </c>
    </row>
    <row r="881">
      <c r="D881" s="2"/>
      <c r="E881" s="2"/>
      <c r="F881" s="2"/>
      <c r="G881" s="3" t="str">
        <f t="shared" si="1"/>
        <v/>
      </c>
      <c r="H881" s="3" t="str">
        <f>IF(ISBLANK(A881), "", IF(D881&gt;0, IF(COUNTIF(Expenses!E:E, D881)&gt;0, "Matched", "Unmatched"), IF(E881&gt;0, IF(COUNTIF(Income!F:F, E881)&gt;0, "Matched", "Unmatched"), "")))</f>
        <v/>
      </c>
    </row>
    <row r="882">
      <c r="D882" s="2"/>
      <c r="E882" s="2"/>
      <c r="F882" s="2"/>
      <c r="G882" s="3" t="str">
        <f t="shared" si="1"/>
        <v/>
      </c>
      <c r="H882" s="3" t="str">
        <f>IF(ISBLANK(A882), "", IF(D882&gt;0, IF(COUNTIF(Expenses!E:E, D882)&gt;0, "Matched", "Unmatched"), IF(E882&gt;0, IF(COUNTIF(Income!F:F, E882)&gt;0, "Matched", "Unmatched"), "")))</f>
        <v/>
      </c>
    </row>
    <row r="883">
      <c r="D883" s="2"/>
      <c r="E883" s="2"/>
      <c r="F883" s="2"/>
      <c r="G883" s="3" t="str">
        <f t="shared" si="1"/>
        <v/>
      </c>
      <c r="H883" s="3" t="str">
        <f>IF(ISBLANK(A883), "", IF(D883&gt;0, IF(COUNTIF(Expenses!E:E, D883)&gt;0, "Matched", "Unmatched"), IF(E883&gt;0, IF(COUNTIF(Income!F:F, E883)&gt;0, "Matched", "Unmatched"), "")))</f>
        <v/>
      </c>
    </row>
    <row r="884">
      <c r="D884" s="2"/>
      <c r="E884" s="2"/>
      <c r="F884" s="2"/>
      <c r="G884" s="3" t="str">
        <f t="shared" si="1"/>
        <v/>
      </c>
      <c r="H884" s="3" t="str">
        <f>IF(ISBLANK(A884), "", IF(D884&gt;0, IF(COUNTIF(Expenses!E:E, D884)&gt;0, "Matched", "Unmatched"), IF(E884&gt;0, IF(COUNTIF(Income!F:F, E884)&gt;0, "Matched", "Unmatched"), "")))</f>
        <v/>
      </c>
    </row>
    <row r="885">
      <c r="D885" s="2"/>
      <c r="E885" s="2"/>
      <c r="F885" s="2"/>
      <c r="G885" s="3" t="str">
        <f t="shared" si="1"/>
        <v/>
      </c>
      <c r="H885" s="3" t="str">
        <f>IF(ISBLANK(A885), "", IF(D885&gt;0, IF(COUNTIF(Expenses!E:E, D885)&gt;0, "Matched", "Unmatched"), IF(E885&gt;0, IF(COUNTIF(Income!F:F, E885)&gt;0, "Matched", "Unmatched"), "")))</f>
        <v/>
      </c>
    </row>
    <row r="886">
      <c r="D886" s="2"/>
      <c r="E886" s="2"/>
      <c r="F886" s="2"/>
      <c r="G886" s="3" t="str">
        <f t="shared" si="1"/>
        <v/>
      </c>
      <c r="H886" s="3" t="str">
        <f>IF(ISBLANK(A886), "", IF(D886&gt;0, IF(COUNTIF(Expenses!E:E, D886)&gt;0, "Matched", "Unmatched"), IF(E886&gt;0, IF(COUNTIF(Income!F:F, E886)&gt;0, "Matched", "Unmatched"), "")))</f>
        <v/>
      </c>
    </row>
    <row r="887">
      <c r="D887" s="2"/>
      <c r="E887" s="2"/>
      <c r="F887" s="2"/>
      <c r="G887" s="3" t="str">
        <f t="shared" si="1"/>
        <v/>
      </c>
      <c r="H887" s="3" t="str">
        <f>IF(ISBLANK(A887), "", IF(D887&gt;0, IF(COUNTIF(Expenses!E:E, D887)&gt;0, "Matched", "Unmatched"), IF(E887&gt;0, IF(COUNTIF(Income!F:F, E887)&gt;0, "Matched", "Unmatched"), "")))</f>
        <v/>
      </c>
    </row>
    <row r="888">
      <c r="D888" s="2"/>
      <c r="E888" s="2"/>
      <c r="F888" s="2"/>
      <c r="G888" s="3" t="str">
        <f t="shared" si="1"/>
        <v/>
      </c>
      <c r="H888" s="3" t="str">
        <f>IF(ISBLANK(A888), "", IF(D888&gt;0, IF(COUNTIF(Expenses!E:E, D888)&gt;0, "Matched", "Unmatched"), IF(E888&gt;0, IF(COUNTIF(Income!F:F, E888)&gt;0, "Matched", "Unmatched"), "")))</f>
        <v/>
      </c>
    </row>
    <row r="889">
      <c r="D889" s="2"/>
      <c r="E889" s="2"/>
      <c r="F889" s="2"/>
      <c r="G889" s="3" t="str">
        <f t="shared" si="1"/>
        <v/>
      </c>
      <c r="H889" s="3" t="str">
        <f>IF(ISBLANK(A889), "", IF(D889&gt;0, IF(COUNTIF(Expenses!E:E, D889)&gt;0, "Matched", "Unmatched"), IF(E889&gt;0, IF(COUNTIF(Income!F:F, E889)&gt;0, "Matched", "Unmatched"), "")))</f>
        <v/>
      </c>
    </row>
    <row r="890">
      <c r="D890" s="2"/>
      <c r="E890" s="2"/>
      <c r="F890" s="2"/>
      <c r="G890" s="3" t="str">
        <f t="shared" si="1"/>
        <v/>
      </c>
      <c r="H890" s="3" t="str">
        <f>IF(ISBLANK(A890), "", IF(D890&gt;0, IF(COUNTIF(Expenses!E:E, D890)&gt;0, "Matched", "Unmatched"), IF(E890&gt;0, IF(COUNTIF(Income!F:F, E890)&gt;0, "Matched", "Unmatched"), "")))</f>
        <v/>
      </c>
    </row>
    <row r="891">
      <c r="D891" s="2"/>
      <c r="E891" s="2"/>
      <c r="F891" s="2"/>
      <c r="G891" s="3" t="str">
        <f t="shared" si="1"/>
        <v/>
      </c>
      <c r="H891" s="3" t="str">
        <f>IF(ISBLANK(A891), "", IF(D891&gt;0, IF(COUNTIF(Expenses!E:E, D891)&gt;0, "Matched", "Unmatched"), IF(E891&gt;0, IF(COUNTIF(Income!F:F, E891)&gt;0, "Matched", "Unmatched"), "")))</f>
        <v/>
      </c>
    </row>
    <row r="892">
      <c r="D892" s="2"/>
      <c r="E892" s="2"/>
      <c r="F892" s="2"/>
      <c r="G892" s="3" t="str">
        <f t="shared" si="1"/>
        <v/>
      </c>
      <c r="H892" s="3" t="str">
        <f>IF(ISBLANK(A892), "", IF(D892&gt;0, IF(COUNTIF(Expenses!E:E, D892)&gt;0, "Matched", "Unmatched"), IF(E892&gt;0, IF(COUNTIF(Income!F:F, E892)&gt;0, "Matched", "Unmatched"), "")))</f>
        <v/>
      </c>
    </row>
    <row r="893">
      <c r="D893" s="2"/>
      <c r="E893" s="2"/>
      <c r="F893" s="2"/>
      <c r="G893" s="3" t="str">
        <f t="shared" si="1"/>
        <v/>
      </c>
      <c r="H893" s="3" t="str">
        <f>IF(ISBLANK(A893), "", IF(D893&gt;0, IF(COUNTIF(Expenses!E:E, D893)&gt;0, "Matched", "Unmatched"), IF(E893&gt;0, IF(COUNTIF(Income!F:F, E893)&gt;0, "Matched", "Unmatched"), "")))</f>
        <v/>
      </c>
    </row>
    <row r="894">
      <c r="D894" s="2"/>
      <c r="E894" s="2"/>
      <c r="F894" s="2"/>
      <c r="G894" s="3" t="str">
        <f t="shared" si="1"/>
        <v/>
      </c>
      <c r="H894" s="3" t="str">
        <f>IF(ISBLANK(A894), "", IF(D894&gt;0, IF(COUNTIF(Expenses!E:E, D894)&gt;0, "Matched", "Unmatched"), IF(E894&gt;0, IF(COUNTIF(Income!F:F, E894)&gt;0, "Matched", "Unmatched"), "")))</f>
        <v/>
      </c>
    </row>
    <row r="895">
      <c r="D895" s="2"/>
      <c r="E895" s="2"/>
      <c r="F895" s="2"/>
      <c r="G895" s="3" t="str">
        <f t="shared" si="1"/>
        <v/>
      </c>
      <c r="H895" s="3" t="str">
        <f>IF(ISBLANK(A895), "", IF(D895&gt;0, IF(COUNTIF(Expenses!E:E, D895)&gt;0, "Matched", "Unmatched"), IF(E895&gt;0, IF(COUNTIF(Income!F:F, E895)&gt;0, "Matched", "Unmatched"), "")))</f>
        <v/>
      </c>
    </row>
    <row r="896">
      <c r="D896" s="2"/>
      <c r="E896" s="2"/>
      <c r="F896" s="2"/>
      <c r="G896" s="3" t="str">
        <f t="shared" si="1"/>
        <v/>
      </c>
      <c r="H896" s="3" t="str">
        <f>IF(ISBLANK(A896), "", IF(D896&gt;0, IF(COUNTIF(Expenses!E:E, D896)&gt;0, "Matched", "Unmatched"), IF(E896&gt;0, IF(COUNTIF(Income!F:F, E896)&gt;0, "Matched", "Unmatched"), "")))</f>
        <v/>
      </c>
    </row>
    <row r="897">
      <c r="D897" s="2"/>
      <c r="E897" s="2"/>
      <c r="F897" s="2"/>
      <c r="G897" s="3" t="str">
        <f t="shared" si="1"/>
        <v/>
      </c>
      <c r="H897" s="3" t="str">
        <f>IF(ISBLANK(A897), "", IF(D897&gt;0, IF(COUNTIF(Expenses!E:E, D897)&gt;0, "Matched", "Unmatched"), IF(E897&gt;0, IF(COUNTIF(Income!F:F, E897)&gt;0, "Matched", "Unmatched"), "")))</f>
        <v/>
      </c>
    </row>
    <row r="898">
      <c r="D898" s="2"/>
      <c r="E898" s="2"/>
      <c r="F898" s="2"/>
      <c r="G898" s="3" t="str">
        <f t="shared" si="1"/>
        <v/>
      </c>
      <c r="H898" s="3" t="str">
        <f>IF(ISBLANK(A898), "", IF(D898&gt;0, IF(COUNTIF(Expenses!E:E, D898)&gt;0, "Matched", "Unmatched"), IF(E898&gt;0, IF(COUNTIF(Income!F:F, E898)&gt;0, "Matched", "Unmatched"), "")))</f>
        <v/>
      </c>
    </row>
    <row r="899">
      <c r="D899" s="2"/>
      <c r="E899" s="2"/>
      <c r="F899" s="2"/>
      <c r="G899" s="3" t="str">
        <f t="shared" si="1"/>
        <v/>
      </c>
      <c r="H899" s="3" t="str">
        <f>IF(ISBLANK(A899), "", IF(D899&gt;0, IF(COUNTIF(Expenses!E:E, D899)&gt;0, "Matched", "Unmatched"), IF(E899&gt;0, IF(COUNTIF(Income!F:F, E899)&gt;0, "Matched", "Unmatched"), "")))</f>
        <v/>
      </c>
    </row>
    <row r="900">
      <c r="D900" s="2"/>
      <c r="E900" s="2"/>
      <c r="F900" s="2"/>
      <c r="G900" s="3" t="str">
        <f t="shared" si="1"/>
        <v/>
      </c>
      <c r="H900" s="3" t="str">
        <f>IF(ISBLANK(A900), "", IF(D900&gt;0, IF(COUNTIF(Expenses!E:E, D900)&gt;0, "Matched", "Unmatched"), IF(E900&gt;0, IF(COUNTIF(Income!F:F, E900)&gt;0, "Matched", "Unmatched"), "")))</f>
        <v/>
      </c>
    </row>
    <row r="901">
      <c r="D901" s="2"/>
      <c r="E901" s="2"/>
      <c r="F901" s="2"/>
      <c r="G901" s="3" t="str">
        <f t="shared" si="1"/>
        <v/>
      </c>
      <c r="H901" s="3" t="str">
        <f>IF(ISBLANK(A901), "", IF(D901&gt;0, IF(COUNTIF(Expenses!E:E, D901)&gt;0, "Matched", "Unmatched"), IF(E901&gt;0, IF(COUNTIF(Income!F:F, E901)&gt;0, "Matched", "Unmatched"), "")))</f>
        <v/>
      </c>
    </row>
    <row r="902">
      <c r="D902" s="2"/>
      <c r="E902" s="2"/>
      <c r="F902" s="2"/>
      <c r="G902" s="3" t="str">
        <f t="shared" si="1"/>
        <v/>
      </c>
      <c r="H902" s="3" t="str">
        <f>IF(ISBLANK(A902), "", IF(D902&gt;0, IF(COUNTIF(Expenses!E:E, D902)&gt;0, "Matched", "Unmatched"), IF(E902&gt;0, IF(COUNTIF(Income!F:F, E902)&gt;0, "Matched", "Unmatched"), "")))</f>
        <v/>
      </c>
    </row>
    <row r="903">
      <c r="D903" s="2"/>
      <c r="E903" s="2"/>
      <c r="F903" s="2"/>
      <c r="G903" s="3" t="str">
        <f t="shared" si="1"/>
        <v/>
      </c>
      <c r="H903" s="3" t="str">
        <f>IF(ISBLANK(A903), "", IF(D903&gt;0, IF(COUNTIF(Expenses!E:E, D903)&gt;0, "Matched", "Unmatched"), IF(E903&gt;0, IF(COUNTIF(Income!F:F, E903)&gt;0, "Matched", "Unmatched"), "")))</f>
        <v/>
      </c>
    </row>
    <row r="904">
      <c r="D904" s="2"/>
      <c r="E904" s="2"/>
      <c r="F904" s="2"/>
      <c r="G904" s="3" t="str">
        <f t="shared" si="1"/>
        <v/>
      </c>
      <c r="H904" s="3" t="str">
        <f>IF(ISBLANK(A904), "", IF(D904&gt;0, IF(COUNTIF(Expenses!E:E, D904)&gt;0, "Matched", "Unmatched"), IF(E904&gt;0, IF(COUNTIF(Income!F:F, E904)&gt;0, "Matched", "Unmatched"), "")))</f>
        <v/>
      </c>
    </row>
    <row r="905">
      <c r="D905" s="2"/>
      <c r="E905" s="2"/>
      <c r="F905" s="2"/>
      <c r="G905" s="3" t="str">
        <f t="shared" si="1"/>
        <v/>
      </c>
      <c r="H905" s="3" t="str">
        <f>IF(ISBLANK(A905), "", IF(D905&gt;0, IF(COUNTIF(Expenses!E:E, D905)&gt;0, "Matched", "Unmatched"), IF(E905&gt;0, IF(COUNTIF(Income!F:F, E905)&gt;0, "Matched", "Unmatched"), "")))</f>
        <v/>
      </c>
    </row>
    <row r="906">
      <c r="D906" s="2"/>
      <c r="E906" s="2"/>
      <c r="F906" s="2"/>
      <c r="G906" s="3" t="str">
        <f t="shared" si="1"/>
        <v/>
      </c>
      <c r="H906" s="3" t="str">
        <f>IF(ISBLANK(A906), "", IF(D906&gt;0, IF(COUNTIF(Expenses!E:E, D906)&gt;0, "Matched", "Unmatched"), IF(E906&gt;0, IF(COUNTIF(Income!F:F, E906)&gt;0, "Matched", "Unmatched"), "")))</f>
        <v/>
      </c>
    </row>
    <row r="907">
      <c r="D907" s="2"/>
      <c r="E907" s="2"/>
      <c r="F907" s="2"/>
      <c r="G907" s="3" t="str">
        <f t="shared" si="1"/>
        <v/>
      </c>
      <c r="H907" s="3" t="str">
        <f>IF(ISBLANK(A907), "", IF(D907&gt;0, IF(COUNTIF(Expenses!E:E, D907)&gt;0, "Matched", "Unmatched"), IF(E907&gt;0, IF(COUNTIF(Income!F:F, E907)&gt;0, "Matched", "Unmatched"), "")))</f>
        <v/>
      </c>
    </row>
    <row r="908">
      <c r="D908" s="2"/>
      <c r="E908" s="2"/>
      <c r="F908" s="2"/>
      <c r="G908" s="3" t="str">
        <f t="shared" si="1"/>
        <v/>
      </c>
      <c r="H908" s="3" t="str">
        <f>IF(ISBLANK(A908), "", IF(D908&gt;0, IF(COUNTIF(Expenses!E:E, D908)&gt;0, "Matched", "Unmatched"), IF(E908&gt;0, IF(COUNTIF(Income!F:F, E908)&gt;0, "Matched", "Unmatched"), "")))</f>
        <v/>
      </c>
    </row>
    <row r="909">
      <c r="D909" s="2"/>
      <c r="E909" s="2"/>
      <c r="F909" s="2"/>
      <c r="G909" s="3" t="str">
        <f t="shared" si="1"/>
        <v/>
      </c>
      <c r="H909" s="3" t="str">
        <f>IF(ISBLANK(A909), "", IF(D909&gt;0, IF(COUNTIF(Expenses!E:E, D909)&gt;0, "Matched", "Unmatched"), IF(E909&gt;0, IF(COUNTIF(Income!F:F, E909)&gt;0, "Matched", "Unmatched"), "")))</f>
        <v/>
      </c>
    </row>
    <row r="910">
      <c r="D910" s="2"/>
      <c r="E910" s="2"/>
      <c r="F910" s="2"/>
      <c r="G910" s="3" t="str">
        <f t="shared" si="1"/>
        <v/>
      </c>
      <c r="H910" s="3" t="str">
        <f>IF(ISBLANK(A910), "", IF(D910&gt;0, IF(COUNTIF(Expenses!E:E, D910)&gt;0, "Matched", "Unmatched"), IF(E910&gt;0, IF(COUNTIF(Income!F:F, E910)&gt;0, "Matched", "Unmatched"), "")))</f>
        <v/>
      </c>
    </row>
    <row r="911">
      <c r="D911" s="2"/>
      <c r="E911" s="2"/>
      <c r="F911" s="2"/>
      <c r="G911" s="3" t="str">
        <f t="shared" si="1"/>
        <v/>
      </c>
      <c r="H911" s="3" t="str">
        <f>IF(ISBLANK(A911), "", IF(D911&gt;0, IF(COUNTIF(Expenses!E:E, D911)&gt;0, "Matched", "Unmatched"), IF(E911&gt;0, IF(COUNTIF(Income!F:F, E911)&gt;0, "Matched", "Unmatched"), "")))</f>
        <v/>
      </c>
    </row>
    <row r="912">
      <c r="D912" s="2"/>
      <c r="E912" s="2"/>
      <c r="F912" s="2"/>
      <c r="G912" s="3" t="str">
        <f t="shared" si="1"/>
        <v/>
      </c>
      <c r="H912" s="3" t="str">
        <f>IF(ISBLANK(A912), "", IF(D912&gt;0, IF(COUNTIF(Expenses!E:E, D912)&gt;0, "Matched", "Unmatched"), IF(E912&gt;0, IF(COUNTIF(Income!F:F, E912)&gt;0, "Matched", "Unmatched"), "")))</f>
        <v/>
      </c>
    </row>
    <row r="913">
      <c r="D913" s="2"/>
      <c r="E913" s="2"/>
      <c r="F913" s="2"/>
      <c r="G913" s="3" t="str">
        <f t="shared" si="1"/>
        <v/>
      </c>
      <c r="H913" s="3" t="str">
        <f>IF(ISBLANK(A913), "", IF(D913&gt;0, IF(COUNTIF(Expenses!E:E, D913)&gt;0, "Matched", "Unmatched"), IF(E913&gt;0, IF(COUNTIF(Income!F:F, E913)&gt;0, "Matched", "Unmatched"), "")))</f>
        <v/>
      </c>
    </row>
    <row r="914">
      <c r="D914" s="2"/>
      <c r="E914" s="2"/>
      <c r="F914" s="2"/>
      <c r="G914" s="3" t="str">
        <f t="shared" si="1"/>
        <v/>
      </c>
      <c r="H914" s="3" t="str">
        <f>IF(ISBLANK(A914), "", IF(D914&gt;0, IF(COUNTIF(Expenses!E:E, D914)&gt;0, "Matched", "Unmatched"), IF(E914&gt;0, IF(COUNTIF(Income!F:F, E914)&gt;0, "Matched", "Unmatched"), "")))</f>
        <v/>
      </c>
    </row>
    <row r="915">
      <c r="D915" s="2"/>
      <c r="E915" s="2"/>
      <c r="F915" s="2"/>
      <c r="G915" s="3" t="str">
        <f t="shared" si="1"/>
        <v/>
      </c>
      <c r="H915" s="3" t="str">
        <f>IF(ISBLANK(A915), "", IF(D915&gt;0, IF(COUNTIF(Expenses!E:E, D915)&gt;0, "Matched", "Unmatched"), IF(E915&gt;0, IF(COUNTIF(Income!F:F, E915)&gt;0, "Matched", "Unmatched"), "")))</f>
        <v/>
      </c>
    </row>
    <row r="916">
      <c r="D916" s="2"/>
      <c r="E916" s="2"/>
      <c r="F916" s="2"/>
      <c r="G916" s="3" t="str">
        <f t="shared" si="1"/>
        <v/>
      </c>
      <c r="H916" s="3" t="str">
        <f>IF(ISBLANK(A916), "", IF(D916&gt;0, IF(COUNTIF(Expenses!E:E, D916)&gt;0, "Matched", "Unmatched"), IF(E916&gt;0, IF(COUNTIF(Income!F:F, E916)&gt;0, "Matched", "Unmatched"), "")))</f>
        <v/>
      </c>
    </row>
    <row r="917">
      <c r="D917" s="2"/>
      <c r="E917" s="2"/>
      <c r="F917" s="2"/>
      <c r="G917" s="3" t="str">
        <f t="shared" si="1"/>
        <v/>
      </c>
      <c r="H917" s="3" t="str">
        <f>IF(ISBLANK(A917), "", IF(D917&gt;0, IF(COUNTIF(Expenses!E:E, D917)&gt;0, "Matched", "Unmatched"), IF(E917&gt;0, IF(COUNTIF(Income!F:F, E917)&gt;0, "Matched", "Unmatched"), "")))</f>
        <v/>
      </c>
    </row>
    <row r="918">
      <c r="D918" s="2"/>
      <c r="E918" s="2"/>
      <c r="F918" s="2"/>
      <c r="G918" s="3" t="str">
        <f t="shared" si="1"/>
        <v/>
      </c>
      <c r="H918" s="3" t="str">
        <f>IF(ISBLANK(A918), "", IF(D918&gt;0, IF(COUNTIF(Expenses!E:E, D918)&gt;0, "Matched", "Unmatched"), IF(E918&gt;0, IF(COUNTIF(Income!F:F, E918)&gt;0, "Matched", "Unmatched"), "")))</f>
        <v/>
      </c>
    </row>
    <row r="919">
      <c r="D919" s="2"/>
      <c r="E919" s="2"/>
      <c r="F919" s="2"/>
      <c r="G919" s="3" t="str">
        <f t="shared" si="1"/>
        <v/>
      </c>
      <c r="H919" s="3" t="str">
        <f>IF(ISBLANK(A919), "", IF(D919&gt;0, IF(COUNTIF(Expenses!E:E, D919)&gt;0, "Matched", "Unmatched"), IF(E919&gt;0, IF(COUNTIF(Income!F:F, E919)&gt;0, "Matched", "Unmatched"), "")))</f>
        <v/>
      </c>
    </row>
    <row r="920">
      <c r="D920" s="2"/>
      <c r="E920" s="2"/>
      <c r="F920" s="2"/>
      <c r="G920" s="3" t="str">
        <f t="shared" si="1"/>
        <v/>
      </c>
      <c r="H920" s="3" t="str">
        <f>IF(ISBLANK(A920), "", IF(D920&gt;0, IF(COUNTIF(Expenses!E:E, D920)&gt;0, "Matched", "Unmatched"), IF(E920&gt;0, IF(COUNTIF(Income!F:F, E920)&gt;0, "Matched", "Unmatched"), "")))</f>
        <v/>
      </c>
    </row>
    <row r="921">
      <c r="D921" s="2"/>
      <c r="E921" s="2"/>
      <c r="F921" s="2"/>
      <c r="G921" s="3" t="str">
        <f t="shared" si="1"/>
        <v/>
      </c>
      <c r="H921" s="3" t="str">
        <f>IF(ISBLANK(A921), "", IF(D921&gt;0, IF(COUNTIF(Expenses!E:E, D921)&gt;0, "Matched", "Unmatched"), IF(E921&gt;0, IF(COUNTIF(Income!F:F, E921)&gt;0, "Matched", "Unmatched"), "")))</f>
        <v/>
      </c>
    </row>
    <row r="922">
      <c r="D922" s="2"/>
      <c r="E922" s="2"/>
      <c r="F922" s="2"/>
      <c r="G922" s="3" t="str">
        <f t="shared" si="1"/>
        <v/>
      </c>
      <c r="H922" s="3" t="str">
        <f>IF(ISBLANK(A922), "", IF(D922&gt;0, IF(COUNTIF(Expenses!E:E, D922)&gt;0, "Matched", "Unmatched"), IF(E922&gt;0, IF(COUNTIF(Income!F:F, E922)&gt;0, "Matched", "Unmatched"), "")))</f>
        <v/>
      </c>
    </row>
    <row r="923">
      <c r="D923" s="2"/>
      <c r="E923" s="2"/>
      <c r="F923" s="2"/>
      <c r="G923" s="3" t="str">
        <f t="shared" si="1"/>
        <v/>
      </c>
      <c r="H923" s="3" t="str">
        <f>IF(ISBLANK(A923), "", IF(D923&gt;0, IF(COUNTIF(Expenses!E:E, D923)&gt;0, "Matched", "Unmatched"), IF(E923&gt;0, IF(COUNTIF(Income!F:F, E923)&gt;0, "Matched", "Unmatched"), "")))</f>
        <v/>
      </c>
    </row>
    <row r="924">
      <c r="D924" s="2"/>
      <c r="E924" s="2"/>
      <c r="F924" s="2"/>
      <c r="G924" s="3" t="str">
        <f t="shared" si="1"/>
        <v/>
      </c>
      <c r="H924" s="3" t="str">
        <f>IF(ISBLANK(A924), "", IF(D924&gt;0, IF(COUNTIF(Expenses!E:E, D924)&gt;0, "Matched", "Unmatched"), IF(E924&gt;0, IF(COUNTIF(Income!F:F, E924)&gt;0, "Matched", "Unmatched"), "")))</f>
        <v/>
      </c>
    </row>
    <row r="925">
      <c r="D925" s="2"/>
      <c r="E925" s="2"/>
      <c r="F925" s="2"/>
      <c r="G925" s="3" t="str">
        <f t="shared" si="1"/>
        <v/>
      </c>
      <c r="H925" s="3" t="str">
        <f>IF(ISBLANK(A925), "", IF(D925&gt;0, IF(COUNTIF(Expenses!E:E, D925)&gt;0, "Matched", "Unmatched"), IF(E925&gt;0, IF(COUNTIF(Income!F:F, E925)&gt;0, "Matched", "Unmatched"), "")))</f>
        <v/>
      </c>
    </row>
    <row r="926">
      <c r="D926" s="2"/>
      <c r="E926" s="2"/>
      <c r="F926" s="2"/>
      <c r="G926" s="3" t="str">
        <f t="shared" si="1"/>
        <v/>
      </c>
      <c r="H926" s="3" t="str">
        <f>IF(ISBLANK(A926), "", IF(D926&gt;0, IF(COUNTIF(Expenses!E:E, D926)&gt;0, "Matched", "Unmatched"), IF(E926&gt;0, IF(COUNTIF(Income!F:F, E926)&gt;0, "Matched", "Unmatched"), "")))</f>
        <v/>
      </c>
    </row>
    <row r="927">
      <c r="D927" s="2"/>
      <c r="E927" s="2"/>
      <c r="F927" s="2"/>
      <c r="G927" s="3" t="str">
        <f t="shared" si="1"/>
        <v/>
      </c>
      <c r="H927" s="3" t="str">
        <f>IF(ISBLANK(A927), "", IF(D927&gt;0, IF(COUNTIF(Expenses!E:E, D927)&gt;0, "Matched", "Unmatched"), IF(E927&gt;0, IF(COUNTIF(Income!F:F, E927)&gt;0, "Matched", "Unmatched"), "")))</f>
        <v/>
      </c>
    </row>
    <row r="928">
      <c r="D928" s="2"/>
      <c r="E928" s="2"/>
      <c r="F928" s="2"/>
      <c r="G928" s="3" t="str">
        <f t="shared" si="1"/>
        <v/>
      </c>
      <c r="H928" s="3" t="str">
        <f>IF(ISBLANK(A928), "", IF(D928&gt;0, IF(COUNTIF(Expenses!E:E, D928)&gt;0, "Matched", "Unmatched"), IF(E928&gt;0, IF(COUNTIF(Income!F:F, E928)&gt;0, "Matched", "Unmatched"), "")))</f>
        <v/>
      </c>
    </row>
    <row r="929">
      <c r="D929" s="2"/>
      <c r="E929" s="2"/>
      <c r="F929" s="2"/>
      <c r="G929" s="3" t="str">
        <f t="shared" si="1"/>
        <v/>
      </c>
      <c r="H929" s="3" t="str">
        <f>IF(ISBLANK(A929), "", IF(D929&gt;0, IF(COUNTIF(Expenses!E:E, D929)&gt;0, "Matched", "Unmatched"), IF(E929&gt;0, IF(COUNTIF(Income!F:F, E929)&gt;0, "Matched", "Unmatched"), "")))</f>
        <v/>
      </c>
    </row>
    <row r="930">
      <c r="D930" s="2"/>
      <c r="E930" s="2"/>
      <c r="F930" s="2"/>
      <c r="G930" s="3" t="str">
        <f t="shared" si="1"/>
        <v/>
      </c>
      <c r="H930" s="3" t="str">
        <f>IF(ISBLANK(A930), "", IF(D930&gt;0, IF(COUNTIF(Expenses!E:E, D930)&gt;0, "Matched", "Unmatched"), IF(E930&gt;0, IF(COUNTIF(Income!F:F, E930)&gt;0, "Matched", "Unmatched"), "")))</f>
        <v/>
      </c>
    </row>
    <row r="931">
      <c r="D931" s="2"/>
      <c r="E931" s="2"/>
      <c r="F931" s="2"/>
      <c r="G931" s="3" t="str">
        <f t="shared" si="1"/>
        <v/>
      </c>
      <c r="H931" s="3" t="str">
        <f>IF(ISBLANK(A931), "", IF(D931&gt;0, IF(COUNTIF(Expenses!E:E, D931)&gt;0, "Matched", "Unmatched"), IF(E931&gt;0, IF(COUNTIF(Income!F:F, E931)&gt;0, "Matched", "Unmatched"), "")))</f>
        <v/>
      </c>
    </row>
    <row r="932">
      <c r="D932" s="2"/>
      <c r="E932" s="2"/>
      <c r="F932" s="2"/>
      <c r="G932" s="3" t="str">
        <f t="shared" si="1"/>
        <v/>
      </c>
      <c r="H932" s="3" t="str">
        <f>IF(ISBLANK(A932), "", IF(D932&gt;0, IF(COUNTIF(Expenses!E:E, D932)&gt;0, "Matched", "Unmatched"), IF(E932&gt;0, IF(COUNTIF(Income!F:F, E932)&gt;0, "Matched", "Unmatched"), "")))</f>
        <v/>
      </c>
    </row>
    <row r="933">
      <c r="D933" s="2"/>
      <c r="E933" s="2"/>
      <c r="F933" s="2"/>
      <c r="G933" s="3" t="str">
        <f t="shared" si="1"/>
        <v/>
      </c>
      <c r="H933" s="3" t="str">
        <f>IF(ISBLANK(A933), "", IF(D933&gt;0, IF(COUNTIF(Expenses!E:E, D933)&gt;0, "Matched", "Unmatched"), IF(E933&gt;0, IF(COUNTIF(Income!F:F, E933)&gt;0, "Matched", "Unmatched"), "")))</f>
        <v/>
      </c>
    </row>
    <row r="934">
      <c r="D934" s="2"/>
      <c r="E934" s="2"/>
      <c r="F934" s="2"/>
      <c r="G934" s="3" t="str">
        <f t="shared" si="1"/>
        <v/>
      </c>
      <c r="H934" s="3" t="str">
        <f>IF(ISBLANK(A934), "", IF(D934&gt;0, IF(COUNTIF(Expenses!E:E, D934)&gt;0, "Matched", "Unmatched"), IF(E934&gt;0, IF(COUNTIF(Income!F:F, E934)&gt;0, "Matched", "Unmatched"), "")))</f>
        <v/>
      </c>
    </row>
    <row r="935">
      <c r="D935" s="2"/>
      <c r="E935" s="2"/>
      <c r="F935" s="2"/>
      <c r="G935" s="3" t="str">
        <f t="shared" si="1"/>
        <v/>
      </c>
      <c r="H935" s="3" t="str">
        <f>IF(ISBLANK(A935), "", IF(D935&gt;0, IF(COUNTIF(Expenses!E:E, D935)&gt;0, "Matched", "Unmatched"), IF(E935&gt;0, IF(COUNTIF(Income!F:F, E935)&gt;0, "Matched", "Unmatched"), "")))</f>
        <v/>
      </c>
    </row>
    <row r="936">
      <c r="D936" s="2"/>
      <c r="E936" s="2"/>
      <c r="F936" s="2"/>
      <c r="G936" s="3" t="str">
        <f t="shared" si="1"/>
        <v/>
      </c>
      <c r="H936" s="3" t="str">
        <f>IF(ISBLANK(A936), "", IF(D936&gt;0, IF(COUNTIF(Expenses!E:E, D936)&gt;0, "Matched", "Unmatched"), IF(E936&gt;0, IF(COUNTIF(Income!F:F, E936)&gt;0, "Matched", "Unmatched"), "")))</f>
        <v/>
      </c>
    </row>
    <row r="937">
      <c r="D937" s="2"/>
      <c r="E937" s="2"/>
      <c r="F937" s="2"/>
      <c r="G937" s="3" t="str">
        <f t="shared" si="1"/>
        <v/>
      </c>
      <c r="H937" s="3" t="str">
        <f>IF(ISBLANK(A937), "", IF(D937&gt;0, IF(COUNTIF(Expenses!E:E, D937)&gt;0, "Matched", "Unmatched"), IF(E937&gt;0, IF(COUNTIF(Income!F:F, E937)&gt;0, "Matched", "Unmatched"), "")))</f>
        <v/>
      </c>
    </row>
    <row r="938">
      <c r="D938" s="2"/>
      <c r="E938" s="2"/>
      <c r="F938" s="2"/>
      <c r="G938" s="3" t="str">
        <f t="shared" si="1"/>
        <v/>
      </c>
      <c r="H938" s="3" t="str">
        <f>IF(ISBLANK(A938), "", IF(D938&gt;0, IF(COUNTIF(Expenses!E:E, D938)&gt;0, "Matched", "Unmatched"), IF(E938&gt;0, IF(COUNTIF(Income!F:F, E938)&gt;0, "Matched", "Unmatched"), "")))</f>
        <v/>
      </c>
    </row>
    <row r="939">
      <c r="D939" s="2"/>
      <c r="E939" s="2"/>
      <c r="F939" s="2"/>
      <c r="G939" s="3" t="str">
        <f t="shared" si="1"/>
        <v/>
      </c>
      <c r="H939" s="3" t="str">
        <f>IF(ISBLANK(A939), "", IF(D939&gt;0, IF(COUNTIF(Expenses!E:E, D939)&gt;0, "Matched", "Unmatched"), IF(E939&gt;0, IF(COUNTIF(Income!F:F, E939)&gt;0, "Matched", "Unmatched"), "")))</f>
        <v/>
      </c>
    </row>
    <row r="940">
      <c r="D940" s="2"/>
      <c r="E940" s="2"/>
      <c r="F940" s="2"/>
      <c r="G940" s="3" t="str">
        <f t="shared" si="1"/>
        <v/>
      </c>
      <c r="H940" s="3" t="str">
        <f>IF(ISBLANK(A940), "", IF(D940&gt;0, IF(COUNTIF(Expenses!E:E, D940)&gt;0, "Matched", "Unmatched"), IF(E940&gt;0, IF(COUNTIF(Income!F:F, E940)&gt;0, "Matched", "Unmatched"), "")))</f>
        <v/>
      </c>
    </row>
    <row r="941">
      <c r="D941" s="2"/>
      <c r="E941" s="2"/>
      <c r="F941" s="2"/>
      <c r="G941" s="3" t="str">
        <f t="shared" si="1"/>
        <v/>
      </c>
      <c r="H941" s="3" t="str">
        <f>IF(ISBLANK(A941), "", IF(D941&gt;0, IF(COUNTIF(Expenses!E:E, D941)&gt;0, "Matched", "Unmatched"), IF(E941&gt;0, IF(COUNTIF(Income!F:F, E941)&gt;0, "Matched", "Unmatched"), "")))</f>
        <v/>
      </c>
    </row>
    <row r="942">
      <c r="D942" s="2"/>
      <c r="E942" s="2"/>
      <c r="F942" s="2"/>
      <c r="G942" s="3" t="str">
        <f t="shared" si="1"/>
        <v/>
      </c>
      <c r="H942" s="3" t="str">
        <f>IF(ISBLANK(A942), "", IF(D942&gt;0, IF(COUNTIF(Expenses!E:E, D942)&gt;0, "Matched", "Unmatched"), IF(E942&gt;0, IF(COUNTIF(Income!F:F, E942)&gt;0, "Matched", "Unmatched"), "")))</f>
        <v/>
      </c>
    </row>
    <row r="943">
      <c r="D943" s="2"/>
      <c r="E943" s="2"/>
      <c r="F943" s="2"/>
      <c r="G943" s="3" t="str">
        <f t="shared" si="1"/>
        <v/>
      </c>
      <c r="H943" s="3" t="str">
        <f>IF(ISBLANK(A943), "", IF(D943&gt;0, IF(COUNTIF(Expenses!E:E, D943)&gt;0, "Matched", "Unmatched"), IF(E943&gt;0, IF(COUNTIF(Income!F:F, E943)&gt;0, "Matched", "Unmatched"), "")))</f>
        <v/>
      </c>
    </row>
    <row r="944">
      <c r="D944" s="2"/>
      <c r="E944" s="2"/>
      <c r="F944" s="2"/>
      <c r="G944" s="3" t="str">
        <f t="shared" si="1"/>
        <v/>
      </c>
      <c r="H944" s="3" t="str">
        <f>IF(ISBLANK(A944), "", IF(D944&gt;0, IF(COUNTIF(Expenses!E:E, D944)&gt;0, "Matched", "Unmatched"), IF(E944&gt;0, IF(COUNTIF(Income!F:F, E944)&gt;0, "Matched", "Unmatched"), "")))</f>
        <v/>
      </c>
    </row>
    <row r="945">
      <c r="D945" s="2"/>
      <c r="E945" s="2"/>
      <c r="F945" s="2"/>
      <c r="G945" s="3" t="str">
        <f t="shared" si="1"/>
        <v/>
      </c>
      <c r="H945" s="3" t="str">
        <f>IF(ISBLANK(A945), "", IF(D945&gt;0, IF(COUNTIF(Expenses!E:E, D945)&gt;0, "Matched", "Unmatched"), IF(E945&gt;0, IF(COUNTIF(Income!F:F, E945)&gt;0, "Matched", "Unmatched"), "")))</f>
        <v/>
      </c>
    </row>
    <row r="946">
      <c r="D946" s="2"/>
      <c r="E946" s="2"/>
      <c r="F946" s="2"/>
      <c r="G946" s="3" t="str">
        <f t="shared" si="1"/>
        <v/>
      </c>
      <c r="H946" s="3" t="str">
        <f>IF(ISBLANK(A946), "", IF(D946&gt;0, IF(COUNTIF(Expenses!E:E, D946)&gt;0, "Matched", "Unmatched"), IF(E946&gt;0, IF(COUNTIF(Income!F:F, E946)&gt;0, "Matched", "Unmatched"), "")))</f>
        <v/>
      </c>
    </row>
    <row r="947">
      <c r="D947" s="2"/>
      <c r="E947" s="2"/>
      <c r="F947" s="2"/>
      <c r="G947" s="3" t="str">
        <f t="shared" si="1"/>
        <v/>
      </c>
      <c r="H947" s="3" t="str">
        <f>IF(ISBLANK(A947), "", IF(D947&gt;0, IF(COUNTIF(Expenses!E:E, D947)&gt;0, "Matched", "Unmatched"), IF(E947&gt;0, IF(COUNTIF(Income!F:F, E947)&gt;0, "Matched", "Unmatched"), "")))</f>
        <v/>
      </c>
    </row>
    <row r="948">
      <c r="D948" s="2"/>
      <c r="E948" s="2"/>
      <c r="F948" s="2"/>
      <c r="G948" s="3" t="str">
        <f t="shared" si="1"/>
        <v/>
      </c>
      <c r="H948" s="3" t="str">
        <f>IF(ISBLANK(A948), "", IF(D948&gt;0, IF(COUNTIF(Expenses!E:E, D948)&gt;0, "Matched", "Unmatched"), IF(E948&gt;0, IF(COUNTIF(Income!F:F, E948)&gt;0, "Matched", "Unmatched"), "")))</f>
        <v/>
      </c>
    </row>
    <row r="949">
      <c r="D949" s="2"/>
      <c r="E949" s="2"/>
      <c r="F949" s="2"/>
      <c r="G949" s="3" t="str">
        <f t="shared" si="1"/>
        <v/>
      </c>
      <c r="H949" s="3" t="str">
        <f>IF(ISBLANK(A949), "", IF(D949&gt;0, IF(COUNTIF(Expenses!E:E, D949)&gt;0, "Matched", "Unmatched"), IF(E949&gt;0, IF(COUNTIF(Income!F:F, E949)&gt;0, "Matched", "Unmatched"), "")))</f>
        <v/>
      </c>
    </row>
    <row r="950">
      <c r="D950" s="2"/>
      <c r="E950" s="2"/>
      <c r="F950" s="2"/>
      <c r="G950" s="3" t="str">
        <f t="shared" si="1"/>
        <v/>
      </c>
      <c r="H950" s="3" t="str">
        <f>IF(ISBLANK(A950), "", IF(D950&gt;0, IF(COUNTIF(Expenses!E:E, D950)&gt;0, "Matched", "Unmatched"), IF(E950&gt;0, IF(COUNTIF(Income!F:F, E950)&gt;0, "Matched", "Unmatched"), "")))</f>
        <v/>
      </c>
    </row>
    <row r="951">
      <c r="D951" s="2"/>
      <c r="E951" s="2"/>
      <c r="F951" s="2"/>
      <c r="G951" s="3" t="str">
        <f t="shared" si="1"/>
        <v/>
      </c>
      <c r="H951" s="3" t="str">
        <f>IF(ISBLANK(A951), "", IF(D951&gt;0, IF(COUNTIF(Expenses!E:E, D951)&gt;0, "Matched", "Unmatched"), IF(E951&gt;0, IF(COUNTIF(Income!F:F, E951)&gt;0, "Matched", "Unmatched"), "")))</f>
        <v/>
      </c>
    </row>
    <row r="952">
      <c r="D952" s="2"/>
      <c r="E952" s="2"/>
      <c r="F952" s="2"/>
      <c r="G952" s="3" t="str">
        <f t="shared" si="1"/>
        <v/>
      </c>
      <c r="H952" s="3" t="str">
        <f>IF(ISBLANK(A952), "", IF(D952&gt;0, IF(COUNTIF(Expenses!E:E, D952)&gt;0, "Matched", "Unmatched"), IF(E952&gt;0, IF(COUNTIF(Income!F:F, E952)&gt;0, "Matched", "Unmatched"), "")))</f>
        <v/>
      </c>
    </row>
    <row r="953">
      <c r="D953" s="2"/>
      <c r="E953" s="2"/>
      <c r="F953" s="2"/>
      <c r="G953" s="3" t="str">
        <f t="shared" si="1"/>
        <v/>
      </c>
      <c r="H953" s="3" t="str">
        <f>IF(ISBLANK(A953), "", IF(D953&gt;0, IF(COUNTIF(Expenses!E:E, D953)&gt;0, "Matched", "Unmatched"), IF(E953&gt;0, IF(COUNTIF(Income!F:F, E953)&gt;0, "Matched", "Unmatched"), "")))</f>
        <v/>
      </c>
    </row>
    <row r="954">
      <c r="D954" s="2"/>
      <c r="E954" s="2"/>
      <c r="F954" s="2"/>
      <c r="G954" s="3" t="str">
        <f t="shared" si="1"/>
        <v/>
      </c>
      <c r="H954" s="3" t="str">
        <f>IF(ISBLANK(A954), "", IF(D954&gt;0, IF(COUNTIF(Expenses!E:E, D954)&gt;0, "Matched", "Unmatched"), IF(E954&gt;0, IF(COUNTIF(Income!F:F, E954)&gt;0, "Matched", "Unmatched"), "")))</f>
        <v/>
      </c>
    </row>
    <row r="955">
      <c r="D955" s="2"/>
      <c r="E955" s="2"/>
      <c r="F955" s="2"/>
      <c r="G955" s="3" t="str">
        <f t="shared" si="1"/>
        <v/>
      </c>
      <c r="H955" s="3" t="str">
        <f>IF(ISBLANK(A955), "", IF(D955&gt;0, IF(COUNTIF(Expenses!E:E, D955)&gt;0, "Matched", "Unmatched"), IF(E955&gt;0, IF(COUNTIF(Income!F:F, E955)&gt;0, "Matched", "Unmatched"), "")))</f>
        <v/>
      </c>
    </row>
    <row r="956">
      <c r="D956" s="2"/>
      <c r="E956" s="2"/>
      <c r="F956" s="2"/>
      <c r="G956" s="3" t="str">
        <f t="shared" si="1"/>
        <v/>
      </c>
      <c r="H956" s="3" t="str">
        <f>IF(ISBLANK(A956), "", IF(D956&gt;0, IF(COUNTIF(Expenses!E:E, D956)&gt;0, "Matched", "Unmatched"), IF(E956&gt;0, IF(COUNTIF(Income!F:F, E956)&gt;0, "Matched", "Unmatched"), "")))</f>
        <v/>
      </c>
    </row>
    <row r="957">
      <c r="D957" s="2"/>
      <c r="E957" s="2"/>
      <c r="F957" s="2"/>
      <c r="G957" s="3" t="str">
        <f t="shared" si="1"/>
        <v/>
      </c>
      <c r="H957" s="3" t="str">
        <f>IF(ISBLANK(A957), "", IF(D957&gt;0, IF(COUNTIF(Expenses!E:E, D957)&gt;0, "Matched", "Unmatched"), IF(E957&gt;0, IF(COUNTIF(Income!F:F, E957)&gt;0, "Matched", "Unmatched"), "")))</f>
        <v/>
      </c>
    </row>
    <row r="958">
      <c r="D958" s="2"/>
      <c r="E958" s="2"/>
      <c r="F958" s="2"/>
      <c r="G958" s="3" t="str">
        <f t="shared" si="1"/>
        <v/>
      </c>
      <c r="H958" s="3" t="str">
        <f>IF(ISBLANK(A958), "", IF(D958&gt;0, IF(COUNTIF(Expenses!E:E, D958)&gt;0, "Matched", "Unmatched"), IF(E958&gt;0, IF(COUNTIF(Income!F:F, E958)&gt;0, "Matched", "Unmatched"), "")))</f>
        <v/>
      </c>
    </row>
    <row r="959">
      <c r="D959" s="2"/>
      <c r="E959" s="2"/>
      <c r="F959" s="2"/>
      <c r="G959" s="3" t="str">
        <f t="shared" si="1"/>
        <v/>
      </c>
      <c r="H959" s="3" t="str">
        <f>IF(ISBLANK(A959), "", IF(D959&gt;0, IF(COUNTIF(Expenses!E:E, D959)&gt;0, "Matched", "Unmatched"), IF(E959&gt;0, IF(COUNTIF(Income!F:F, E959)&gt;0, "Matched", "Unmatched"), "")))</f>
        <v/>
      </c>
    </row>
    <row r="960">
      <c r="D960" s="2"/>
      <c r="E960" s="2"/>
      <c r="F960" s="2"/>
      <c r="G960" s="3" t="str">
        <f t="shared" si="1"/>
        <v/>
      </c>
      <c r="H960" s="3" t="str">
        <f>IF(ISBLANK(A960), "", IF(D960&gt;0, IF(COUNTIF(Expenses!E:E, D960)&gt;0, "Matched", "Unmatched"), IF(E960&gt;0, IF(COUNTIF(Income!F:F, E960)&gt;0, "Matched", "Unmatched"), "")))</f>
        <v/>
      </c>
    </row>
    <row r="961">
      <c r="D961" s="2"/>
      <c r="E961" s="2"/>
      <c r="F961" s="2"/>
      <c r="G961" s="3" t="str">
        <f t="shared" si="1"/>
        <v/>
      </c>
      <c r="H961" s="3" t="str">
        <f>IF(ISBLANK(A961), "", IF(D961&gt;0, IF(COUNTIF(Expenses!E:E, D961)&gt;0, "Matched", "Unmatched"), IF(E961&gt;0, IF(COUNTIF(Income!F:F, E961)&gt;0, "Matched", "Unmatched"), "")))</f>
        <v/>
      </c>
    </row>
    <row r="962">
      <c r="D962" s="2"/>
      <c r="E962" s="2"/>
      <c r="F962" s="2"/>
      <c r="G962" s="3" t="str">
        <f t="shared" si="1"/>
        <v/>
      </c>
      <c r="H962" s="3" t="str">
        <f>IF(ISBLANK(A962), "", IF(D962&gt;0, IF(COUNTIF(Expenses!E:E, D962)&gt;0, "Matched", "Unmatched"), IF(E962&gt;0, IF(COUNTIF(Income!F:F, E962)&gt;0, "Matched", "Unmatched"), "")))</f>
        <v/>
      </c>
    </row>
    <row r="963">
      <c r="D963" s="2"/>
      <c r="E963" s="2"/>
      <c r="F963" s="2"/>
      <c r="G963" s="3" t="str">
        <f t="shared" si="1"/>
        <v/>
      </c>
      <c r="H963" s="3" t="str">
        <f>IF(ISBLANK(A963), "", IF(D963&gt;0, IF(COUNTIF(Expenses!E:E, D963)&gt;0, "Matched", "Unmatched"), IF(E963&gt;0, IF(COUNTIF(Income!F:F, E963)&gt;0, "Matched", "Unmatched"), "")))</f>
        <v/>
      </c>
    </row>
    <row r="964">
      <c r="D964" s="2"/>
      <c r="E964" s="2"/>
      <c r="F964" s="2"/>
      <c r="G964" s="3" t="str">
        <f t="shared" si="1"/>
        <v/>
      </c>
      <c r="H964" s="3" t="str">
        <f>IF(ISBLANK(A964), "", IF(D964&gt;0, IF(COUNTIF(Expenses!E:E, D964)&gt;0, "Matched", "Unmatched"), IF(E964&gt;0, IF(COUNTIF(Income!F:F, E964)&gt;0, "Matched", "Unmatched"), "")))</f>
        <v/>
      </c>
    </row>
    <row r="965">
      <c r="D965" s="2"/>
      <c r="E965" s="2"/>
      <c r="F965" s="2"/>
      <c r="G965" s="3" t="str">
        <f t="shared" si="1"/>
        <v/>
      </c>
      <c r="H965" s="3" t="str">
        <f>IF(ISBLANK(A965), "", IF(D965&gt;0, IF(COUNTIF(Expenses!E:E, D965)&gt;0, "Matched", "Unmatched"), IF(E965&gt;0, IF(COUNTIF(Income!F:F, E965)&gt;0, "Matched", "Unmatched"), "")))</f>
        <v/>
      </c>
    </row>
    <row r="966">
      <c r="D966" s="2"/>
      <c r="E966" s="2"/>
      <c r="F966" s="2"/>
      <c r="G966" s="3" t="str">
        <f t="shared" si="1"/>
        <v/>
      </c>
      <c r="H966" s="3" t="str">
        <f>IF(ISBLANK(A966), "", IF(D966&gt;0, IF(COUNTIF(Expenses!E:E, D966)&gt;0, "Matched", "Unmatched"), IF(E966&gt;0, IF(COUNTIF(Income!F:F, E966)&gt;0, "Matched", "Unmatched"), "")))</f>
        <v/>
      </c>
    </row>
    <row r="967">
      <c r="D967" s="2"/>
      <c r="E967" s="2"/>
      <c r="F967" s="2"/>
      <c r="G967" s="3" t="str">
        <f t="shared" si="1"/>
        <v/>
      </c>
      <c r="H967" s="3" t="str">
        <f>IF(ISBLANK(A967), "", IF(D967&gt;0, IF(COUNTIF(Expenses!E:E, D967)&gt;0, "Matched", "Unmatched"), IF(E967&gt;0, IF(COUNTIF(Income!F:F, E967)&gt;0, "Matched", "Unmatched"), "")))</f>
        <v/>
      </c>
    </row>
    <row r="968">
      <c r="D968" s="2"/>
      <c r="E968" s="2"/>
      <c r="F968" s="2"/>
      <c r="G968" s="3" t="str">
        <f t="shared" si="1"/>
        <v/>
      </c>
      <c r="H968" s="3" t="str">
        <f>IF(ISBLANK(A968), "", IF(D968&gt;0, IF(COUNTIF(Expenses!E:E, D968)&gt;0, "Matched", "Unmatched"), IF(E968&gt;0, IF(COUNTIF(Income!F:F, E968)&gt;0, "Matched", "Unmatched"), "")))</f>
        <v/>
      </c>
    </row>
    <row r="969">
      <c r="D969" s="2"/>
      <c r="E969" s="2"/>
      <c r="F969" s="2"/>
      <c r="G969" s="3" t="str">
        <f t="shared" si="1"/>
        <v/>
      </c>
      <c r="H969" s="3" t="str">
        <f>IF(ISBLANK(A969), "", IF(D969&gt;0, IF(COUNTIF(Expenses!E:E, D969)&gt;0, "Matched", "Unmatched"), IF(E969&gt;0, IF(COUNTIF(Income!F:F, E969)&gt;0, "Matched", "Unmatched"), "")))</f>
        <v/>
      </c>
    </row>
    <row r="970">
      <c r="D970" s="2"/>
      <c r="E970" s="2"/>
      <c r="F970" s="2"/>
      <c r="G970" s="3" t="str">
        <f t="shared" si="1"/>
        <v/>
      </c>
      <c r="H970" s="3" t="str">
        <f>IF(ISBLANK(A970), "", IF(D970&gt;0, IF(COUNTIF(Expenses!E:E, D970)&gt;0, "Matched", "Unmatched"), IF(E970&gt;0, IF(COUNTIF(Income!F:F, E970)&gt;0, "Matched", "Unmatched"), "")))</f>
        <v/>
      </c>
    </row>
    <row r="971">
      <c r="D971" s="2"/>
      <c r="E971" s="2"/>
      <c r="F971" s="2"/>
      <c r="G971" s="3" t="str">
        <f t="shared" si="1"/>
        <v/>
      </c>
      <c r="H971" s="3" t="str">
        <f>IF(ISBLANK(A971), "", IF(D971&gt;0, IF(COUNTIF(Expenses!E:E, D971)&gt;0, "Matched", "Unmatched"), IF(E971&gt;0, IF(COUNTIF(Income!F:F, E971)&gt;0, "Matched", "Unmatched"), "")))</f>
        <v/>
      </c>
    </row>
    <row r="972">
      <c r="D972" s="2"/>
      <c r="E972" s="2"/>
      <c r="F972" s="2"/>
      <c r="G972" s="3" t="str">
        <f t="shared" si="1"/>
        <v/>
      </c>
      <c r="H972" s="3" t="str">
        <f>IF(ISBLANK(A972), "", IF(D972&gt;0, IF(COUNTIF(Expenses!E:E, D972)&gt;0, "Matched", "Unmatched"), IF(E972&gt;0, IF(COUNTIF(Income!F:F, E972)&gt;0, "Matched", "Unmatched"), "")))</f>
        <v/>
      </c>
    </row>
    <row r="973">
      <c r="D973" s="2"/>
      <c r="E973" s="2"/>
      <c r="F973" s="2"/>
      <c r="G973" s="3" t="str">
        <f t="shared" si="1"/>
        <v/>
      </c>
      <c r="H973" s="3" t="str">
        <f>IF(ISBLANK(A973), "", IF(D973&gt;0, IF(COUNTIF(Expenses!E:E, D973)&gt;0, "Matched", "Unmatched"), IF(E973&gt;0, IF(COUNTIF(Income!F:F, E973)&gt;0, "Matched", "Unmatched"), "")))</f>
        <v/>
      </c>
    </row>
    <row r="974">
      <c r="D974" s="2"/>
      <c r="E974" s="2"/>
      <c r="F974" s="2"/>
      <c r="G974" s="3" t="str">
        <f t="shared" si="1"/>
        <v/>
      </c>
      <c r="H974" s="3" t="str">
        <f>IF(ISBLANK(A974), "", IF(D974&gt;0, IF(COUNTIF(Expenses!E:E, D974)&gt;0, "Matched", "Unmatched"), IF(E974&gt;0, IF(COUNTIF(Income!F:F, E974)&gt;0, "Matched", "Unmatched"), "")))</f>
        <v/>
      </c>
    </row>
    <row r="975">
      <c r="D975" s="2"/>
      <c r="E975" s="2"/>
      <c r="F975" s="2"/>
      <c r="G975" s="3" t="str">
        <f t="shared" si="1"/>
        <v/>
      </c>
      <c r="H975" s="3" t="str">
        <f>IF(ISBLANK(A975), "", IF(D975&gt;0, IF(COUNTIF(Expenses!E:E, D975)&gt;0, "Matched", "Unmatched"), IF(E975&gt;0, IF(COUNTIF(Income!F:F, E975)&gt;0, "Matched", "Unmatched"), "")))</f>
        <v/>
      </c>
    </row>
    <row r="976">
      <c r="D976" s="2"/>
      <c r="E976" s="2"/>
      <c r="F976" s="2"/>
      <c r="G976" s="3" t="str">
        <f t="shared" si="1"/>
        <v/>
      </c>
      <c r="H976" s="3" t="str">
        <f>IF(ISBLANK(A976), "", IF(D976&gt;0, IF(COUNTIF(Expenses!E:E, D976)&gt;0, "Matched", "Unmatched"), IF(E976&gt;0, IF(COUNTIF(Income!F:F, E976)&gt;0, "Matched", "Unmatched"), "")))</f>
        <v/>
      </c>
    </row>
    <row r="977">
      <c r="D977" s="2"/>
      <c r="E977" s="2"/>
      <c r="F977" s="2"/>
      <c r="G977" s="3" t="str">
        <f t="shared" si="1"/>
        <v/>
      </c>
      <c r="H977" s="3" t="str">
        <f>IF(ISBLANK(A977), "", IF(D977&gt;0, IF(COUNTIF(Expenses!E:E, D977)&gt;0, "Matched", "Unmatched"), IF(E977&gt;0, IF(COUNTIF(Income!F:F, E977)&gt;0, "Matched", "Unmatched"), "")))</f>
        <v/>
      </c>
    </row>
    <row r="978">
      <c r="D978" s="2"/>
      <c r="E978" s="2"/>
      <c r="F978" s="2"/>
      <c r="G978" s="3" t="str">
        <f t="shared" si="1"/>
        <v/>
      </c>
      <c r="H978" s="3" t="str">
        <f>IF(ISBLANK(A978), "", IF(D978&gt;0, IF(COUNTIF(Expenses!E:E, D978)&gt;0, "Matched", "Unmatched"), IF(E978&gt;0, IF(COUNTIF(Income!F:F, E978)&gt;0, "Matched", "Unmatched"), "")))</f>
        <v/>
      </c>
    </row>
    <row r="979">
      <c r="D979" s="2"/>
      <c r="E979" s="2"/>
      <c r="F979" s="2"/>
      <c r="G979" s="3" t="str">
        <f t="shared" si="1"/>
        <v/>
      </c>
      <c r="H979" s="3" t="str">
        <f>IF(ISBLANK(A979), "", IF(D979&gt;0, IF(COUNTIF(Expenses!E:E, D979)&gt;0, "Matched", "Unmatched"), IF(E979&gt;0, IF(COUNTIF(Income!F:F, E979)&gt;0, "Matched", "Unmatched"), "")))</f>
        <v/>
      </c>
    </row>
    <row r="980">
      <c r="D980" s="2"/>
      <c r="E980" s="2"/>
      <c r="F980" s="2"/>
      <c r="G980" s="3" t="str">
        <f t="shared" si="1"/>
        <v/>
      </c>
      <c r="H980" s="3" t="str">
        <f>IF(ISBLANK(A980), "", IF(D980&gt;0, IF(COUNTIF(Expenses!E:E, D980)&gt;0, "Matched", "Unmatched"), IF(E980&gt;0, IF(COUNTIF(Income!F:F, E980)&gt;0, "Matched", "Unmatched"), "")))</f>
        <v/>
      </c>
    </row>
    <row r="981">
      <c r="D981" s="2"/>
      <c r="E981" s="2"/>
      <c r="F981" s="2"/>
      <c r="G981" s="3" t="str">
        <f t="shared" si="1"/>
        <v/>
      </c>
      <c r="H981" s="3" t="str">
        <f>IF(ISBLANK(A981), "", IF(D981&gt;0, IF(COUNTIF(Expenses!E:E, D981)&gt;0, "Matched", "Unmatched"), IF(E981&gt;0, IF(COUNTIF(Income!F:F, E981)&gt;0, "Matched", "Unmatched"), "")))</f>
        <v/>
      </c>
    </row>
    <row r="982">
      <c r="D982" s="2"/>
      <c r="E982" s="2"/>
      <c r="F982" s="2"/>
      <c r="G982" s="3" t="str">
        <f t="shared" si="1"/>
        <v/>
      </c>
      <c r="H982" s="3" t="str">
        <f>IF(ISBLANK(A982), "", IF(D982&gt;0, IF(COUNTIF(Expenses!E:E, D982)&gt;0, "Matched", "Unmatched"), IF(E982&gt;0, IF(COUNTIF(Income!F:F, E982)&gt;0, "Matched", "Unmatched"), "")))</f>
        <v/>
      </c>
    </row>
    <row r="983">
      <c r="D983" s="2"/>
      <c r="E983" s="2"/>
      <c r="F983" s="2"/>
      <c r="G983" s="3" t="str">
        <f t="shared" si="1"/>
        <v/>
      </c>
      <c r="H983" s="3" t="str">
        <f>IF(ISBLANK(A983), "", IF(D983&gt;0, IF(COUNTIF(Expenses!E:E, D983)&gt;0, "Matched", "Unmatched"), IF(E983&gt;0, IF(COUNTIF(Income!F:F, E983)&gt;0, "Matched", "Unmatched"), "")))</f>
        <v/>
      </c>
    </row>
    <row r="984">
      <c r="D984" s="2"/>
      <c r="E984" s="2"/>
      <c r="F984" s="2"/>
      <c r="G984" s="3" t="str">
        <f t="shared" si="1"/>
        <v/>
      </c>
      <c r="H984" s="3" t="str">
        <f>IF(ISBLANK(A984), "", IF(D984&gt;0, IF(COUNTIF(Expenses!E:E, D984)&gt;0, "Matched", "Unmatched"), IF(E984&gt;0, IF(COUNTIF(Income!F:F, E984)&gt;0, "Matched", "Unmatched"), "")))</f>
        <v/>
      </c>
    </row>
    <row r="985">
      <c r="D985" s="2"/>
      <c r="E985" s="2"/>
      <c r="F985" s="2"/>
      <c r="G985" s="3" t="str">
        <f t="shared" si="1"/>
        <v/>
      </c>
      <c r="H985" s="3" t="str">
        <f>IF(ISBLANK(A985), "", IF(D985&gt;0, IF(COUNTIF(Expenses!E:E, D985)&gt;0, "Matched", "Unmatched"), IF(E985&gt;0, IF(COUNTIF(Income!F:F, E985)&gt;0, "Matched", "Unmatched"), "")))</f>
        <v/>
      </c>
    </row>
    <row r="986">
      <c r="D986" s="2"/>
      <c r="E986" s="2"/>
      <c r="F986" s="2"/>
      <c r="G986" s="3" t="str">
        <f t="shared" si="1"/>
        <v/>
      </c>
      <c r="H986" s="3" t="str">
        <f>IF(ISBLANK(A986), "", IF(D986&gt;0, IF(COUNTIF(Expenses!E:E, D986)&gt;0, "Matched", "Unmatched"), IF(E986&gt;0, IF(COUNTIF(Income!F:F, E986)&gt;0, "Matched", "Unmatched"), "")))</f>
        <v/>
      </c>
    </row>
    <row r="987">
      <c r="D987" s="2"/>
      <c r="E987" s="2"/>
      <c r="F987" s="2"/>
      <c r="G987" s="3" t="str">
        <f t="shared" si="1"/>
        <v/>
      </c>
      <c r="H987" s="3" t="str">
        <f>IF(ISBLANK(A987), "", IF(D987&gt;0, IF(COUNTIF(Expenses!E:E, D987)&gt;0, "Matched", "Unmatched"), IF(E987&gt;0, IF(COUNTIF(Income!F:F, E987)&gt;0, "Matched", "Unmatched"), "")))</f>
        <v/>
      </c>
    </row>
    <row r="988">
      <c r="D988" s="2"/>
      <c r="E988" s="2"/>
      <c r="F988" s="2"/>
      <c r="G988" s="3" t="str">
        <f t="shared" si="1"/>
        <v/>
      </c>
      <c r="H988" s="3" t="str">
        <f>IF(ISBLANK(A988), "", IF(D988&gt;0, IF(COUNTIF(Expenses!E:E, D988)&gt;0, "Matched", "Unmatched"), IF(E988&gt;0, IF(COUNTIF(Income!F:F, E988)&gt;0, "Matched", "Unmatched"), "")))</f>
        <v/>
      </c>
    </row>
    <row r="989">
      <c r="D989" s="2"/>
      <c r="E989" s="2"/>
      <c r="F989" s="2"/>
      <c r="G989" s="3" t="str">
        <f t="shared" si="1"/>
        <v/>
      </c>
      <c r="H989" s="3" t="str">
        <f>IF(ISBLANK(A989), "", IF(D989&gt;0, IF(COUNTIF(Expenses!E:E, D989)&gt;0, "Matched", "Unmatched"), IF(E989&gt;0, IF(COUNTIF(Income!F:F, E989)&gt;0, "Matched", "Unmatched"), "")))</f>
        <v/>
      </c>
    </row>
    <row r="990">
      <c r="D990" s="2"/>
      <c r="E990" s="2"/>
      <c r="F990" s="2"/>
      <c r="G990" s="3" t="str">
        <f t="shared" si="1"/>
        <v/>
      </c>
      <c r="H990" s="3" t="str">
        <f>IF(ISBLANK(A990), "", IF(D990&gt;0, IF(COUNTIF(Expenses!E:E, D990)&gt;0, "Matched", "Unmatched"), IF(E990&gt;0, IF(COUNTIF(Income!F:F, E990)&gt;0, "Matched", "Unmatched"), "")))</f>
        <v/>
      </c>
    </row>
    <row r="991">
      <c r="D991" s="2"/>
      <c r="E991" s="2"/>
      <c r="F991" s="2"/>
      <c r="G991" s="3" t="str">
        <f t="shared" si="1"/>
        <v/>
      </c>
      <c r="H991" s="3" t="str">
        <f>IF(ISBLANK(A991), "", IF(D991&gt;0, IF(COUNTIF(Expenses!E:E, D991)&gt;0, "Matched", "Unmatched"), IF(E991&gt;0, IF(COUNTIF(Income!F:F, E991)&gt;0, "Matched", "Unmatched"), "")))</f>
        <v/>
      </c>
    </row>
    <row r="992">
      <c r="D992" s="2"/>
      <c r="E992" s="2"/>
      <c r="F992" s="2"/>
      <c r="G992" s="3" t="str">
        <f t="shared" si="1"/>
        <v/>
      </c>
      <c r="H992" s="3" t="str">
        <f>IF(ISBLANK(A992), "", IF(D992&gt;0, IF(COUNTIF(Expenses!E:E, D992)&gt;0, "Matched", "Unmatched"), IF(E992&gt;0, IF(COUNTIF(Income!F:F, E992)&gt;0, "Matched", "Unmatched"), "")))</f>
        <v/>
      </c>
    </row>
    <row r="993">
      <c r="D993" s="2"/>
      <c r="E993" s="2"/>
      <c r="F993" s="2"/>
      <c r="G993" s="3" t="str">
        <f t="shared" si="1"/>
        <v/>
      </c>
      <c r="H993" s="3" t="str">
        <f>IF(ISBLANK(A993), "", IF(D993&gt;0, IF(COUNTIF(Expenses!E:E, D993)&gt;0, "Matched", "Unmatched"), IF(E993&gt;0, IF(COUNTIF(Income!F:F, E993)&gt;0, "Matched", "Unmatched"), "")))</f>
        <v/>
      </c>
    </row>
    <row r="994">
      <c r="D994" s="2"/>
      <c r="E994" s="2"/>
      <c r="F994" s="2"/>
      <c r="G994" s="3" t="str">
        <f t="shared" si="1"/>
        <v/>
      </c>
      <c r="H994" s="3" t="str">
        <f>IF(ISBLANK(A994), "", IF(D994&gt;0, IF(COUNTIF(Expenses!E:E, D994)&gt;0, "Matched", "Unmatched"), IF(E994&gt;0, IF(COUNTIF(Income!F:F, E994)&gt;0, "Matched", "Unmatched"), "")))</f>
        <v/>
      </c>
    </row>
    <row r="995">
      <c r="D995" s="2"/>
      <c r="E995" s="2"/>
      <c r="F995" s="2"/>
      <c r="G995" s="3" t="str">
        <f t="shared" si="1"/>
        <v/>
      </c>
      <c r="H995" s="3" t="str">
        <f>IF(ISBLANK(A995), "", IF(D995&gt;0, IF(COUNTIF(Expenses!E:E, D995)&gt;0, "Matched", "Unmatched"), IF(E995&gt;0, IF(COUNTIF(Income!F:F, E995)&gt;0, "Matched", "Unmatched"), "")))</f>
        <v/>
      </c>
    </row>
    <row r="996">
      <c r="D996" s="2"/>
      <c r="E996" s="2"/>
      <c r="F996" s="2"/>
      <c r="G996" s="3" t="str">
        <f t="shared" si="1"/>
        <v/>
      </c>
      <c r="H996" s="3" t="str">
        <f>IF(ISBLANK(A996), "", IF(D996&gt;0, IF(COUNTIF(Expenses!E:E, D996)&gt;0, "Matched", "Unmatched"), IF(E996&gt;0, IF(COUNTIF(Income!F:F, E996)&gt;0, "Matched", "Unmatched"), "")))</f>
        <v/>
      </c>
    </row>
    <row r="997">
      <c r="D997" s="2"/>
      <c r="E997" s="2"/>
      <c r="F997" s="2"/>
      <c r="G997" s="3" t="str">
        <f t="shared" si="1"/>
        <v/>
      </c>
      <c r="H997" s="3" t="str">
        <f>IF(ISBLANK(A997), "", IF(D997&gt;0, IF(COUNTIF(Expenses!E:E, D997)&gt;0, "Matched", "Unmatched"), IF(E997&gt;0, IF(COUNTIF(Income!F:F, E997)&gt;0, "Matched", "Unmatched"), "")))</f>
        <v/>
      </c>
    </row>
    <row r="998">
      <c r="D998" s="2"/>
      <c r="E998" s="2"/>
      <c r="F998" s="2"/>
      <c r="G998" s="3" t="str">
        <f t="shared" si="1"/>
        <v/>
      </c>
      <c r="H998" s="3" t="str">
        <f>IF(ISBLANK(A998), "", IF(D998&gt;0, IF(COUNTIF(Expenses!E:E, D998)&gt;0, "Matched", "Unmatched"), IF(E998&gt;0, IF(COUNTIF(Income!F:F, E998)&gt;0, "Matched", "Unmatched"), "")))</f>
        <v/>
      </c>
    </row>
    <row r="999">
      <c r="D999" s="2"/>
      <c r="E999" s="2"/>
      <c r="F999" s="2"/>
      <c r="G999" s="3" t="str">
        <f t="shared" si="1"/>
        <v/>
      </c>
      <c r="H999" s="3" t="str">
        <f>IF(ISBLANK(A999), "", IF(D999&gt;0, IF(COUNTIF(Expenses!E:E, D999)&gt;0, "Matched", "Unmatched"), IF(E999&gt;0, IF(COUNTIF(Income!F:F, E999)&gt;0, "Matched", "Unmatched"), "")))</f>
        <v/>
      </c>
    </row>
    <row r="1000">
      <c r="D1000" s="2"/>
      <c r="E1000" s="2"/>
      <c r="F1000" s="2"/>
      <c r="G1000" s="3" t="str">
        <f t="shared" si="1"/>
        <v/>
      </c>
      <c r="H1000" s="3" t="str">
        <f>IF(ISBLANK(A1000), "", IF(D1000&gt;0, IF(COUNTIF(Expenses!E:E, D1000)&gt;0, "Matched", "Unmatched"), IF(E1000&gt;0, IF(COUNTIF(Income!F:F, E1000)&gt;0, "Matched", "Unmatched"), "")))</f>
        <v/>
      </c>
    </row>
  </sheetData>
  <conditionalFormatting sqref="H2:H1000">
    <cfRule type="cellIs" dxfId="5" priority="1" stopIfTrue="1" operator="equal">
      <formula>"Unmatched"</formula>
    </cfRule>
  </conditionalFormatting>
  <conditionalFormatting sqref="H2:H1000">
    <cfRule type="cellIs" dxfId="6" priority="2" stopIfTrue="1" operator="equal">
      <formula>"Matched"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5"/>
    <col customWidth="1" min="2" max="2" width="21.38"/>
    <col customWidth="1" min="3" max="3" width="13.75"/>
    <col customWidth="1" min="4" max="4" width="17.0"/>
    <col customWidth="1" min="5" max="5" width="16.38"/>
    <col customWidth="1" min="6" max="6" width="23.13"/>
    <col customWidth="1" min="7" max="7" width="14.25"/>
    <col customWidth="1" min="8" max="8" width="21.63"/>
    <col customWidth="1" min="9" max="9" width="18.5"/>
  </cols>
  <sheetData>
    <row r="1" ht="22.5" customHeight="1">
      <c r="A1" s="4" t="s">
        <v>0</v>
      </c>
      <c r="B1" s="4" t="s">
        <v>9</v>
      </c>
      <c r="C1" s="4" t="s">
        <v>11</v>
      </c>
      <c r="D1" s="4" t="s">
        <v>13</v>
      </c>
      <c r="E1" s="4" t="s">
        <v>14</v>
      </c>
      <c r="F1" s="4" t="s">
        <v>16</v>
      </c>
      <c r="G1" s="5" t="s">
        <v>17</v>
      </c>
      <c r="H1" s="4" t="s">
        <v>18</v>
      </c>
      <c r="I1" s="4" t="s">
        <v>19</v>
      </c>
    </row>
    <row r="2" ht="22.5" customHeight="1">
      <c r="A2" s="6" t="s">
        <v>20</v>
      </c>
      <c r="D2" s="7" t="s">
        <v>21</v>
      </c>
      <c r="E2" s="9">
        <v>472.0</v>
      </c>
      <c r="F2" s="7" t="s">
        <v>23</v>
      </c>
      <c r="G2" s="7" t="s">
        <v>24</v>
      </c>
    </row>
    <row r="3" ht="22.5" customHeight="1">
      <c r="A3" s="11">
        <v>46174.0</v>
      </c>
      <c r="D3" s="7" t="s">
        <v>25</v>
      </c>
      <c r="E3" s="9">
        <v>2.65</v>
      </c>
      <c r="F3" s="12"/>
      <c r="G3" s="7" t="s">
        <v>24</v>
      </c>
      <c r="I3" s="6" t="s">
        <v>28</v>
      </c>
    </row>
    <row r="4" ht="22.5" customHeight="1">
      <c r="A4" s="11">
        <v>46327.0</v>
      </c>
      <c r="D4" s="7" t="s">
        <v>25</v>
      </c>
      <c r="E4" s="9">
        <v>118.0</v>
      </c>
      <c r="F4" s="12"/>
      <c r="G4" s="7" t="s">
        <v>24</v>
      </c>
      <c r="I4" s="6" t="s">
        <v>28</v>
      </c>
    </row>
    <row r="5" ht="22.5" customHeight="1">
      <c r="A5" s="6" t="s">
        <v>37</v>
      </c>
      <c r="D5" s="7" t="s">
        <v>21</v>
      </c>
      <c r="E5" s="9">
        <v>500.0</v>
      </c>
      <c r="F5" s="7" t="s">
        <v>23</v>
      </c>
      <c r="G5" s="7" t="s">
        <v>24</v>
      </c>
      <c r="I5" s="6" t="s">
        <v>38</v>
      </c>
    </row>
    <row r="6" ht="22.5" customHeight="1">
      <c r="A6" s="6" t="s">
        <v>37</v>
      </c>
      <c r="D6" s="7" t="s">
        <v>25</v>
      </c>
      <c r="E6" s="9">
        <v>27.14</v>
      </c>
      <c r="F6" s="12"/>
      <c r="G6" s="7" t="s">
        <v>24</v>
      </c>
      <c r="I6" s="6" t="s">
        <v>28</v>
      </c>
    </row>
    <row r="7" ht="22.5" customHeight="1">
      <c r="A7" s="6" t="s">
        <v>49</v>
      </c>
      <c r="D7" s="7" t="s">
        <v>21</v>
      </c>
      <c r="E7" s="9">
        <v>5500.0</v>
      </c>
      <c r="F7" s="7" t="s">
        <v>23</v>
      </c>
      <c r="G7" s="7" t="s">
        <v>24</v>
      </c>
      <c r="I7" s="6" t="s">
        <v>50</v>
      </c>
    </row>
    <row r="8" ht="22.5" customHeight="1">
      <c r="A8" s="6" t="s">
        <v>49</v>
      </c>
      <c r="D8" s="7" t="s">
        <v>25</v>
      </c>
      <c r="E8" s="9">
        <v>27.14</v>
      </c>
      <c r="F8" s="12"/>
      <c r="G8" s="7" t="s">
        <v>24</v>
      </c>
      <c r="I8" s="6" t="s">
        <v>28</v>
      </c>
    </row>
    <row r="9" ht="22.5" customHeight="1">
      <c r="A9" s="6" t="s">
        <v>51</v>
      </c>
      <c r="D9" s="7" t="s">
        <v>25</v>
      </c>
      <c r="E9" s="9">
        <v>380.0</v>
      </c>
      <c r="F9" s="7" t="s">
        <v>23</v>
      </c>
      <c r="G9" s="7" t="s">
        <v>24</v>
      </c>
      <c r="I9" s="6" t="s">
        <v>53</v>
      </c>
    </row>
    <row r="10" ht="22.5" customHeight="1">
      <c r="A10" s="6" t="s">
        <v>55</v>
      </c>
      <c r="D10" s="7" t="s">
        <v>21</v>
      </c>
      <c r="E10" s="9">
        <v>1300.0</v>
      </c>
      <c r="F10" s="7" t="s">
        <v>23</v>
      </c>
      <c r="G10" s="7" t="s">
        <v>24</v>
      </c>
    </row>
    <row r="11" ht="22.5" customHeight="1">
      <c r="A11" s="6" t="s">
        <v>55</v>
      </c>
      <c r="D11" s="7" t="s">
        <v>25</v>
      </c>
      <c r="E11" s="9">
        <v>27.14</v>
      </c>
      <c r="F11" s="12"/>
      <c r="G11" s="7" t="s">
        <v>24</v>
      </c>
      <c r="I11" s="6" t="s">
        <v>28</v>
      </c>
    </row>
    <row r="12" ht="22.5" customHeight="1">
      <c r="A12" s="6" t="s">
        <v>59</v>
      </c>
      <c r="D12" s="7" t="s">
        <v>21</v>
      </c>
      <c r="E12" s="9">
        <v>1500.0</v>
      </c>
      <c r="F12" s="7" t="s">
        <v>26</v>
      </c>
      <c r="G12" s="7" t="s">
        <v>24</v>
      </c>
      <c r="I12" s="6" t="s">
        <v>60</v>
      </c>
    </row>
    <row r="13" ht="22.5" customHeight="1">
      <c r="A13" s="11">
        <v>46330.0</v>
      </c>
      <c r="D13" s="7" t="s">
        <v>25</v>
      </c>
      <c r="E13" s="9">
        <v>3.24</v>
      </c>
      <c r="F13" s="12"/>
      <c r="G13" s="7" t="s">
        <v>24</v>
      </c>
      <c r="I13" s="6" t="s">
        <v>28</v>
      </c>
    </row>
    <row r="14" ht="22.5" customHeight="1">
      <c r="A14" s="11">
        <v>46360.0</v>
      </c>
      <c r="D14" s="7" t="s">
        <v>25</v>
      </c>
      <c r="E14" s="9">
        <v>118.0</v>
      </c>
      <c r="F14" s="12"/>
      <c r="G14" s="7" t="s">
        <v>24</v>
      </c>
      <c r="I14" s="6" t="s">
        <v>28</v>
      </c>
    </row>
    <row r="15" ht="22.5" customHeight="1">
      <c r="A15" s="6" t="s">
        <v>64</v>
      </c>
      <c r="D15" s="7" t="s">
        <v>21</v>
      </c>
      <c r="E15" s="9">
        <v>1000.0</v>
      </c>
      <c r="F15" s="7" t="s">
        <v>26</v>
      </c>
      <c r="G15" s="7" t="s">
        <v>24</v>
      </c>
      <c r="I15" s="6" t="s">
        <v>60</v>
      </c>
    </row>
    <row r="16" ht="22.5" customHeight="1">
      <c r="A16" s="6" t="s">
        <v>66</v>
      </c>
      <c r="D16" s="7" t="s">
        <v>21</v>
      </c>
      <c r="E16" s="9">
        <v>500.0</v>
      </c>
      <c r="F16" s="7" t="s">
        <v>26</v>
      </c>
      <c r="G16" s="7" t="s">
        <v>24</v>
      </c>
      <c r="I16" s="6" t="s">
        <v>69</v>
      </c>
    </row>
    <row r="17" ht="22.5" customHeight="1">
      <c r="A17" s="11">
        <v>46361.0</v>
      </c>
      <c r="D17" s="7" t="s">
        <v>71</v>
      </c>
      <c r="E17" s="9">
        <v>2350.0</v>
      </c>
      <c r="F17" s="7" t="s">
        <v>26</v>
      </c>
      <c r="G17" s="7" t="s">
        <v>24</v>
      </c>
      <c r="I17" s="6" t="s">
        <v>72</v>
      </c>
    </row>
    <row r="18" ht="22.5" customHeight="1">
      <c r="A18" s="6" t="s">
        <v>74</v>
      </c>
      <c r="D18" s="7" t="s">
        <v>21</v>
      </c>
      <c r="E18" s="9">
        <v>500.0</v>
      </c>
      <c r="F18" s="7" t="s">
        <v>26</v>
      </c>
      <c r="G18" s="7" t="s">
        <v>24</v>
      </c>
      <c r="I18" s="6" t="s">
        <v>69</v>
      </c>
    </row>
    <row r="19" ht="22.5" customHeight="1">
      <c r="A19" s="11">
        <v>46059.0</v>
      </c>
      <c r="D19" s="7" t="s">
        <v>76</v>
      </c>
      <c r="E19" s="9">
        <v>13000.0</v>
      </c>
      <c r="F19" s="7" t="s">
        <v>26</v>
      </c>
      <c r="G19" s="7" t="s">
        <v>24</v>
      </c>
      <c r="I19" s="6" t="s">
        <v>77</v>
      </c>
    </row>
    <row r="20" ht="22.5" customHeight="1">
      <c r="A20" s="11">
        <v>46301.0</v>
      </c>
      <c r="D20" s="7" t="s">
        <v>21</v>
      </c>
      <c r="E20" s="9">
        <v>1000.0</v>
      </c>
      <c r="F20" s="7" t="s">
        <v>26</v>
      </c>
      <c r="G20" s="7" t="s">
        <v>24</v>
      </c>
      <c r="I20" s="6" t="s">
        <v>60</v>
      </c>
    </row>
    <row r="21" ht="22.5" customHeight="1">
      <c r="A21" s="6" t="s">
        <v>83</v>
      </c>
      <c r="D21" s="7" t="s">
        <v>71</v>
      </c>
      <c r="E21" s="9">
        <v>2350.0</v>
      </c>
      <c r="F21" s="7" t="s">
        <v>26</v>
      </c>
      <c r="G21" s="7" t="s">
        <v>24</v>
      </c>
      <c r="I21" s="6" t="s">
        <v>72</v>
      </c>
    </row>
    <row r="22" ht="22.5" customHeight="1">
      <c r="A22" s="6" t="s">
        <v>93</v>
      </c>
      <c r="D22" s="7" t="s">
        <v>21</v>
      </c>
      <c r="E22" s="9">
        <v>500.0</v>
      </c>
      <c r="F22" s="7" t="s">
        <v>26</v>
      </c>
      <c r="G22" s="7" t="s">
        <v>24</v>
      </c>
      <c r="I22" s="6" t="s">
        <v>69</v>
      </c>
    </row>
    <row r="23" ht="22.5" customHeight="1">
      <c r="A23" s="11">
        <v>46149.0</v>
      </c>
      <c r="D23" s="7" t="s">
        <v>25</v>
      </c>
      <c r="E23" s="9">
        <v>9.73</v>
      </c>
      <c r="F23" s="12"/>
      <c r="G23" s="7" t="s">
        <v>24</v>
      </c>
      <c r="I23" s="6" t="s">
        <v>95</v>
      </c>
    </row>
    <row r="24" ht="22.5" customHeight="1">
      <c r="A24" s="6" t="s">
        <v>96</v>
      </c>
      <c r="D24" s="7" t="s">
        <v>97</v>
      </c>
      <c r="E24" s="9">
        <v>2350.0</v>
      </c>
      <c r="F24" s="7" t="s">
        <v>26</v>
      </c>
      <c r="G24" s="7" t="s">
        <v>24</v>
      </c>
      <c r="I24" s="6" t="s">
        <v>72</v>
      </c>
    </row>
    <row r="25" ht="22.5" customHeight="1">
      <c r="A25" s="6" t="s">
        <v>96</v>
      </c>
      <c r="D25" s="7" t="s">
        <v>98</v>
      </c>
      <c r="E25" s="9">
        <v>5000.0</v>
      </c>
      <c r="F25" s="7" t="s">
        <v>26</v>
      </c>
      <c r="G25" s="7" t="s">
        <v>24</v>
      </c>
      <c r="I25" s="6" t="s">
        <v>99</v>
      </c>
    </row>
    <row r="26" ht="22.5" customHeight="1">
      <c r="A26" s="6" t="s">
        <v>100</v>
      </c>
      <c r="D26" s="7" t="s">
        <v>25</v>
      </c>
      <c r="E26" s="9">
        <v>12.98</v>
      </c>
      <c r="F26" s="12"/>
      <c r="G26" s="7" t="s">
        <v>24</v>
      </c>
      <c r="I26" s="6" t="s">
        <v>95</v>
      </c>
    </row>
    <row r="27" ht="22.5" customHeight="1">
      <c r="A27" s="6" t="s">
        <v>101</v>
      </c>
      <c r="D27" s="7" t="s">
        <v>97</v>
      </c>
      <c r="E27" s="9">
        <v>35669.04</v>
      </c>
      <c r="F27" s="7" t="s">
        <v>23</v>
      </c>
      <c r="G27" s="7" t="s">
        <v>24</v>
      </c>
      <c r="I27" s="6" t="s">
        <v>102</v>
      </c>
    </row>
    <row r="28" ht="22.5" customHeight="1">
      <c r="A28" s="6" t="s">
        <v>101</v>
      </c>
      <c r="D28" s="7" t="s">
        <v>97</v>
      </c>
      <c r="E28" s="9">
        <v>6370.82</v>
      </c>
      <c r="F28" s="7" t="s">
        <v>23</v>
      </c>
      <c r="G28" s="7" t="s">
        <v>24</v>
      </c>
      <c r="I28" s="6" t="s">
        <v>103</v>
      </c>
    </row>
    <row r="29" ht="22.5" customHeight="1">
      <c r="A29" s="28" t="s">
        <v>104</v>
      </c>
      <c r="B29" s="25"/>
      <c r="C29" s="25"/>
      <c r="D29" s="26" t="s">
        <v>21</v>
      </c>
      <c r="E29" s="27">
        <v>500.0</v>
      </c>
      <c r="F29" s="26" t="s">
        <v>26</v>
      </c>
      <c r="G29" s="26" t="s">
        <v>24</v>
      </c>
      <c r="H29" s="25"/>
      <c r="I29" s="28" t="s">
        <v>69</v>
      </c>
    </row>
    <row r="30" ht="22.5" customHeight="1">
      <c r="A30" s="28" t="s">
        <v>105</v>
      </c>
      <c r="B30" s="25"/>
      <c r="C30" s="25"/>
      <c r="D30" s="26" t="s">
        <v>25</v>
      </c>
      <c r="E30" s="27">
        <v>2.0</v>
      </c>
      <c r="F30" s="26"/>
      <c r="G30" s="26" t="s">
        <v>24</v>
      </c>
      <c r="H30" s="25"/>
      <c r="I30" s="28" t="s">
        <v>95</v>
      </c>
    </row>
    <row r="31" ht="22.5" customHeight="1">
      <c r="A31" s="28" t="s">
        <v>106</v>
      </c>
      <c r="B31" s="25"/>
      <c r="C31" s="25"/>
      <c r="D31" s="26" t="s">
        <v>97</v>
      </c>
      <c r="E31" s="27">
        <v>1770.0</v>
      </c>
      <c r="F31" s="26" t="s">
        <v>26</v>
      </c>
      <c r="G31" s="26" t="s">
        <v>24</v>
      </c>
      <c r="H31" s="25"/>
      <c r="I31" s="28" t="s">
        <v>107</v>
      </c>
    </row>
    <row r="32" ht="22.5" customHeight="1">
      <c r="A32" s="28" t="s">
        <v>106</v>
      </c>
      <c r="B32" s="25"/>
      <c r="C32" s="25"/>
      <c r="D32" s="26" t="s">
        <v>108</v>
      </c>
      <c r="E32" s="27">
        <v>550.0</v>
      </c>
      <c r="F32" s="26" t="s">
        <v>26</v>
      </c>
      <c r="G32" s="26" t="s">
        <v>24</v>
      </c>
      <c r="H32" s="25"/>
      <c r="I32" s="28" t="s">
        <v>109</v>
      </c>
    </row>
    <row r="33" ht="22.5" customHeight="1">
      <c r="A33" s="28" t="s">
        <v>110</v>
      </c>
      <c r="B33" s="25"/>
      <c r="C33" s="25"/>
      <c r="D33" s="26" t="s">
        <v>111</v>
      </c>
      <c r="E33" s="27">
        <v>5600.0</v>
      </c>
      <c r="F33" s="26" t="s">
        <v>26</v>
      </c>
      <c r="G33" s="26" t="s">
        <v>24</v>
      </c>
      <c r="H33" s="25"/>
      <c r="I33" s="28" t="s">
        <v>112</v>
      </c>
    </row>
    <row r="34" ht="22.5" customHeight="1">
      <c r="A34" s="32">
        <v>46120.0</v>
      </c>
      <c r="B34" s="25"/>
      <c r="C34" s="25"/>
      <c r="D34" s="26" t="s">
        <v>97</v>
      </c>
      <c r="E34" s="27">
        <v>12400.0</v>
      </c>
      <c r="F34" s="26" t="s">
        <v>26</v>
      </c>
      <c r="G34" s="26" t="s">
        <v>24</v>
      </c>
      <c r="H34" s="25"/>
      <c r="I34" s="28" t="s">
        <v>113</v>
      </c>
    </row>
    <row r="35" ht="22.5" customHeight="1">
      <c r="A35" s="32">
        <v>46303.0</v>
      </c>
      <c r="B35" s="25"/>
      <c r="C35" s="25"/>
      <c r="D35" s="26" t="s">
        <v>25</v>
      </c>
      <c r="E35" s="27">
        <v>18520.0</v>
      </c>
      <c r="F35" s="26" t="s">
        <v>26</v>
      </c>
      <c r="G35" s="26" t="s">
        <v>24</v>
      </c>
      <c r="H35" s="25"/>
      <c r="I35" s="28" t="s">
        <v>114</v>
      </c>
    </row>
    <row r="36" ht="22.5" customHeight="1">
      <c r="A36" s="32">
        <v>46303.0</v>
      </c>
      <c r="B36" s="25"/>
      <c r="C36" s="25"/>
      <c r="D36" s="26" t="s">
        <v>97</v>
      </c>
      <c r="E36" s="27">
        <v>3182.46</v>
      </c>
      <c r="F36" s="26" t="s">
        <v>23</v>
      </c>
      <c r="G36" s="26" t="s">
        <v>24</v>
      </c>
      <c r="H36" s="25"/>
      <c r="I36" s="28" t="s">
        <v>115</v>
      </c>
    </row>
    <row r="37" ht="22.5" customHeight="1">
      <c r="A37" s="32">
        <v>46334.0</v>
      </c>
      <c r="B37" s="25"/>
      <c r="C37" s="25"/>
      <c r="D37" s="26" t="s">
        <v>25</v>
      </c>
      <c r="E37" s="27">
        <v>500.0</v>
      </c>
      <c r="F37" s="26" t="s">
        <v>26</v>
      </c>
      <c r="G37" s="26" t="s">
        <v>24</v>
      </c>
      <c r="H37" s="25"/>
      <c r="I37" s="28" t="s">
        <v>116</v>
      </c>
    </row>
    <row r="38" ht="22.5" customHeight="1">
      <c r="A38" s="32">
        <v>46334.0</v>
      </c>
      <c r="B38" s="25"/>
      <c r="C38" s="25"/>
      <c r="D38" s="26" t="s">
        <v>97</v>
      </c>
      <c r="E38" s="27">
        <v>10500.0</v>
      </c>
      <c r="F38" s="26" t="s">
        <v>26</v>
      </c>
      <c r="G38" s="26" t="s">
        <v>24</v>
      </c>
      <c r="H38" s="25"/>
      <c r="I38" s="28" t="s">
        <v>117</v>
      </c>
    </row>
    <row r="39" ht="22.5" customHeight="1">
      <c r="A39" s="32">
        <v>46364.0</v>
      </c>
      <c r="B39" s="25"/>
      <c r="C39" s="25"/>
      <c r="D39" s="26" t="s">
        <v>97</v>
      </c>
      <c r="E39" s="27">
        <v>2350.0</v>
      </c>
      <c r="F39" s="26" t="s">
        <v>26</v>
      </c>
      <c r="G39" s="26" t="s">
        <v>24</v>
      </c>
      <c r="H39" s="25"/>
      <c r="I39" s="28" t="s">
        <v>118</v>
      </c>
    </row>
    <row r="40" ht="22.5" customHeight="1">
      <c r="A40" s="33" t="s">
        <v>119</v>
      </c>
      <c r="B40" s="25"/>
      <c r="C40" s="25"/>
      <c r="D40" s="26" t="s">
        <v>97</v>
      </c>
      <c r="E40" s="27">
        <v>2350.0</v>
      </c>
      <c r="F40" s="26" t="s">
        <v>26</v>
      </c>
      <c r="G40" s="26" t="s">
        <v>24</v>
      </c>
      <c r="H40" s="25"/>
      <c r="I40" s="28" t="s">
        <v>118</v>
      </c>
    </row>
    <row r="41" ht="22.5" customHeight="1">
      <c r="A41" s="33" t="s">
        <v>73</v>
      </c>
      <c r="B41" s="25"/>
      <c r="C41" s="25"/>
      <c r="D41" s="26" t="s">
        <v>97</v>
      </c>
      <c r="E41" s="27">
        <v>3000.0</v>
      </c>
      <c r="F41" s="26" t="s">
        <v>26</v>
      </c>
      <c r="G41" s="26" t="s">
        <v>24</v>
      </c>
      <c r="H41" s="25"/>
      <c r="I41" s="28" t="s">
        <v>120</v>
      </c>
    </row>
    <row r="42" ht="22.5" customHeight="1">
      <c r="A42" s="33" t="s">
        <v>121</v>
      </c>
      <c r="B42" s="25"/>
      <c r="C42" s="25"/>
      <c r="D42" s="26" t="s">
        <v>25</v>
      </c>
      <c r="E42" s="27">
        <v>500.0</v>
      </c>
      <c r="F42" s="26" t="s">
        <v>26</v>
      </c>
      <c r="G42" s="26" t="s">
        <v>24</v>
      </c>
      <c r="H42" s="25"/>
      <c r="I42" s="28" t="s">
        <v>122</v>
      </c>
    </row>
    <row r="43" ht="22.5" customHeight="1">
      <c r="A43" s="33" t="s">
        <v>123</v>
      </c>
      <c r="B43" s="25"/>
      <c r="C43" s="25"/>
      <c r="D43" s="26" t="s">
        <v>25</v>
      </c>
      <c r="E43" s="27">
        <v>834.0</v>
      </c>
      <c r="F43" s="26" t="s">
        <v>26</v>
      </c>
      <c r="G43" s="26" t="s">
        <v>24</v>
      </c>
      <c r="H43" s="25"/>
      <c r="I43" s="28" t="s">
        <v>124</v>
      </c>
    </row>
    <row r="44" ht="22.5" customHeight="1">
      <c r="A44" s="33" t="s">
        <v>125</v>
      </c>
      <c r="B44" s="25"/>
      <c r="C44" s="25"/>
      <c r="D44" s="26" t="s">
        <v>97</v>
      </c>
      <c r="E44" s="27">
        <v>2484.0</v>
      </c>
      <c r="F44" s="26" t="s">
        <v>26</v>
      </c>
      <c r="G44" s="26" t="s">
        <v>24</v>
      </c>
      <c r="H44" s="25"/>
      <c r="I44" s="28" t="s">
        <v>126</v>
      </c>
    </row>
    <row r="45" ht="22.5" customHeight="1">
      <c r="A45" s="33" t="s">
        <v>127</v>
      </c>
      <c r="B45" s="25"/>
      <c r="C45" s="25"/>
      <c r="D45" s="26" t="s">
        <v>97</v>
      </c>
      <c r="E45" s="27">
        <v>2350.0</v>
      </c>
      <c r="F45" s="26" t="s">
        <v>26</v>
      </c>
      <c r="G45" s="26" t="s">
        <v>24</v>
      </c>
      <c r="H45" s="25"/>
      <c r="I45" s="28" t="s">
        <v>118</v>
      </c>
    </row>
    <row r="46" ht="22.5" customHeight="1">
      <c r="A46" s="33" t="s">
        <v>128</v>
      </c>
      <c r="B46" s="25"/>
      <c r="C46" s="25"/>
      <c r="D46" s="26" t="s">
        <v>97</v>
      </c>
      <c r="E46" s="27">
        <v>2399.0</v>
      </c>
      <c r="F46" s="26" t="s">
        <v>26</v>
      </c>
      <c r="G46" s="26" t="s">
        <v>24</v>
      </c>
      <c r="H46" s="25"/>
      <c r="I46" s="28" t="s">
        <v>118</v>
      </c>
    </row>
    <row r="47" ht="22.5" customHeight="1">
      <c r="A47" s="33" t="s">
        <v>129</v>
      </c>
      <c r="B47" s="25"/>
      <c r="C47" s="25"/>
      <c r="D47" s="26" t="s">
        <v>25</v>
      </c>
      <c r="E47" s="27">
        <v>834.0</v>
      </c>
      <c r="F47" s="26" t="s">
        <v>26</v>
      </c>
      <c r="G47" s="26" t="s">
        <v>24</v>
      </c>
      <c r="H47" s="25"/>
      <c r="I47" s="28" t="s">
        <v>124</v>
      </c>
    </row>
    <row r="48" ht="22.5" customHeight="1">
      <c r="A48" s="33" t="s">
        <v>130</v>
      </c>
      <c r="B48" s="25"/>
      <c r="C48" s="25"/>
      <c r="D48" s="26" t="s">
        <v>25</v>
      </c>
      <c r="E48" s="27">
        <v>1000.0</v>
      </c>
      <c r="F48" s="26" t="s">
        <v>26</v>
      </c>
      <c r="G48" s="26" t="s">
        <v>24</v>
      </c>
      <c r="H48" s="25"/>
      <c r="I48" s="28" t="s">
        <v>131</v>
      </c>
    </row>
    <row r="49" ht="22.5" customHeight="1">
      <c r="A49" s="34">
        <v>46032.0</v>
      </c>
      <c r="B49" s="25"/>
      <c r="C49" s="25"/>
      <c r="D49" s="26" t="s">
        <v>25</v>
      </c>
      <c r="E49" s="27">
        <v>1500.0</v>
      </c>
      <c r="F49" s="26" t="s">
        <v>26</v>
      </c>
      <c r="G49" s="26" t="s">
        <v>24</v>
      </c>
      <c r="H49" s="25"/>
      <c r="I49" s="28" t="s">
        <v>132</v>
      </c>
    </row>
    <row r="50" ht="22.5" customHeight="1">
      <c r="A50" s="35">
        <v>46091.0</v>
      </c>
      <c r="B50" s="25"/>
      <c r="C50" s="25"/>
      <c r="D50" s="26" t="s">
        <v>97</v>
      </c>
      <c r="E50" s="27">
        <v>5000.0</v>
      </c>
      <c r="F50" s="26" t="s">
        <v>26</v>
      </c>
      <c r="G50" s="26" t="s">
        <v>24</v>
      </c>
      <c r="H50" s="25"/>
      <c r="I50" s="28" t="s">
        <v>133</v>
      </c>
    </row>
    <row r="51" ht="22.5" customHeight="1">
      <c r="A51" s="35">
        <v>46183.0</v>
      </c>
      <c r="B51" s="25"/>
      <c r="C51" s="25"/>
      <c r="D51" s="26" t="s">
        <v>25</v>
      </c>
      <c r="E51" s="27">
        <v>8000.0</v>
      </c>
      <c r="F51" s="26" t="s">
        <v>26</v>
      </c>
      <c r="G51" s="26" t="s">
        <v>24</v>
      </c>
      <c r="H51" s="25"/>
      <c r="I51" s="28" t="s">
        <v>134</v>
      </c>
    </row>
    <row r="52">
      <c r="D52" s="3"/>
      <c r="E52" s="2"/>
      <c r="F52" s="3"/>
      <c r="G52" s="36"/>
    </row>
    <row r="53">
      <c r="D53" s="3"/>
      <c r="E53" s="2"/>
      <c r="F53" s="3"/>
      <c r="G53" s="36"/>
    </row>
    <row r="54">
      <c r="D54" s="3"/>
      <c r="E54" s="2"/>
      <c r="F54" s="3"/>
      <c r="G54" s="36"/>
    </row>
    <row r="55">
      <c r="D55" s="3"/>
      <c r="E55" s="2"/>
      <c r="F55" s="3"/>
      <c r="G55" s="36"/>
    </row>
    <row r="56">
      <c r="D56" s="3"/>
      <c r="E56" s="2"/>
      <c r="F56" s="3"/>
      <c r="G56" s="36"/>
    </row>
    <row r="57">
      <c r="D57" s="3"/>
      <c r="E57" s="2"/>
      <c r="F57" s="3"/>
      <c r="G57" s="36"/>
    </row>
    <row r="58">
      <c r="D58" s="3"/>
      <c r="E58" s="2"/>
      <c r="F58" s="3"/>
      <c r="G58" s="36"/>
    </row>
    <row r="59">
      <c r="D59" s="3"/>
      <c r="E59" s="2"/>
      <c r="F59" s="3"/>
      <c r="G59" s="36"/>
    </row>
    <row r="60">
      <c r="D60" s="3"/>
      <c r="E60" s="2"/>
      <c r="F60" s="3"/>
      <c r="G60" s="36"/>
    </row>
    <row r="61">
      <c r="D61" s="3"/>
      <c r="E61" s="2"/>
      <c r="F61" s="3"/>
      <c r="G61" s="36"/>
    </row>
    <row r="62">
      <c r="D62" s="3"/>
      <c r="E62" s="2"/>
      <c r="F62" s="3"/>
      <c r="G62" s="36"/>
    </row>
    <row r="63">
      <c r="D63" s="3"/>
      <c r="E63" s="2"/>
      <c r="F63" s="3"/>
      <c r="G63" s="36"/>
    </row>
    <row r="64">
      <c r="D64" s="3"/>
      <c r="E64" s="2"/>
      <c r="F64" s="3"/>
      <c r="G64" s="36"/>
    </row>
    <row r="65">
      <c r="D65" s="3"/>
      <c r="E65" s="2"/>
      <c r="F65" s="3"/>
      <c r="G65" s="36"/>
    </row>
    <row r="66">
      <c r="D66" s="3"/>
      <c r="E66" s="2"/>
      <c r="F66" s="3"/>
      <c r="G66" s="36"/>
    </row>
    <row r="67">
      <c r="D67" s="3"/>
      <c r="E67" s="2"/>
      <c r="F67" s="3"/>
      <c r="G67" s="36"/>
    </row>
    <row r="68">
      <c r="D68" s="3"/>
      <c r="E68" s="2"/>
      <c r="F68" s="3"/>
      <c r="G68" s="36"/>
    </row>
    <row r="69">
      <c r="D69" s="3"/>
      <c r="E69" s="2"/>
      <c r="F69" s="3"/>
      <c r="G69" s="36"/>
    </row>
    <row r="70">
      <c r="D70" s="3"/>
      <c r="E70" s="2"/>
      <c r="F70" s="3"/>
      <c r="G70" s="36"/>
    </row>
    <row r="71">
      <c r="D71" s="3"/>
      <c r="E71" s="2"/>
      <c r="F71" s="3"/>
      <c r="G71" s="36"/>
    </row>
    <row r="72">
      <c r="D72" s="3"/>
      <c r="E72" s="2"/>
      <c r="F72" s="3"/>
      <c r="G72" s="36"/>
    </row>
    <row r="73">
      <c r="D73" s="3"/>
      <c r="E73" s="2"/>
      <c r="F73" s="3"/>
      <c r="G73" s="36"/>
    </row>
    <row r="74">
      <c r="D74" s="3"/>
      <c r="E74" s="2"/>
      <c r="F74" s="3"/>
      <c r="G74" s="36"/>
    </row>
    <row r="75">
      <c r="D75" s="3"/>
      <c r="E75" s="2"/>
      <c r="F75" s="3"/>
      <c r="G75" s="36"/>
    </row>
    <row r="76">
      <c r="D76" s="3"/>
      <c r="E76" s="2"/>
      <c r="F76" s="3"/>
      <c r="G76" s="36"/>
    </row>
    <row r="77">
      <c r="D77" s="3"/>
      <c r="E77" s="2"/>
      <c r="F77" s="3"/>
      <c r="G77" s="36"/>
    </row>
    <row r="78">
      <c r="D78" s="3"/>
      <c r="E78" s="2"/>
      <c r="F78" s="3"/>
      <c r="G78" s="36"/>
    </row>
    <row r="79">
      <c r="D79" s="3"/>
      <c r="E79" s="2"/>
      <c r="F79" s="3"/>
      <c r="G79" s="36"/>
    </row>
    <row r="80">
      <c r="D80" s="3"/>
      <c r="E80" s="2"/>
      <c r="F80" s="3"/>
      <c r="G80" s="36"/>
    </row>
    <row r="81">
      <c r="D81" s="3"/>
      <c r="E81" s="2"/>
      <c r="F81" s="3"/>
      <c r="G81" s="36"/>
    </row>
    <row r="82">
      <c r="D82" s="3"/>
      <c r="E82" s="2"/>
      <c r="F82" s="3"/>
      <c r="G82" s="36"/>
    </row>
    <row r="83">
      <c r="D83" s="3"/>
      <c r="E83" s="2"/>
      <c r="F83" s="3"/>
      <c r="G83" s="36"/>
    </row>
    <row r="84">
      <c r="D84" s="3"/>
      <c r="E84" s="2"/>
      <c r="F84" s="3"/>
      <c r="G84" s="36"/>
    </row>
    <row r="85">
      <c r="D85" s="3"/>
      <c r="E85" s="2"/>
      <c r="F85" s="3"/>
      <c r="G85" s="36"/>
    </row>
    <row r="86">
      <c r="D86" s="3"/>
      <c r="E86" s="2"/>
      <c r="F86" s="3"/>
      <c r="G86" s="36"/>
    </row>
    <row r="87">
      <c r="D87" s="3"/>
      <c r="E87" s="2"/>
      <c r="F87" s="3"/>
      <c r="G87" s="36"/>
    </row>
    <row r="88">
      <c r="D88" s="3"/>
      <c r="E88" s="2"/>
      <c r="F88" s="3"/>
      <c r="G88" s="36"/>
    </row>
    <row r="89">
      <c r="D89" s="3"/>
      <c r="E89" s="2"/>
      <c r="F89" s="3"/>
      <c r="G89" s="36"/>
    </row>
    <row r="90">
      <c r="D90" s="3"/>
      <c r="E90" s="2"/>
      <c r="F90" s="3"/>
      <c r="G90" s="36"/>
    </row>
    <row r="91">
      <c r="D91" s="3"/>
      <c r="E91" s="2"/>
      <c r="F91" s="3"/>
      <c r="G91" s="36"/>
    </row>
    <row r="92">
      <c r="D92" s="3"/>
      <c r="E92" s="2"/>
      <c r="F92" s="3"/>
      <c r="G92" s="36"/>
    </row>
    <row r="93">
      <c r="D93" s="3"/>
      <c r="E93" s="2"/>
      <c r="F93" s="3"/>
      <c r="G93" s="36"/>
    </row>
    <row r="94">
      <c r="D94" s="3"/>
      <c r="E94" s="2"/>
      <c r="F94" s="3"/>
      <c r="G94" s="36"/>
    </row>
    <row r="95">
      <c r="D95" s="3"/>
      <c r="E95" s="2"/>
      <c r="F95" s="3"/>
      <c r="G95" s="36"/>
    </row>
    <row r="96">
      <c r="D96" s="3"/>
      <c r="E96" s="2"/>
      <c r="F96" s="3"/>
      <c r="G96" s="36"/>
    </row>
    <row r="97">
      <c r="D97" s="3"/>
      <c r="E97" s="2"/>
      <c r="F97" s="3"/>
      <c r="G97" s="36"/>
    </row>
    <row r="98">
      <c r="D98" s="3"/>
      <c r="E98" s="2"/>
      <c r="F98" s="3"/>
      <c r="G98" s="36"/>
    </row>
    <row r="99">
      <c r="D99" s="3"/>
      <c r="E99" s="2"/>
      <c r="F99" s="3"/>
      <c r="G99" s="36"/>
    </row>
    <row r="100">
      <c r="D100" s="3"/>
      <c r="E100" s="2"/>
      <c r="F100" s="3"/>
      <c r="G100" s="36"/>
    </row>
    <row r="101">
      <c r="D101" s="3"/>
      <c r="E101" s="2"/>
      <c r="F101" s="3"/>
      <c r="G101" s="36"/>
    </row>
    <row r="102">
      <c r="D102" s="3"/>
      <c r="E102" s="2"/>
      <c r="F102" s="3"/>
      <c r="G102" s="36"/>
    </row>
    <row r="103">
      <c r="D103" s="3"/>
      <c r="E103" s="2"/>
      <c r="F103" s="3"/>
      <c r="G103" s="36"/>
    </row>
    <row r="104">
      <c r="D104" s="3"/>
      <c r="E104" s="2"/>
      <c r="F104" s="3"/>
      <c r="G104" s="36"/>
    </row>
    <row r="105">
      <c r="D105" s="3"/>
      <c r="E105" s="2"/>
      <c r="F105" s="3"/>
      <c r="G105" s="36"/>
    </row>
    <row r="106">
      <c r="D106" s="3"/>
      <c r="E106" s="2"/>
      <c r="F106" s="3"/>
      <c r="G106" s="36"/>
    </row>
    <row r="107">
      <c r="D107" s="3"/>
      <c r="E107" s="2"/>
      <c r="F107" s="3"/>
      <c r="G107" s="36"/>
    </row>
    <row r="108">
      <c r="D108" s="3"/>
      <c r="E108" s="2"/>
      <c r="F108" s="3"/>
      <c r="G108" s="36"/>
    </row>
    <row r="109">
      <c r="D109" s="3"/>
      <c r="E109" s="2"/>
      <c r="F109" s="3"/>
      <c r="G109" s="36"/>
    </row>
    <row r="110">
      <c r="D110" s="3"/>
      <c r="E110" s="2"/>
      <c r="F110" s="3"/>
      <c r="G110" s="36"/>
    </row>
    <row r="111">
      <c r="D111" s="3"/>
      <c r="E111" s="2"/>
      <c r="F111" s="3"/>
      <c r="G111" s="36"/>
    </row>
    <row r="112">
      <c r="D112" s="3"/>
      <c r="E112" s="2"/>
      <c r="F112" s="3"/>
      <c r="G112" s="36"/>
    </row>
    <row r="113">
      <c r="D113" s="3"/>
      <c r="E113" s="2"/>
      <c r="F113" s="3"/>
      <c r="G113" s="36"/>
    </row>
    <row r="114">
      <c r="D114" s="3"/>
      <c r="E114" s="2"/>
      <c r="F114" s="3"/>
      <c r="G114" s="36"/>
    </row>
    <row r="115">
      <c r="D115" s="3"/>
      <c r="E115" s="2"/>
      <c r="F115" s="3"/>
      <c r="G115" s="36"/>
    </row>
    <row r="116">
      <c r="D116" s="3"/>
      <c r="E116" s="2"/>
      <c r="F116" s="3"/>
      <c r="G116" s="36"/>
    </row>
    <row r="117">
      <c r="D117" s="3"/>
      <c r="E117" s="2"/>
      <c r="F117" s="3"/>
      <c r="G117" s="36"/>
    </row>
    <row r="118">
      <c r="D118" s="3"/>
      <c r="E118" s="2"/>
      <c r="F118" s="3"/>
      <c r="G118" s="36"/>
    </row>
    <row r="119">
      <c r="D119" s="3"/>
      <c r="E119" s="2"/>
      <c r="F119" s="3"/>
      <c r="G119" s="36"/>
    </row>
    <row r="120">
      <c r="D120" s="3"/>
      <c r="E120" s="2"/>
      <c r="F120" s="3"/>
      <c r="G120" s="36"/>
    </row>
    <row r="121">
      <c r="D121" s="3"/>
      <c r="E121" s="2"/>
      <c r="F121" s="3"/>
      <c r="G121" s="36"/>
    </row>
    <row r="122">
      <c r="D122" s="3"/>
      <c r="E122" s="2"/>
      <c r="F122" s="3"/>
      <c r="G122" s="36"/>
    </row>
    <row r="123">
      <c r="D123" s="3"/>
      <c r="E123" s="2"/>
      <c r="F123" s="3"/>
      <c r="G123" s="36"/>
    </row>
    <row r="124">
      <c r="D124" s="3"/>
      <c r="E124" s="2"/>
      <c r="F124" s="3"/>
      <c r="G124" s="36"/>
    </row>
    <row r="125">
      <c r="D125" s="3"/>
      <c r="E125" s="2"/>
      <c r="F125" s="3"/>
      <c r="G125" s="36"/>
    </row>
    <row r="126">
      <c r="D126" s="3"/>
      <c r="E126" s="2"/>
      <c r="F126" s="3"/>
      <c r="G126" s="36"/>
    </row>
    <row r="127">
      <c r="D127" s="3"/>
      <c r="E127" s="2"/>
      <c r="F127" s="3"/>
      <c r="G127" s="36"/>
    </row>
    <row r="128">
      <c r="D128" s="3"/>
      <c r="E128" s="2"/>
      <c r="F128" s="3"/>
      <c r="G128" s="36"/>
    </row>
    <row r="129">
      <c r="D129" s="3"/>
      <c r="E129" s="2"/>
      <c r="F129" s="3"/>
      <c r="G129" s="36"/>
    </row>
    <row r="130">
      <c r="D130" s="3"/>
      <c r="E130" s="2"/>
      <c r="F130" s="3"/>
      <c r="G130" s="36"/>
    </row>
    <row r="131">
      <c r="D131" s="3"/>
      <c r="E131" s="2"/>
      <c r="F131" s="3"/>
      <c r="G131" s="36"/>
    </row>
    <row r="132">
      <c r="D132" s="3"/>
      <c r="E132" s="2"/>
      <c r="F132" s="3"/>
      <c r="G132" s="36"/>
    </row>
    <row r="133">
      <c r="D133" s="3"/>
      <c r="E133" s="2"/>
      <c r="F133" s="3"/>
      <c r="G133" s="36"/>
    </row>
    <row r="134">
      <c r="D134" s="3"/>
      <c r="E134" s="2"/>
      <c r="F134" s="3"/>
      <c r="G134" s="36"/>
    </row>
    <row r="135">
      <c r="D135" s="3"/>
      <c r="E135" s="2"/>
      <c r="F135" s="3"/>
      <c r="G135" s="36"/>
    </row>
    <row r="136">
      <c r="D136" s="3"/>
      <c r="E136" s="2"/>
      <c r="F136" s="3"/>
      <c r="G136" s="36"/>
    </row>
    <row r="137">
      <c r="D137" s="3"/>
      <c r="E137" s="2"/>
      <c r="F137" s="3"/>
      <c r="G137" s="36"/>
    </row>
    <row r="138">
      <c r="D138" s="3"/>
      <c r="E138" s="2"/>
      <c r="F138" s="3"/>
      <c r="G138" s="36"/>
    </row>
    <row r="139">
      <c r="D139" s="3"/>
      <c r="E139" s="2"/>
      <c r="F139" s="3"/>
      <c r="G139" s="36"/>
    </row>
    <row r="140">
      <c r="D140" s="3"/>
      <c r="E140" s="2"/>
      <c r="F140" s="3"/>
      <c r="G140" s="36"/>
    </row>
    <row r="141">
      <c r="D141" s="3"/>
      <c r="E141" s="2"/>
      <c r="F141" s="3"/>
      <c r="G141" s="36"/>
    </row>
    <row r="142">
      <c r="D142" s="3"/>
      <c r="E142" s="2"/>
      <c r="F142" s="3"/>
      <c r="G142" s="36"/>
    </row>
    <row r="143">
      <c r="D143" s="3"/>
      <c r="E143" s="2"/>
      <c r="F143" s="3"/>
      <c r="G143" s="36"/>
    </row>
    <row r="144">
      <c r="D144" s="3"/>
      <c r="E144" s="2"/>
      <c r="F144" s="3"/>
      <c r="G144" s="36"/>
    </row>
    <row r="145">
      <c r="D145" s="3"/>
      <c r="E145" s="2"/>
      <c r="F145" s="3"/>
      <c r="G145" s="36"/>
    </row>
    <row r="146">
      <c r="D146" s="3"/>
      <c r="E146" s="2"/>
      <c r="F146" s="3"/>
      <c r="G146" s="36"/>
    </row>
    <row r="147">
      <c r="D147" s="3"/>
      <c r="E147" s="2"/>
      <c r="F147" s="3"/>
      <c r="G147" s="36"/>
    </row>
    <row r="148">
      <c r="D148" s="3"/>
      <c r="E148" s="2"/>
      <c r="F148" s="3"/>
      <c r="G148" s="36"/>
    </row>
    <row r="149">
      <c r="D149" s="3"/>
      <c r="E149" s="2"/>
      <c r="F149" s="3"/>
      <c r="G149" s="36"/>
    </row>
    <row r="150">
      <c r="D150" s="3"/>
      <c r="E150" s="2"/>
      <c r="F150" s="3"/>
      <c r="G150" s="36"/>
    </row>
    <row r="151">
      <c r="D151" s="3"/>
      <c r="E151" s="2"/>
      <c r="F151" s="3"/>
      <c r="G151" s="36"/>
    </row>
    <row r="152">
      <c r="D152" s="3"/>
      <c r="E152" s="2"/>
      <c r="F152" s="3"/>
      <c r="G152" s="36"/>
    </row>
    <row r="153">
      <c r="D153" s="3"/>
      <c r="E153" s="2"/>
      <c r="F153" s="3"/>
      <c r="G153" s="36"/>
    </row>
    <row r="154">
      <c r="D154" s="3"/>
      <c r="E154" s="2"/>
      <c r="F154" s="3"/>
      <c r="G154" s="36"/>
    </row>
    <row r="155">
      <c r="D155" s="3"/>
      <c r="E155" s="2"/>
      <c r="F155" s="3"/>
      <c r="G155" s="36"/>
    </row>
    <row r="156">
      <c r="D156" s="3"/>
      <c r="E156" s="2"/>
      <c r="F156" s="3"/>
      <c r="G156" s="36"/>
    </row>
    <row r="157">
      <c r="D157" s="3"/>
      <c r="E157" s="2"/>
      <c r="F157" s="3"/>
      <c r="G157" s="36"/>
    </row>
    <row r="158">
      <c r="D158" s="3"/>
      <c r="E158" s="2"/>
      <c r="F158" s="3"/>
      <c r="G158" s="36"/>
    </row>
    <row r="159">
      <c r="D159" s="3"/>
      <c r="E159" s="2"/>
      <c r="F159" s="3"/>
      <c r="G159" s="36"/>
    </row>
    <row r="160">
      <c r="D160" s="3"/>
      <c r="E160" s="2"/>
      <c r="F160" s="3"/>
      <c r="G160" s="36"/>
    </row>
    <row r="161">
      <c r="D161" s="3"/>
      <c r="E161" s="2"/>
      <c r="F161" s="3"/>
      <c r="G161" s="36"/>
    </row>
    <row r="162">
      <c r="D162" s="3"/>
      <c r="E162" s="2"/>
      <c r="F162" s="3"/>
      <c r="G162" s="36"/>
    </row>
    <row r="163">
      <c r="D163" s="3"/>
      <c r="E163" s="2"/>
      <c r="F163" s="3"/>
      <c r="G163" s="36"/>
    </row>
    <row r="164">
      <c r="D164" s="3"/>
      <c r="E164" s="2"/>
      <c r="F164" s="3"/>
      <c r="G164" s="36"/>
    </row>
    <row r="165">
      <c r="D165" s="3"/>
      <c r="E165" s="2"/>
      <c r="F165" s="3"/>
      <c r="G165" s="36"/>
    </row>
    <row r="166">
      <c r="D166" s="3"/>
      <c r="E166" s="2"/>
      <c r="F166" s="3"/>
      <c r="G166" s="36"/>
    </row>
    <row r="167">
      <c r="D167" s="3"/>
      <c r="E167" s="2"/>
      <c r="F167" s="3"/>
      <c r="G167" s="36"/>
    </row>
    <row r="168">
      <c r="D168" s="3"/>
      <c r="E168" s="2"/>
      <c r="F168" s="3"/>
      <c r="G168" s="36"/>
    </row>
    <row r="169">
      <c r="D169" s="3"/>
      <c r="E169" s="2"/>
      <c r="F169" s="3"/>
      <c r="G169" s="36"/>
    </row>
    <row r="170">
      <c r="D170" s="3"/>
      <c r="E170" s="2"/>
      <c r="F170" s="3"/>
      <c r="G170" s="36"/>
    </row>
    <row r="171">
      <c r="D171" s="3"/>
      <c r="E171" s="2"/>
      <c r="F171" s="3"/>
      <c r="G171" s="36"/>
    </row>
    <row r="172">
      <c r="D172" s="3"/>
      <c r="E172" s="2"/>
      <c r="F172" s="3"/>
      <c r="G172" s="36"/>
    </row>
    <row r="173">
      <c r="D173" s="3"/>
      <c r="E173" s="2"/>
      <c r="F173" s="3"/>
      <c r="G173" s="36"/>
    </row>
    <row r="174">
      <c r="D174" s="3"/>
      <c r="E174" s="2"/>
      <c r="F174" s="3"/>
      <c r="G174" s="36"/>
    </row>
    <row r="175">
      <c r="D175" s="3"/>
      <c r="E175" s="2"/>
      <c r="F175" s="3"/>
      <c r="G175" s="36"/>
    </row>
    <row r="176">
      <c r="D176" s="3"/>
      <c r="E176" s="2"/>
      <c r="F176" s="3"/>
      <c r="G176" s="36"/>
    </row>
    <row r="177">
      <c r="D177" s="3"/>
      <c r="E177" s="2"/>
      <c r="F177" s="3"/>
      <c r="G177" s="36"/>
    </row>
    <row r="178">
      <c r="D178" s="3"/>
      <c r="E178" s="2"/>
      <c r="F178" s="3"/>
      <c r="G178" s="36"/>
    </row>
    <row r="179">
      <c r="D179" s="3"/>
      <c r="E179" s="2"/>
      <c r="F179" s="3"/>
      <c r="G179" s="36"/>
    </row>
    <row r="180">
      <c r="D180" s="3"/>
      <c r="E180" s="2"/>
      <c r="F180" s="3"/>
      <c r="G180" s="36"/>
    </row>
    <row r="181">
      <c r="D181" s="3"/>
      <c r="E181" s="2"/>
      <c r="F181" s="3"/>
      <c r="G181" s="36"/>
    </row>
    <row r="182">
      <c r="D182" s="3"/>
      <c r="E182" s="2"/>
      <c r="F182" s="3"/>
      <c r="G182" s="36"/>
    </row>
    <row r="183">
      <c r="D183" s="3"/>
      <c r="E183" s="2"/>
      <c r="F183" s="3"/>
      <c r="G183" s="36"/>
    </row>
    <row r="184">
      <c r="D184" s="3"/>
      <c r="E184" s="2"/>
      <c r="F184" s="3"/>
      <c r="G184" s="36"/>
    </row>
    <row r="185">
      <c r="D185" s="3"/>
      <c r="E185" s="2"/>
      <c r="F185" s="3"/>
      <c r="G185" s="36"/>
    </row>
    <row r="186">
      <c r="D186" s="3"/>
      <c r="E186" s="2"/>
      <c r="F186" s="3"/>
      <c r="G186" s="36"/>
    </row>
    <row r="187">
      <c r="D187" s="3"/>
      <c r="E187" s="2"/>
      <c r="F187" s="3"/>
      <c r="G187" s="36"/>
    </row>
    <row r="188">
      <c r="D188" s="3"/>
      <c r="E188" s="2"/>
      <c r="F188" s="3"/>
      <c r="G188" s="36"/>
    </row>
    <row r="189">
      <c r="D189" s="3"/>
      <c r="E189" s="2"/>
      <c r="F189" s="3"/>
      <c r="G189" s="36"/>
    </row>
    <row r="190">
      <c r="D190" s="3"/>
      <c r="E190" s="2"/>
      <c r="F190" s="3"/>
      <c r="G190" s="36"/>
    </row>
    <row r="191">
      <c r="D191" s="3"/>
      <c r="E191" s="2"/>
      <c r="F191" s="3"/>
      <c r="G191" s="36"/>
    </row>
    <row r="192">
      <c r="D192" s="3"/>
      <c r="E192" s="2"/>
      <c r="F192" s="3"/>
      <c r="G192" s="36"/>
    </row>
    <row r="193">
      <c r="D193" s="3"/>
      <c r="E193" s="2"/>
      <c r="F193" s="3"/>
      <c r="G193" s="36"/>
    </row>
    <row r="194">
      <c r="D194" s="3"/>
      <c r="E194" s="2"/>
      <c r="F194" s="3"/>
      <c r="G194" s="36"/>
    </row>
    <row r="195">
      <c r="D195" s="3"/>
      <c r="E195" s="2"/>
      <c r="F195" s="3"/>
      <c r="G195" s="36"/>
    </row>
    <row r="196">
      <c r="D196" s="3"/>
      <c r="E196" s="2"/>
      <c r="F196" s="3"/>
      <c r="G196" s="36"/>
    </row>
    <row r="197">
      <c r="D197" s="3"/>
      <c r="E197" s="2"/>
      <c r="F197" s="3"/>
      <c r="G197" s="36"/>
    </row>
    <row r="198">
      <c r="D198" s="3"/>
      <c r="E198" s="2"/>
      <c r="F198" s="3"/>
      <c r="G198" s="36"/>
    </row>
    <row r="199">
      <c r="D199" s="3"/>
      <c r="E199" s="2"/>
      <c r="F199" s="3"/>
      <c r="G199" s="36"/>
    </row>
    <row r="200">
      <c r="D200" s="3"/>
      <c r="E200" s="2"/>
      <c r="F200" s="3"/>
      <c r="G200" s="36"/>
    </row>
    <row r="201">
      <c r="D201" s="3"/>
      <c r="E201" s="2"/>
      <c r="F201" s="3"/>
      <c r="G201" s="36"/>
    </row>
    <row r="202">
      <c r="D202" s="3"/>
      <c r="E202" s="2"/>
      <c r="F202" s="3"/>
      <c r="G202" s="36"/>
    </row>
    <row r="203">
      <c r="D203" s="3"/>
      <c r="E203" s="2"/>
      <c r="F203" s="3"/>
      <c r="G203" s="36"/>
    </row>
    <row r="204">
      <c r="D204" s="3"/>
      <c r="E204" s="2"/>
      <c r="F204" s="3"/>
      <c r="G204" s="36"/>
    </row>
    <row r="205">
      <c r="D205" s="3"/>
      <c r="E205" s="2"/>
      <c r="F205" s="3"/>
      <c r="G205" s="36"/>
    </row>
    <row r="206">
      <c r="D206" s="3"/>
      <c r="E206" s="2"/>
      <c r="F206" s="3"/>
      <c r="G206" s="36"/>
    </row>
    <row r="207">
      <c r="D207" s="3"/>
      <c r="E207" s="2"/>
      <c r="F207" s="3"/>
      <c r="G207" s="36"/>
    </row>
    <row r="208">
      <c r="D208" s="3"/>
      <c r="E208" s="2"/>
      <c r="F208" s="3"/>
      <c r="G208" s="36"/>
    </row>
    <row r="209">
      <c r="D209" s="3"/>
      <c r="E209" s="2"/>
      <c r="F209" s="3"/>
      <c r="G209" s="36"/>
    </row>
    <row r="210">
      <c r="D210" s="3"/>
      <c r="E210" s="2"/>
      <c r="F210" s="3"/>
      <c r="G210" s="36"/>
    </row>
    <row r="211">
      <c r="D211" s="3"/>
      <c r="E211" s="2"/>
      <c r="F211" s="3"/>
      <c r="G211" s="36"/>
    </row>
    <row r="212">
      <c r="D212" s="3"/>
      <c r="E212" s="2"/>
      <c r="F212" s="3"/>
      <c r="G212" s="36"/>
    </row>
    <row r="213">
      <c r="D213" s="3"/>
      <c r="E213" s="2"/>
      <c r="F213" s="3"/>
      <c r="G213" s="36"/>
    </row>
    <row r="214">
      <c r="D214" s="3"/>
      <c r="E214" s="2"/>
      <c r="F214" s="3"/>
      <c r="G214" s="36"/>
    </row>
    <row r="215">
      <c r="D215" s="3"/>
      <c r="E215" s="2"/>
      <c r="F215" s="3"/>
      <c r="G215" s="36"/>
    </row>
    <row r="216">
      <c r="D216" s="3"/>
      <c r="E216" s="2"/>
      <c r="F216" s="3"/>
      <c r="G216" s="36"/>
    </row>
    <row r="217">
      <c r="D217" s="3"/>
      <c r="E217" s="2"/>
      <c r="F217" s="3"/>
      <c r="G217" s="36"/>
    </row>
    <row r="218">
      <c r="D218" s="3"/>
      <c r="E218" s="2"/>
      <c r="F218" s="3"/>
      <c r="G218" s="36"/>
    </row>
    <row r="219">
      <c r="D219" s="3"/>
      <c r="E219" s="2"/>
      <c r="F219" s="3"/>
      <c r="G219" s="36"/>
    </row>
    <row r="220">
      <c r="D220" s="3"/>
      <c r="E220" s="2"/>
      <c r="F220" s="3"/>
      <c r="G220" s="36"/>
    </row>
    <row r="221">
      <c r="D221" s="3"/>
      <c r="E221" s="2"/>
      <c r="F221" s="3"/>
      <c r="G221" s="36"/>
    </row>
    <row r="222">
      <c r="D222" s="3"/>
      <c r="E222" s="2"/>
      <c r="F222" s="3"/>
      <c r="G222" s="36"/>
    </row>
    <row r="223">
      <c r="D223" s="3"/>
      <c r="E223" s="2"/>
      <c r="F223" s="3"/>
      <c r="G223" s="36"/>
    </row>
    <row r="224">
      <c r="D224" s="3"/>
      <c r="E224" s="2"/>
      <c r="F224" s="3"/>
      <c r="G224" s="36"/>
    </row>
    <row r="225">
      <c r="D225" s="3"/>
      <c r="E225" s="2"/>
      <c r="F225" s="3"/>
      <c r="G225" s="36"/>
    </row>
    <row r="226">
      <c r="D226" s="3"/>
      <c r="E226" s="2"/>
      <c r="F226" s="3"/>
      <c r="G226" s="36"/>
    </row>
    <row r="227">
      <c r="D227" s="3"/>
      <c r="E227" s="2"/>
      <c r="F227" s="3"/>
      <c r="G227" s="36"/>
    </row>
    <row r="228">
      <c r="D228" s="3"/>
      <c r="E228" s="2"/>
      <c r="F228" s="3"/>
      <c r="G228" s="36"/>
    </row>
    <row r="229">
      <c r="D229" s="3"/>
      <c r="E229" s="2"/>
      <c r="F229" s="3"/>
      <c r="G229" s="36"/>
    </row>
    <row r="230">
      <c r="D230" s="3"/>
      <c r="E230" s="2"/>
      <c r="F230" s="3"/>
      <c r="G230" s="36"/>
    </row>
    <row r="231">
      <c r="D231" s="3"/>
      <c r="E231" s="2"/>
      <c r="F231" s="3"/>
      <c r="G231" s="36"/>
    </row>
    <row r="232">
      <c r="D232" s="3"/>
      <c r="E232" s="2"/>
      <c r="F232" s="3"/>
      <c r="G232" s="36"/>
    </row>
    <row r="233">
      <c r="D233" s="3"/>
      <c r="E233" s="2"/>
      <c r="F233" s="3"/>
      <c r="G233" s="36"/>
    </row>
    <row r="234">
      <c r="D234" s="3"/>
      <c r="E234" s="2"/>
      <c r="F234" s="3"/>
      <c r="G234" s="36"/>
    </row>
    <row r="235">
      <c r="D235" s="3"/>
      <c r="E235" s="2"/>
      <c r="F235" s="3"/>
      <c r="G235" s="36"/>
    </row>
    <row r="236">
      <c r="D236" s="3"/>
      <c r="E236" s="2"/>
      <c r="F236" s="3"/>
      <c r="G236" s="36"/>
    </row>
    <row r="237">
      <c r="D237" s="3"/>
      <c r="E237" s="2"/>
      <c r="F237" s="3"/>
      <c r="G237" s="36"/>
    </row>
    <row r="238">
      <c r="D238" s="3"/>
      <c r="E238" s="2"/>
      <c r="F238" s="3"/>
      <c r="G238" s="36"/>
    </row>
    <row r="239">
      <c r="D239" s="3"/>
      <c r="E239" s="2"/>
      <c r="F239" s="3"/>
      <c r="G239" s="36"/>
    </row>
    <row r="240">
      <c r="D240" s="3"/>
      <c r="E240" s="2"/>
      <c r="F240" s="3"/>
      <c r="G240" s="36"/>
    </row>
    <row r="241">
      <c r="D241" s="3"/>
      <c r="E241" s="2"/>
      <c r="F241" s="3"/>
      <c r="G241" s="36"/>
    </row>
    <row r="242">
      <c r="D242" s="3"/>
      <c r="E242" s="2"/>
      <c r="F242" s="3"/>
      <c r="G242" s="36"/>
    </row>
    <row r="243">
      <c r="D243" s="3"/>
      <c r="E243" s="2"/>
      <c r="F243" s="3"/>
      <c r="G243" s="36"/>
    </row>
    <row r="244">
      <c r="D244" s="3"/>
      <c r="E244" s="2"/>
      <c r="F244" s="3"/>
      <c r="G244" s="36"/>
    </row>
    <row r="245">
      <c r="D245" s="3"/>
      <c r="E245" s="2"/>
      <c r="F245" s="3"/>
      <c r="G245" s="36"/>
    </row>
    <row r="246">
      <c r="D246" s="3"/>
      <c r="E246" s="2"/>
      <c r="F246" s="3"/>
      <c r="G246" s="36"/>
    </row>
    <row r="247">
      <c r="D247" s="3"/>
      <c r="E247" s="2"/>
      <c r="F247" s="3"/>
      <c r="G247" s="36"/>
    </row>
    <row r="248">
      <c r="D248" s="3"/>
      <c r="E248" s="2"/>
      <c r="F248" s="3"/>
      <c r="G248" s="36"/>
    </row>
    <row r="249">
      <c r="D249" s="3"/>
      <c r="E249" s="2"/>
      <c r="F249" s="3"/>
      <c r="G249" s="36"/>
    </row>
    <row r="250">
      <c r="D250" s="3"/>
      <c r="E250" s="2"/>
      <c r="F250" s="3"/>
      <c r="G250" s="36"/>
    </row>
    <row r="251">
      <c r="D251" s="3"/>
      <c r="E251" s="2"/>
      <c r="F251" s="3"/>
      <c r="G251" s="36"/>
    </row>
    <row r="252">
      <c r="D252" s="3"/>
      <c r="E252" s="2"/>
      <c r="F252" s="3"/>
      <c r="G252" s="36"/>
    </row>
    <row r="253">
      <c r="D253" s="3"/>
      <c r="E253" s="2"/>
      <c r="F253" s="3"/>
      <c r="G253" s="36"/>
    </row>
    <row r="254">
      <c r="D254" s="3"/>
      <c r="E254" s="2"/>
      <c r="F254" s="3"/>
      <c r="G254" s="36"/>
    </row>
    <row r="255">
      <c r="D255" s="3"/>
      <c r="E255" s="2"/>
      <c r="F255" s="3"/>
      <c r="G255" s="36"/>
    </row>
    <row r="256">
      <c r="D256" s="3"/>
      <c r="E256" s="2"/>
      <c r="F256" s="3"/>
      <c r="G256" s="36"/>
    </row>
    <row r="257">
      <c r="D257" s="3"/>
      <c r="E257" s="2"/>
      <c r="F257" s="3"/>
      <c r="G257" s="36"/>
    </row>
    <row r="258">
      <c r="D258" s="3"/>
      <c r="E258" s="2"/>
      <c r="F258" s="3"/>
      <c r="G258" s="36"/>
    </row>
    <row r="259">
      <c r="D259" s="3"/>
      <c r="E259" s="2"/>
      <c r="F259" s="3"/>
      <c r="G259" s="36"/>
    </row>
    <row r="260">
      <c r="D260" s="3"/>
      <c r="E260" s="2"/>
      <c r="F260" s="3"/>
      <c r="G260" s="36"/>
    </row>
    <row r="261">
      <c r="D261" s="3"/>
      <c r="E261" s="2"/>
      <c r="F261" s="3"/>
      <c r="G261" s="36"/>
    </row>
    <row r="262">
      <c r="D262" s="3"/>
      <c r="E262" s="2"/>
      <c r="F262" s="3"/>
      <c r="G262" s="36"/>
    </row>
    <row r="263">
      <c r="D263" s="3"/>
      <c r="E263" s="2"/>
      <c r="F263" s="3"/>
      <c r="G263" s="36"/>
    </row>
    <row r="264">
      <c r="D264" s="3"/>
      <c r="E264" s="2"/>
      <c r="F264" s="3"/>
      <c r="G264" s="36"/>
    </row>
    <row r="265">
      <c r="D265" s="3"/>
      <c r="E265" s="2"/>
      <c r="F265" s="3"/>
      <c r="G265" s="36"/>
    </row>
    <row r="266">
      <c r="D266" s="3"/>
      <c r="E266" s="2"/>
      <c r="F266" s="3"/>
      <c r="G266" s="36"/>
    </row>
    <row r="267">
      <c r="D267" s="3"/>
      <c r="E267" s="2"/>
      <c r="F267" s="3"/>
      <c r="G267" s="36"/>
    </row>
    <row r="268">
      <c r="D268" s="3"/>
      <c r="E268" s="2"/>
      <c r="F268" s="3"/>
      <c r="G268" s="36"/>
    </row>
    <row r="269">
      <c r="D269" s="3"/>
      <c r="E269" s="2"/>
      <c r="F269" s="3"/>
      <c r="G269" s="36"/>
    </row>
    <row r="270">
      <c r="D270" s="3"/>
      <c r="E270" s="2"/>
      <c r="F270" s="3"/>
      <c r="G270" s="36"/>
    </row>
    <row r="271">
      <c r="D271" s="3"/>
      <c r="E271" s="2"/>
      <c r="F271" s="3"/>
      <c r="G271" s="36"/>
    </row>
    <row r="272">
      <c r="D272" s="3"/>
      <c r="E272" s="2"/>
      <c r="F272" s="3"/>
      <c r="G272" s="36"/>
    </row>
    <row r="273">
      <c r="D273" s="3"/>
      <c r="E273" s="2"/>
      <c r="F273" s="3"/>
      <c r="G273" s="36"/>
    </row>
    <row r="274">
      <c r="D274" s="3"/>
      <c r="E274" s="2"/>
      <c r="F274" s="3"/>
      <c r="G274" s="36"/>
    </row>
    <row r="275">
      <c r="D275" s="3"/>
      <c r="E275" s="2"/>
      <c r="F275" s="3"/>
      <c r="G275" s="36"/>
    </row>
    <row r="276">
      <c r="D276" s="3"/>
      <c r="E276" s="2"/>
      <c r="F276" s="3"/>
      <c r="G276" s="36"/>
    </row>
    <row r="277">
      <c r="D277" s="3"/>
      <c r="E277" s="2"/>
      <c r="F277" s="3"/>
      <c r="G277" s="36"/>
    </row>
    <row r="278">
      <c r="D278" s="3"/>
      <c r="E278" s="2"/>
      <c r="F278" s="3"/>
      <c r="G278" s="36"/>
    </row>
    <row r="279">
      <c r="D279" s="3"/>
      <c r="E279" s="2"/>
      <c r="F279" s="3"/>
      <c r="G279" s="36"/>
    </row>
    <row r="280">
      <c r="D280" s="3"/>
      <c r="E280" s="2"/>
      <c r="F280" s="3"/>
      <c r="G280" s="36"/>
    </row>
    <row r="281">
      <c r="D281" s="3"/>
      <c r="E281" s="2"/>
      <c r="F281" s="3"/>
      <c r="G281" s="36"/>
    </row>
    <row r="282">
      <c r="D282" s="3"/>
      <c r="E282" s="2"/>
      <c r="F282" s="3"/>
      <c r="G282" s="36"/>
    </row>
    <row r="283">
      <c r="D283" s="3"/>
      <c r="E283" s="2"/>
      <c r="F283" s="3"/>
      <c r="G283" s="36"/>
    </row>
    <row r="284">
      <c r="D284" s="3"/>
      <c r="E284" s="2"/>
      <c r="F284" s="3"/>
      <c r="G284" s="36"/>
    </row>
    <row r="285">
      <c r="D285" s="3"/>
      <c r="E285" s="2"/>
      <c r="F285" s="3"/>
      <c r="G285" s="36"/>
    </row>
    <row r="286">
      <c r="D286" s="3"/>
      <c r="E286" s="2"/>
      <c r="F286" s="3"/>
      <c r="G286" s="36"/>
    </row>
    <row r="287">
      <c r="D287" s="3"/>
      <c r="E287" s="2"/>
      <c r="F287" s="3"/>
      <c r="G287" s="36"/>
    </row>
    <row r="288">
      <c r="D288" s="3"/>
      <c r="E288" s="2"/>
      <c r="F288" s="3"/>
      <c r="G288" s="36"/>
    </row>
    <row r="289">
      <c r="D289" s="3"/>
      <c r="E289" s="2"/>
      <c r="F289" s="3"/>
      <c r="G289" s="36"/>
    </row>
    <row r="290">
      <c r="D290" s="3"/>
      <c r="E290" s="2"/>
      <c r="F290" s="3"/>
      <c r="G290" s="36"/>
    </row>
    <row r="291">
      <c r="D291" s="3"/>
      <c r="E291" s="2"/>
      <c r="F291" s="3"/>
      <c r="G291" s="36"/>
    </row>
    <row r="292">
      <c r="D292" s="3"/>
      <c r="E292" s="2"/>
      <c r="F292" s="3"/>
      <c r="G292" s="36"/>
    </row>
    <row r="293">
      <c r="D293" s="3"/>
      <c r="E293" s="2"/>
      <c r="F293" s="3"/>
      <c r="G293" s="36"/>
    </row>
    <row r="294">
      <c r="D294" s="3"/>
      <c r="E294" s="2"/>
      <c r="F294" s="3"/>
      <c r="G294" s="36"/>
    </row>
    <row r="295">
      <c r="D295" s="3"/>
      <c r="E295" s="2"/>
      <c r="F295" s="3"/>
      <c r="G295" s="36"/>
    </row>
    <row r="296">
      <c r="D296" s="3"/>
      <c r="E296" s="2"/>
      <c r="F296" s="3"/>
      <c r="G296" s="36"/>
    </row>
    <row r="297">
      <c r="D297" s="3"/>
      <c r="E297" s="2"/>
      <c r="F297" s="3"/>
      <c r="G297" s="36"/>
    </row>
    <row r="298">
      <c r="D298" s="3"/>
      <c r="E298" s="2"/>
      <c r="F298" s="3"/>
      <c r="G298" s="36"/>
    </row>
    <row r="299">
      <c r="D299" s="3"/>
      <c r="E299" s="2"/>
      <c r="F299" s="3"/>
      <c r="G299" s="36"/>
    </row>
    <row r="300">
      <c r="D300" s="3"/>
      <c r="E300" s="2"/>
      <c r="F300" s="3"/>
      <c r="G300" s="36"/>
    </row>
    <row r="301">
      <c r="D301" s="3"/>
      <c r="E301" s="2"/>
      <c r="F301" s="3"/>
      <c r="G301" s="36"/>
    </row>
    <row r="302">
      <c r="D302" s="3"/>
      <c r="E302" s="2"/>
      <c r="F302" s="3"/>
      <c r="G302" s="36"/>
    </row>
    <row r="303">
      <c r="D303" s="3"/>
      <c r="E303" s="2"/>
      <c r="F303" s="3"/>
      <c r="G303" s="36"/>
    </row>
    <row r="304">
      <c r="D304" s="3"/>
      <c r="E304" s="2"/>
      <c r="F304" s="3"/>
      <c r="G304" s="36"/>
    </row>
    <row r="305">
      <c r="D305" s="3"/>
      <c r="E305" s="2"/>
      <c r="F305" s="3"/>
      <c r="G305" s="36"/>
    </row>
    <row r="306">
      <c r="D306" s="3"/>
      <c r="E306" s="2"/>
      <c r="F306" s="3"/>
      <c r="G306" s="36"/>
    </row>
    <row r="307">
      <c r="D307" s="3"/>
      <c r="E307" s="2"/>
      <c r="F307" s="3"/>
      <c r="G307" s="36"/>
    </row>
    <row r="308">
      <c r="D308" s="3"/>
      <c r="E308" s="2"/>
      <c r="F308" s="3"/>
      <c r="G308" s="36"/>
    </row>
    <row r="309">
      <c r="D309" s="3"/>
      <c r="E309" s="2"/>
      <c r="F309" s="3"/>
      <c r="G309" s="36"/>
    </row>
    <row r="310">
      <c r="D310" s="3"/>
      <c r="E310" s="2"/>
      <c r="F310" s="3"/>
      <c r="G310" s="36"/>
    </row>
    <row r="311">
      <c r="D311" s="3"/>
      <c r="E311" s="2"/>
      <c r="F311" s="3"/>
      <c r="G311" s="36"/>
    </row>
    <row r="312">
      <c r="D312" s="3"/>
      <c r="E312" s="2"/>
      <c r="F312" s="3"/>
      <c r="G312" s="36"/>
    </row>
    <row r="313">
      <c r="D313" s="3"/>
      <c r="E313" s="2"/>
      <c r="F313" s="3"/>
      <c r="G313" s="36"/>
    </row>
    <row r="314">
      <c r="D314" s="3"/>
      <c r="E314" s="2"/>
      <c r="F314" s="3"/>
      <c r="G314" s="36"/>
    </row>
    <row r="315">
      <c r="D315" s="3"/>
      <c r="E315" s="2"/>
      <c r="F315" s="3"/>
      <c r="G315" s="36"/>
    </row>
    <row r="316">
      <c r="D316" s="3"/>
      <c r="E316" s="2"/>
      <c r="F316" s="3"/>
      <c r="G316" s="36"/>
    </row>
    <row r="317">
      <c r="D317" s="3"/>
      <c r="E317" s="2"/>
      <c r="F317" s="3"/>
      <c r="G317" s="36"/>
    </row>
    <row r="318">
      <c r="D318" s="3"/>
      <c r="E318" s="2"/>
      <c r="F318" s="3"/>
      <c r="G318" s="36"/>
    </row>
    <row r="319">
      <c r="D319" s="3"/>
      <c r="E319" s="2"/>
      <c r="F319" s="3"/>
      <c r="G319" s="36"/>
    </row>
    <row r="320">
      <c r="D320" s="3"/>
      <c r="E320" s="2"/>
      <c r="F320" s="3"/>
      <c r="G320" s="36"/>
    </row>
    <row r="321">
      <c r="D321" s="3"/>
      <c r="E321" s="2"/>
      <c r="F321" s="3"/>
      <c r="G321" s="36"/>
    </row>
    <row r="322">
      <c r="D322" s="3"/>
      <c r="E322" s="2"/>
      <c r="F322" s="3"/>
      <c r="G322" s="36"/>
    </row>
    <row r="323">
      <c r="D323" s="3"/>
      <c r="E323" s="2"/>
      <c r="F323" s="3"/>
      <c r="G323" s="36"/>
    </row>
    <row r="324">
      <c r="D324" s="3"/>
      <c r="E324" s="2"/>
      <c r="F324" s="3"/>
      <c r="G324" s="36"/>
    </row>
    <row r="325">
      <c r="D325" s="3"/>
      <c r="E325" s="2"/>
      <c r="F325" s="3"/>
      <c r="G325" s="36"/>
    </row>
    <row r="326">
      <c r="D326" s="3"/>
      <c r="E326" s="2"/>
      <c r="F326" s="3"/>
      <c r="G326" s="36"/>
    </row>
    <row r="327">
      <c r="D327" s="3"/>
      <c r="E327" s="2"/>
      <c r="F327" s="3"/>
      <c r="G327" s="36"/>
    </row>
    <row r="328">
      <c r="D328" s="3"/>
      <c r="E328" s="2"/>
      <c r="F328" s="3"/>
      <c r="G328" s="36"/>
    </row>
    <row r="329">
      <c r="D329" s="3"/>
      <c r="E329" s="2"/>
      <c r="F329" s="3"/>
      <c r="G329" s="36"/>
    </row>
    <row r="330">
      <c r="D330" s="3"/>
      <c r="E330" s="2"/>
      <c r="F330" s="3"/>
      <c r="G330" s="36"/>
    </row>
    <row r="331">
      <c r="D331" s="3"/>
      <c r="E331" s="2"/>
      <c r="F331" s="3"/>
      <c r="G331" s="36"/>
    </row>
    <row r="332">
      <c r="D332" s="3"/>
      <c r="E332" s="2"/>
      <c r="F332" s="3"/>
      <c r="G332" s="36"/>
    </row>
    <row r="333">
      <c r="D333" s="3"/>
      <c r="E333" s="2"/>
      <c r="F333" s="3"/>
      <c r="G333" s="36"/>
    </row>
    <row r="334">
      <c r="D334" s="3"/>
      <c r="E334" s="2"/>
      <c r="F334" s="3"/>
      <c r="G334" s="36"/>
    </row>
    <row r="335">
      <c r="D335" s="3"/>
      <c r="E335" s="2"/>
      <c r="F335" s="3"/>
      <c r="G335" s="36"/>
    </row>
    <row r="336">
      <c r="D336" s="3"/>
      <c r="E336" s="2"/>
      <c r="F336" s="3"/>
      <c r="G336" s="36"/>
    </row>
    <row r="337">
      <c r="D337" s="3"/>
      <c r="E337" s="2"/>
      <c r="F337" s="3"/>
      <c r="G337" s="36"/>
    </row>
    <row r="338">
      <c r="D338" s="3"/>
      <c r="E338" s="2"/>
      <c r="F338" s="3"/>
      <c r="G338" s="36"/>
    </row>
    <row r="339">
      <c r="D339" s="3"/>
      <c r="E339" s="2"/>
      <c r="F339" s="3"/>
      <c r="G339" s="36"/>
    </row>
    <row r="340">
      <c r="D340" s="3"/>
      <c r="E340" s="2"/>
      <c r="F340" s="3"/>
      <c r="G340" s="36"/>
    </row>
    <row r="341">
      <c r="D341" s="3"/>
      <c r="E341" s="2"/>
      <c r="F341" s="3"/>
      <c r="G341" s="36"/>
    </row>
    <row r="342">
      <c r="D342" s="3"/>
      <c r="E342" s="2"/>
      <c r="F342" s="3"/>
      <c r="G342" s="36"/>
    </row>
    <row r="343">
      <c r="D343" s="3"/>
      <c r="E343" s="2"/>
      <c r="F343" s="3"/>
      <c r="G343" s="36"/>
    </row>
    <row r="344">
      <c r="D344" s="3"/>
      <c r="E344" s="2"/>
      <c r="F344" s="3"/>
      <c r="G344" s="36"/>
    </row>
    <row r="345">
      <c r="D345" s="3"/>
      <c r="E345" s="2"/>
      <c r="F345" s="3"/>
      <c r="G345" s="36"/>
    </row>
    <row r="346">
      <c r="D346" s="3"/>
      <c r="E346" s="2"/>
      <c r="F346" s="3"/>
      <c r="G346" s="36"/>
    </row>
    <row r="347">
      <c r="D347" s="3"/>
      <c r="E347" s="2"/>
      <c r="F347" s="3"/>
      <c r="G347" s="36"/>
    </row>
    <row r="348">
      <c r="D348" s="3"/>
      <c r="E348" s="2"/>
      <c r="F348" s="3"/>
      <c r="G348" s="36"/>
    </row>
    <row r="349">
      <c r="D349" s="3"/>
      <c r="E349" s="2"/>
      <c r="F349" s="3"/>
      <c r="G349" s="36"/>
    </row>
    <row r="350">
      <c r="D350" s="3"/>
      <c r="E350" s="2"/>
      <c r="F350" s="3"/>
      <c r="G350" s="36"/>
    </row>
    <row r="351">
      <c r="D351" s="3"/>
      <c r="E351" s="2"/>
      <c r="F351" s="3"/>
      <c r="G351" s="36"/>
    </row>
    <row r="352">
      <c r="D352" s="3"/>
      <c r="E352" s="2"/>
      <c r="F352" s="3"/>
      <c r="G352" s="36"/>
    </row>
    <row r="353">
      <c r="D353" s="3"/>
      <c r="E353" s="2"/>
      <c r="F353" s="3"/>
      <c r="G353" s="36"/>
    </row>
    <row r="354">
      <c r="D354" s="3"/>
      <c r="E354" s="2"/>
      <c r="F354" s="3"/>
      <c r="G354" s="36"/>
    </row>
    <row r="355">
      <c r="D355" s="3"/>
      <c r="E355" s="2"/>
      <c r="F355" s="3"/>
      <c r="G355" s="36"/>
    </row>
    <row r="356">
      <c r="D356" s="3"/>
      <c r="E356" s="2"/>
      <c r="F356" s="3"/>
      <c r="G356" s="36"/>
    </row>
    <row r="357">
      <c r="D357" s="3"/>
      <c r="E357" s="2"/>
      <c r="F357" s="3"/>
      <c r="G357" s="36"/>
    </row>
    <row r="358">
      <c r="D358" s="3"/>
      <c r="E358" s="2"/>
      <c r="F358" s="3"/>
      <c r="G358" s="36"/>
    </row>
    <row r="359">
      <c r="D359" s="3"/>
      <c r="E359" s="2"/>
      <c r="F359" s="3"/>
      <c r="G359" s="36"/>
    </row>
    <row r="360">
      <c r="D360" s="3"/>
      <c r="E360" s="2"/>
      <c r="F360" s="3"/>
      <c r="G360" s="36"/>
    </row>
    <row r="361">
      <c r="D361" s="3"/>
      <c r="E361" s="2"/>
      <c r="F361" s="3"/>
      <c r="G361" s="36"/>
    </row>
    <row r="362">
      <c r="D362" s="3"/>
      <c r="E362" s="2"/>
      <c r="F362" s="3"/>
      <c r="G362" s="36"/>
    </row>
    <row r="363">
      <c r="D363" s="3"/>
      <c r="E363" s="2"/>
      <c r="F363" s="3"/>
      <c r="G363" s="36"/>
    </row>
    <row r="364">
      <c r="D364" s="3"/>
      <c r="E364" s="2"/>
      <c r="F364" s="3"/>
      <c r="G364" s="36"/>
    </row>
    <row r="365">
      <c r="D365" s="3"/>
      <c r="E365" s="2"/>
      <c r="F365" s="3"/>
      <c r="G365" s="36"/>
    </row>
    <row r="366">
      <c r="D366" s="3"/>
      <c r="E366" s="2"/>
      <c r="F366" s="3"/>
      <c r="G366" s="36"/>
    </row>
    <row r="367">
      <c r="D367" s="3"/>
      <c r="E367" s="2"/>
      <c r="F367" s="3"/>
      <c r="G367" s="36"/>
    </row>
    <row r="368">
      <c r="D368" s="3"/>
      <c r="E368" s="2"/>
      <c r="F368" s="3"/>
      <c r="G368" s="36"/>
    </row>
    <row r="369">
      <c r="D369" s="3"/>
      <c r="E369" s="2"/>
      <c r="F369" s="3"/>
      <c r="G369" s="36"/>
    </row>
    <row r="370">
      <c r="D370" s="3"/>
      <c r="E370" s="2"/>
      <c r="F370" s="3"/>
      <c r="G370" s="36"/>
    </row>
    <row r="371">
      <c r="D371" s="3"/>
      <c r="E371" s="2"/>
      <c r="F371" s="3"/>
      <c r="G371" s="36"/>
    </row>
    <row r="372">
      <c r="D372" s="3"/>
      <c r="E372" s="2"/>
      <c r="F372" s="3"/>
      <c r="G372" s="36"/>
    </row>
    <row r="373">
      <c r="D373" s="3"/>
      <c r="E373" s="2"/>
      <c r="F373" s="3"/>
      <c r="G373" s="36"/>
    </row>
    <row r="374">
      <c r="D374" s="3"/>
      <c r="E374" s="2"/>
      <c r="F374" s="3"/>
      <c r="G374" s="36"/>
    </row>
    <row r="375">
      <c r="D375" s="3"/>
      <c r="E375" s="2"/>
      <c r="F375" s="3"/>
      <c r="G375" s="36"/>
    </row>
    <row r="376">
      <c r="D376" s="3"/>
      <c r="E376" s="2"/>
      <c r="F376" s="3"/>
      <c r="G376" s="36"/>
    </row>
    <row r="377">
      <c r="D377" s="3"/>
      <c r="E377" s="2"/>
      <c r="F377" s="3"/>
      <c r="G377" s="36"/>
    </row>
    <row r="378">
      <c r="D378" s="3"/>
      <c r="E378" s="2"/>
      <c r="F378" s="3"/>
      <c r="G378" s="36"/>
    </row>
    <row r="379">
      <c r="D379" s="3"/>
      <c r="E379" s="2"/>
      <c r="F379" s="3"/>
      <c r="G379" s="36"/>
    </row>
    <row r="380">
      <c r="D380" s="3"/>
      <c r="E380" s="2"/>
      <c r="F380" s="3"/>
      <c r="G380" s="36"/>
    </row>
    <row r="381">
      <c r="D381" s="3"/>
      <c r="E381" s="2"/>
      <c r="F381" s="3"/>
      <c r="G381" s="36"/>
    </row>
    <row r="382">
      <c r="D382" s="3"/>
      <c r="E382" s="2"/>
      <c r="F382" s="3"/>
      <c r="G382" s="36"/>
    </row>
    <row r="383">
      <c r="D383" s="3"/>
      <c r="E383" s="2"/>
      <c r="F383" s="3"/>
      <c r="G383" s="36"/>
    </row>
    <row r="384">
      <c r="D384" s="3"/>
      <c r="E384" s="2"/>
      <c r="F384" s="3"/>
      <c r="G384" s="36"/>
    </row>
    <row r="385">
      <c r="D385" s="3"/>
      <c r="E385" s="2"/>
      <c r="F385" s="3"/>
      <c r="G385" s="36"/>
    </row>
    <row r="386">
      <c r="D386" s="3"/>
      <c r="E386" s="2"/>
      <c r="F386" s="3"/>
      <c r="G386" s="36"/>
    </row>
    <row r="387">
      <c r="D387" s="3"/>
      <c r="E387" s="2"/>
      <c r="F387" s="3"/>
      <c r="G387" s="36"/>
    </row>
    <row r="388">
      <c r="D388" s="3"/>
      <c r="E388" s="2"/>
      <c r="F388" s="3"/>
      <c r="G388" s="36"/>
    </row>
    <row r="389">
      <c r="D389" s="3"/>
      <c r="E389" s="2"/>
      <c r="F389" s="3"/>
      <c r="G389" s="36"/>
    </row>
    <row r="390">
      <c r="D390" s="3"/>
      <c r="E390" s="2"/>
      <c r="F390" s="3"/>
      <c r="G390" s="36"/>
    </row>
    <row r="391">
      <c r="D391" s="3"/>
      <c r="E391" s="2"/>
      <c r="F391" s="3"/>
      <c r="G391" s="36"/>
    </row>
    <row r="392">
      <c r="D392" s="3"/>
      <c r="E392" s="2"/>
      <c r="F392" s="3"/>
      <c r="G392" s="36"/>
    </row>
    <row r="393">
      <c r="D393" s="3"/>
      <c r="E393" s="2"/>
      <c r="F393" s="3"/>
      <c r="G393" s="36"/>
    </row>
    <row r="394">
      <c r="D394" s="3"/>
      <c r="E394" s="2"/>
      <c r="F394" s="3"/>
      <c r="G394" s="36"/>
    </row>
    <row r="395">
      <c r="D395" s="3"/>
      <c r="E395" s="2"/>
      <c r="F395" s="3"/>
      <c r="G395" s="36"/>
    </row>
    <row r="396">
      <c r="D396" s="3"/>
      <c r="E396" s="2"/>
      <c r="F396" s="3"/>
      <c r="G396" s="36"/>
    </row>
    <row r="397">
      <c r="D397" s="3"/>
      <c r="E397" s="2"/>
      <c r="F397" s="3"/>
      <c r="G397" s="36"/>
    </row>
    <row r="398">
      <c r="D398" s="3"/>
      <c r="E398" s="2"/>
      <c r="F398" s="3"/>
      <c r="G398" s="36"/>
    </row>
    <row r="399">
      <c r="D399" s="3"/>
      <c r="E399" s="2"/>
      <c r="F399" s="3"/>
      <c r="G399" s="36"/>
    </row>
    <row r="400">
      <c r="D400" s="3"/>
      <c r="E400" s="2"/>
      <c r="F400" s="3"/>
      <c r="G400" s="36"/>
    </row>
    <row r="401">
      <c r="D401" s="3"/>
      <c r="E401" s="2"/>
      <c r="F401" s="3"/>
      <c r="G401" s="36"/>
    </row>
    <row r="402">
      <c r="D402" s="3"/>
      <c r="E402" s="2"/>
      <c r="F402" s="3"/>
      <c r="G402" s="36"/>
    </row>
    <row r="403">
      <c r="D403" s="3"/>
      <c r="E403" s="2"/>
      <c r="F403" s="3"/>
      <c r="G403" s="36"/>
    </row>
    <row r="404">
      <c r="D404" s="3"/>
      <c r="E404" s="2"/>
      <c r="F404" s="3"/>
      <c r="G404" s="36"/>
    </row>
    <row r="405">
      <c r="D405" s="3"/>
      <c r="E405" s="2"/>
      <c r="F405" s="3"/>
      <c r="G405" s="36"/>
    </row>
    <row r="406">
      <c r="D406" s="3"/>
      <c r="E406" s="2"/>
      <c r="F406" s="3"/>
      <c r="G406" s="36"/>
    </row>
    <row r="407">
      <c r="D407" s="3"/>
      <c r="E407" s="2"/>
      <c r="F407" s="3"/>
      <c r="G407" s="36"/>
    </row>
    <row r="408">
      <c r="D408" s="3"/>
      <c r="E408" s="2"/>
      <c r="F408" s="3"/>
      <c r="G408" s="36"/>
    </row>
    <row r="409">
      <c r="D409" s="3"/>
      <c r="E409" s="2"/>
      <c r="F409" s="3"/>
      <c r="G409" s="36"/>
    </row>
    <row r="410">
      <c r="D410" s="3"/>
      <c r="E410" s="2"/>
      <c r="F410" s="3"/>
      <c r="G410" s="36"/>
    </row>
    <row r="411">
      <c r="D411" s="3"/>
      <c r="E411" s="2"/>
      <c r="F411" s="3"/>
      <c r="G411" s="36"/>
    </row>
    <row r="412">
      <c r="D412" s="3"/>
      <c r="E412" s="2"/>
      <c r="F412" s="3"/>
      <c r="G412" s="36"/>
    </row>
    <row r="413">
      <c r="D413" s="3"/>
      <c r="E413" s="2"/>
      <c r="F413" s="3"/>
      <c r="G413" s="36"/>
    </row>
    <row r="414">
      <c r="D414" s="3"/>
      <c r="E414" s="2"/>
      <c r="F414" s="3"/>
      <c r="G414" s="36"/>
    </row>
    <row r="415">
      <c r="D415" s="3"/>
      <c r="E415" s="2"/>
      <c r="F415" s="3"/>
      <c r="G415" s="36"/>
    </row>
    <row r="416">
      <c r="D416" s="3"/>
      <c r="E416" s="2"/>
      <c r="F416" s="3"/>
      <c r="G416" s="36"/>
    </row>
    <row r="417">
      <c r="D417" s="3"/>
      <c r="E417" s="2"/>
      <c r="F417" s="3"/>
      <c r="G417" s="36"/>
    </row>
    <row r="418">
      <c r="D418" s="3"/>
      <c r="E418" s="2"/>
      <c r="F418" s="3"/>
      <c r="G418" s="36"/>
    </row>
    <row r="419">
      <c r="D419" s="3"/>
      <c r="E419" s="2"/>
      <c r="F419" s="3"/>
      <c r="G419" s="36"/>
    </row>
    <row r="420">
      <c r="D420" s="3"/>
      <c r="E420" s="2"/>
      <c r="F420" s="3"/>
      <c r="G420" s="36"/>
    </row>
    <row r="421">
      <c r="D421" s="3"/>
      <c r="E421" s="2"/>
      <c r="F421" s="3"/>
      <c r="G421" s="36"/>
    </row>
    <row r="422">
      <c r="D422" s="3"/>
      <c r="E422" s="2"/>
      <c r="F422" s="3"/>
      <c r="G422" s="36"/>
    </row>
    <row r="423">
      <c r="D423" s="3"/>
      <c r="E423" s="2"/>
      <c r="F423" s="3"/>
      <c r="G423" s="36"/>
    </row>
    <row r="424">
      <c r="D424" s="3"/>
      <c r="E424" s="2"/>
      <c r="F424" s="3"/>
      <c r="G424" s="36"/>
    </row>
    <row r="425">
      <c r="D425" s="3"/>
      <c r="E425" s="2"/>
      <c r="F425" s="3"/>
      <c r="G425" s="36"/>
    </row>
    <row r="426">
      <c r="D426" s="3"/>
      <c r="E426" s="2"/>
      <c r="F426" s="3"/>
      <c r="G426" s="36"/>
    </row>
    <row r="427">
      <c r="D427" s="3"/>
      <c r="E427" s="2"/>
      <c r="F427" s="3"/>
      <c r="G427" s="36"/>
    </row>
    <row r="428">
      <c r="D428" s="3"/>
      <c r="E428" s="2"/>
      <c r="F428" s="3"/>
      <c r="G428" s="36"/>
    </row>
    <row r="429">
      <c r="D429" s="3"/>
      <c r="E429" s="2"/>
      <c r="F429" s="3"/>
      <c r="G429" s="36"/>
    </row>
    <row r="430">
      <c r="D430" s="3"/>
      <c r="E430" s="2"/>
      <c r="F430" s="3"/>
      <c r="G430" s="36"/>
    </row>
    <row r="431">
      <c r="D431" s="3"/>
      <c r="E431" s="2"/>
      <c r="F431" s="3"/>
      <c r="G431" s="36"/>
    </row>
    <row r="432">
      <c r="D432" s="3"/>
      <c r="E432" s="2"/>
      <c r="F432" s="3"/>
      <c r="G432" s="36"/>
    </row>
    <row r="433">
      <c r="D433" s="3"/>
      <c r="E433" s="2"/>
      <c r="F433" s="3"/>
      <c r="G433" s="36"/>
    </row>
    <row r="434">
      <c r="D434" s="3"/>
      <c r="E434" s="2"/>
      <c r="F434" s="3"/>
      <c r="G434" s="36"/>
    </row>
    <row r="435">
      <c r="D435" s="3"/>
      <c r="E435" s="2"/>
      <c r="F435" s="3"/>
      <c r="G435" s="36"/>
    </row>
    <row r="436">
      <c r="D436" s="3"/>
      <c r="E436" s="2"/>
      <c r="F436" s="3"/>
      <c r="G436" s="36"/>
    </row>
    <row r="437">
      <c r="D437" s="3"/>
      <c r="E437" s="2"/>
      <c r="F437" s="3"/>
      <c r="G437" s="36"/>
    </row>
    <row r="438">
      <c r="D438" s="3"/>
      <c r="E438" s="2"/>
      <c r="F438" s="3"/>
      <c r="G438" s="36"/>
    </row>
    <row r="439">
      <c r="D439" s="3"/>
      <c r="E439" s="2"/>
      <c r="F439" s="3"/>
      <c r="G439" s="36"/>
    </row>
    <row r="440">
      <c r="D440" s="3"/>
      <c r="E440" s="2"/>
      <c r="F440" s="3"/>
      <c r="G440" s="36"/>
    </row>
    <row r="441">
      <c r="D441" s="3"/>
      <c r="E441" s="2"/>
      <c r="F441" s="3"/>
      <c r="G441" s="36"/>
    </row>
    <row r="442">
      <c r="D442" s="3"/>
      <c r="E442" s="2"/>
      <c r="F442" s="3"/>
      <c r="G442" s="36"/>
    </row>
    <row r="443">
      <c r="D443" s="3"/>
      <c r="E443" s="2"/>
      <c r="F443" s="3"/>
      <c r="G443" s="36"/>
    </row>
    <row r="444">
      <c r="D444" s="3"/>
      <c r="E444" s="2"/>
      <c r="F444" s="3"/>
      <c r="G444" s="36"/>
    </row>
    <row r="445">
      <c r="D445" s="3"/>
      <c r="E445" s="2"/>
      <c r="F445" s="3"/>
      <c r="G445" s="36"/>
    </row>
    <row r="446">
      <c r="D446" s="3"/>
      <c r="E446" s="2"/>
      <c r="F446" s="3"/>
      <c r="G446" s="36"/>
    </row>
    <row r="447">
      <c r="D447" s="3"/>
      <c r="E447" s="2"/>
      <c r="F447" s="3"/>
      <c r="G447" s="36"/>
    </row>
    <row r="448">
      <c r="D448" s="3"/>
      <c r="E448" s="2"/>
      <c r="F448" s="3"/>
      <c r="G448" s="36"/>
    </row>
    <row r="449">
      <c r="D449" s="3"/>
      <c r="E449" s="2"/>
      <c r="F449" s="3"/>
      <c r="G449" s="36"/>
    </row>
    <row r="450">
      <c r="D450" s="3"/>
      <c r="E450" s="2"/>
      <c r="F450" s="3"/>
      <c r="G450" s="36"/>
    </row>
    <row r="451">
      <c r="D451" s="3"/>
      <c r="E451" s="2"/>
      <c r="F451" s="3"/>
      <c r="G451" s="36"/>
    </row>
    <row r="452">
      <c r="D452" s="3"/>
      <c r="E452" s="2"/>
      <c r="F452" s="3"/>
      <c r="G452" s="36"/>
    </row>
    <row r="453">
      <c r="D453" s="3"/>
      <c r="E453" s="2"/>
      <c r="F453" s="3"/>
      <c r="G453" s="36"/>
    </row>
    <row r="454">
      <c r="D454" s="3"/>
      <c r="E454" s="2"/>
      <c r="F454" s="3"/>
      <c r="G454" s="36"/>
    </row>
    <row r="455">
      <c r="D455" s="3"/>
      <c r="E455" s="2"/>
      <c r="F455" s="3"/>
      <c r="G455" s="36"/>
    </row>
    <row r="456">
      <c r="D456" s="3"/>
      <c r="E456" s="2"/>
      <c r="F456" s="3"/>
      <c r="G456" s="36"/>
    </row>
    <row r="457">
      <c r="D457" s="3"/>
      <c r="E457" s="2"/>
      <c r="F457" s="3"/>
      <c r="G457" s="36"/>
    </row>
    <row r="458">
      <c r="D458" s="3"/>
      <c r="E458" s="2"/>
      <c r="F458" s="3"/>
      <c r="G458" s="36"/>
    </row>
    <row r="459">
      <c r="D459" s="3"/>
      <c r="E459" s="2"/>
      <c r="F459" s="3"/>
      <c r="G459" s="36"/>
    </row>
    <row r="460">
      <c r="D460" s="3"/>
      <c r="E460" s="2"/>
      <c r="F460" s="3"/>
      <c r="G460" s="36"/>
    </row>
    <row r="461">
      <c r="D461" s="3"/>
      <c r="E461" s="2"/>
      <c r="F461" s="3"/>
      <c r="G461" s="36"/>
    </row>
    <row r="462">
      <c r="D462" s="3"/>
      <c r="E462" s="2"/>
      <c r="F462" s="3"/>
      <c r="G462" s="36"/>
    </row>
    <row r="463">
      <c r="D463" s="3"/>
      <c r="E463" s="2"/>
      <c r="F463" s="3"/>
      <c r="G463" s="36"/>
    </row>
    <row r="464">
      <c r="D464" s="3"/>
      <c r="E464" s="2"/>
      <c r="F464" s="3"/>
      <c r="G464" s="36"/>
    </row>
    <row r="465">
      <c r="D465" s="3"/>
      <c r="E465" s="2"/>
      <c r="F465" s="3"/>
      <c r="G465" s="36"/>
    </row>
    <row r="466">
      <c r="D466" s="3"/>
      <c r="E466" s="2"/>
      <c r="F466" s="3"/>
      <c r="G466" s="36"/>
    </row>
    <row r="467">
      <c r="D467" s="3"/>
      <c r="E467" s="2"/>
      <c r="F467" s="3"/>
      <c r="G467" s="36"/>
    </row>
    <row r="468">
      <c r="D468" s="3"/>
      <c r="E468" s="2"/>
      <c r="F468" s="3"/>
      <c r="G468" s="36"/>
    </row>
    <row r="469">
      <c r="D469" s="3"/>
      <c r="E469" s="2"/>
      <c r="F469" s="3"/>
      <c r="G469" s="36"/>
    </row>
    <row r="470">
      <c r="D470" s="3"/>
      <c r="E470" s="2"/>
      <c r="F470" s="3"/>
      <c r="G470" s="36"/>
    </row>
    <row r="471">
      <c r="D471" s="3"/>
      <c r="E471" s="2"/>
      <c r="F471" s="3"/>
      <c r="G471" s="36"/>
    </row>
    <row r="472">
      <c r="D472" s="3"/>
      <c r="E472" s="2"/>
      <c r="F472" s="3"/>
      <c r="G472" s="36"/>
    </row>
    <row r="473">
      <c r="D473" s="3"/>
      <c r="E473" s="2"/>
      <c r="F473" s="3"/>
      <c r="G473" s="36"/>
    </row>
    <row r="474">
      <c r="D474" s="3"/>
      <c r="E474" s="2"/>
      <c r="F474" s="3"/>
      <c r="G474" s="36"/>
    </row>
    <row r="475">
      <c r="D475" s="3"/>
      <c r="E475" s="2"/>
      <c r="F475" s="3"/>
      <c r="G475" s="36"/>
    </row>
    <row r="476">
      <c r="D476" s="3"/>
      <c r="E476" s="2"/>
      <c r="F476" s="3"/>
      <c r="G476" s="36"/>
    </row>
    <row r="477">
      <c r="D477" s="3"/>
      <c r="E477" s="2"/>
      <c r="F477" s="3"/>
      <c r="G477" s="36"/>
    </row>
    <row r="478">
      <c r="D478" s="3"/>
      <c r="E478" s="2"/>
      <c r="F478" s="3"/>
      <c r="G478" s="36"/>
    </row>
    <row r="479">
      <c r="D479" s="3"/>
      <c r="E479" s="2"/>
      <c r="F479" s="3"/>
      <c r="G479" s="36"/>
    </row>
    <row r="480">
      <c r="D480" s="3"/>
      <c r="E480" s="2"/>
      <c r="F480" s="3"/>
      <c r="G480" s="36"/>
    </row>
    <row r="481">
      <c r="D481" s="3"/>
      <c r="E481" s="2"/>
      <c r="F481" s="3"/>
      <c r="G481" s="36"/>
    </row>
    <row r="482">
      <c r="D482" s="3"/>
      <c r="E482" s="2"/>
      <c r="F482" s="3"/>
      <c r="G482" s="36"/>
    </row>
    <row r="483">
      <c r="D483" s="3"/>
      <c r="E483" s="2"/>
      <c r="F483" s="3"/>
      <c r="G483" s="36"/>
    </row>
    <row r="484">
      <c r="D484" s="3"/>
      <c r="E484" s="2"/>
      <c r="F484" s="3"/>
      <c r="G484" s="36"/>
    </row>
    <row r="485">
      <c r="D485" s="3"/>
      <c r="E485" s="2"/>
      <c r="F485" s="3"/>
      <c r="G485" s="36"/>
    </row>
    <row r="486">
      <c r="D486" s="3"/>
      <c r="E486" s="2"/>
      <c r="F486" s="3"/>
      <c r="G486" s="36"/>
    </row>
    <row r="487">
      <c r="D487" s="3"/>
      <c r="E487" s="2"/>
      <c r="F487" s="3"/>
      <c r="G487" s="36"/>
    </row>
    <row r="488">
      <c r="D488" s="3"/>
      <c r="E488" s="2"/>
      <c r="F488" s="3"/>
      <c r="G488" s="36"/>
    </row>
    <row r="489">
      <c r="D489" s="3"/>
      <c r="E489" s="2"/>
      <c r="F489" s="3"/>
      <c r="G489" s="36"/>
    </row>
    <row r="490">
      <c r="D490" s="3"/>
      <c r="E490" s="2"/>
      <c r="F490" s="3"/>
      <c r="G490" s="36"/>
    </row>
    <row r="491">
      <c r="D491" s="3"/>
      <c r="E491" s="2"/>
      <c r="F491" s="3"/>
      <c r="G491" s="36"/>
    </row>
    <row r="492">
      <c r="D492" s="3"/>
      <c r="E492" s="2"/>
      <c r="F492" s="3"/>
      <c r="G492" s="36"/>
    </row>
    <row r="493">
      <c r="D493" s="3"/>
      <c r="E493" s="2"/>
      <c r="F493" s="3"/>
      <c r="G493" s="36"/>
    </row>
    <row r="494">
      <c r="D494" s="3"/>
      <c r="E494" s="2"/>
      <c r="F494" s="3"/>
      <c r="G494" s="36"/>
    </row>
    <row r="495">
      <c r="D495" s="3"/>
      <c r="E495" s="2"/>
      <c r="F495" s="3"/>
      <c r="G495" s="36"/>
    </row>
    <row r="496">
      <c r="D496" s="3"/>
      <c r="E496" s="2"/>
      <c r="F496" s="3"/>
      <c r="G496" s="36"/>
    </row>
    <row r="497">
      <c r="D497" s="3"/>
      <c r="E497" s="2"/>
      <c r="F497" s="3"/>
      <c r="G497" s="36"/>
    </row>
    <row r="498">
      <c r="D498" s="3"/>
      <c r="E498" s="2"/>
      <c r="F498" s="3"/>
      <c r="G498" s="36"/>
    </row>
    <row r="499">
      <c r="D499" s="3"/>
      <c r="E499" s="2"/>
      <c r="F499" s="3"/>
      <c r="G499" s="36"/>
    </row>
    <row r="500">
      <c r="D500" s="3"/>
      <c r="E500" s="2"/>
      <c r="F500" s="3"/>
      <c r="G500" s="36"/>
    </row>
    <row r="501">
      <c r="D501" s="3"/>
      <c r="E501" s="2"/>
      <c r="F501" s="3"/>
      <c r="G501" s="36"/>
    </row>
    <row r="502">
      <c r="D502" s="3"/>
      <c r="E502" s="2"/>
      <c r="F502" s="3"/>
      <c r="G502" s="36"/>
    </row>
    <row r="503">
      <c r="D503" s="3"/>
      <c r="E503" s="2"/>
      <c r="F503" s="3"/>
      <c r="G503" s="36"/>
    </row>
    <row r="504">
      <c r="D504" s="3"/>
      <c r="E504" s="2"/>
      <c r="F504" s="3"/>
      <c r="G504" s="36"/>
    </row>
    <row r="505">
      <c r="D505" s="3"/>
      <c r="E505" s="2"/>
      <c r="F505" s="3"/>
      <c r="G505" s="36"/>
    </row>
    <row r="506">
      <c r="D506" s="3"/>
      <c r="E506" s="2"/>
      <c r="F506" s="3"/>
      <c r="G506" s="36"/>
    </row>
    <row r="507">
      <c r="D507" s="3"/>
      <c r="E507" s="2"/>
      <c r="F507" s="3"/>
      <c r="G507" s="36"/>
    </row>
    <row r="508">
      <c r="D508" s="3"/>
      <c r="E508" s="2"/>
      <c r="F508" s="3"/>
      <c r="G508" s="36"/>
    </row>
    <row r="509">
      <c r="D509" s="3"/>
      <c r="E509" s="2"/>
      <c r="F509" s="3"/>
      <c r="G509" s="36"/>
    </row>
    <row r="510">
      <c r="D510" s="3"/>
      <c r="E510" s="2"/>
      <c r="F510" s="3"/>
      <c r="G510" s="36"/>
    </row>
    <row r="511">
      <c r="D511" s="3"/>
      <c r="E511" s="2"/>
      <c r="F511" s="3"/>
      <c r="G511" s="36"/>
    </row>
    <row r="512">
      <c r="D512" s="3"/>
      <c r="E512" s="2"/>
      <c r="F512" s="3"/>
      <c r="G512" s="36"/>
    </row>
    <row r="513">
      <c r="D513" s="3"/>
      <c r="E513" s="2"/>
      <c r="F513" s="3"/>
      <c r="G513" s="36"/>
    </row>
    <row r="514">
      <c r="D514" s="3"/>
      <c r="E514" s="2"/>
      <c r="F514" s="3"/>
      <c r="G514" s="36"/>
    </row>
    <row r="515">
      <c r="D515" s="3"/>
      <c r="E515" s="2"/>
      <c r="F515" s="3"/>
      <c r="G515" s="36"/>
    </row>
    <row r="516">
      <c r="D516" s="3"/>
      <c r="E516" s="2"/>
      <c r="F516" s="3"/>
      <c r="G516" s="36"/>
    </row>
    <row r="517">
      <c r="D517" s="3"/>
      <c r="E517" s="2"/>
      <c r="F517" s="3"/>
      <c r="G517" s="36"/>
    </row>
    <row r="518">
      <c r="D518" s="3"/>
      <c r="E518" s="2"/>
      <c r="F518" s="3"/>
      <c r="G518" s="36"/>
    </row>
    <row r="519">
      <c r="D519" s="3"/>
      <c r="E519" s="2"/>
      <c r="F519" s="3"/>
      <c r="G519" s="36"/>
    </row>
    <row r="520">
      <c r="D520" s="3"/>
      <c r="E520" s="2"/>
      <c r="F520" s="3"/>
      <c r="G520" s="36"/>
    </row>
    <row r="521">
      <c r="D521" s="3"/>
      <c r="E521" s="2"/>
      <c r="F521" s="3"/>
      <c r="G521" s="36"/>
    </row>
    <row r="522">
      <c r="D522" s="3"/>
      <c r="E522" s="2"/>
      <c r="F522" s="3"/>
      <c r="G522" s="36"/>
    </row>
    <row r="523">
      <c r="D523" s="3"/>
      <c r="E523" s="2"/>
      <c r="F523" s="3"/>
      <c r="G523" s="36"/>
    </row>
    <row r="524">
      <c r="D524" s="3"/>
      <c r="E524" s="2"/>
      <c r="F524" s="3"/>
      <c r="G524" s="36"/>
    </row>
    <row r="525">
      <c r="D525" s="3"/>
      <c r="E525" s="2"/>
      <c r="F525" s="3"/>
      <c r="G525" s="36"/>
    </row>
    <row r="526">
      <c r="D526" s="3"/>
      <c r="E526" s="2"/>
      <c r="F526" s="3"/>
      <c r="G526" s="36"/>
    </row>
    <row r="527">
      <c r="D527" s="3"/>
      <c r="E527" s="2"/>
      <c r="F527" s="3"/>
      <c r="G527" s="36"/>
    </row>
    <row r="528">
      <c r="D528" s="3"/>
      <c r="E528" s="2"/>
      <c r="F528" s="3"/>
      <c r="G528" s="36"/>
    </row>
    <row r="529">
      <c r="D529" s="3"/>
      <c r="E529" s="2"/>
      <c r="F529" s="3"/>
      <c r="G529" s="36"/>
    </row>
    <row r="530">
      <c r="D530" s="3"/>
      <c r="E530" s="2"/>
      <c r="F530" s="3"/>
      <c r="G530" s="36"/>
    </row>
    <row r="531">
      <c r="D531" s="3"/>
      <c r="E531" s="2"/>
      <c r="F531" s="3"/>
      <c r="G531" s="36"/>
    </row>
    <row r="532">
      <c r="D532" s="3"/>
      <c r="E532" s="2"/>
      <c r="F532" s="3"/>
      <c r="G532" s="36"/>
    </row>
    <row r="533">
      <c r="D533" s="3"/>
      <c r="E533" s="2"/>
      <c r="F533" s="3"/>
      <c r="G533" s="36"/>
    </row>
    <row r="534">
      <c r="D534" s="3"/>
      <c r="E534" s="2"/>
      <c r="F534" s="3"/>
      <c r="G534" s="36"/>
    </row>
    <row r="535">
      <c r="D535" s="3"/>
      <c r="E535" s="2"/>
      <c r="F535" s="3"/>
      <c r="G535" s="36"/>
    </row>
    <row r="536">
      <c r="D536" s="3"/>
      <c r="E536" s="2"/>
      <c r="F536" s="3"/>
      <c r="G536" s="36"/>
    </row>
    <row r="537">
      <c r="D537" s="3"/>
      <c r="E537" s="2"/>
      <c r="F537" s="3"/>
      <c r="G537" s="36"/>
    </row>
    <row r="538">
      <c r="D538" s="3"/>
      <c r="E538" s="2"/>
      <c r="F538" s="3"/>
      <c r="G538" s="36"/>
    </row>
    <row r="539">
      <c r="D539" s="3"/>
      <c r="E539" s="2"/>
      <c r="F539" s="3"/>
      <c r="G539" s="36"/>
    </row>
    <row r="540">
      <c r="D540" s="3"/>
      <c r="E540" s="2"/>
      <c r="F540" s="3"/>
      <c r="G540" s="36"/>
    </row>
    <row r="541">
      <c r="D541" s="3"/>
      <c r="E541" s="2"/>
      <c r="F541" s="3"/>
      <c r="G541" s="36"/>
    </row>
    <row r="542">
      <c r="D542" s="3"/>
      <c r="E542" s="2"/>
      <c r="F542" s="3"/>
      <c r="G542" s="36"/>
    </row>
    <row r="543">
      <c r="D543" s="3"/>
      <c r="E543" s="2"/>
      <c r="F543" s="3"/>
      <c r="G543" s="36"/>
    </row>
    <row r="544">
      <c r="D544" s="3"/>
      <c r="E544" s="2"/>
      <c r="F544" s="3"/>
      <c r="G544" s="36"/>
    </row>
    <row r="545">
      <c r="D545" s="3"/>
      <c r="E545" s="2"/>
      <c r="F545" s="3"/>
      <c r="G545" s="36"/>
    </row>
    <row r="546">
      <c r="D546" s="3"/>
      <c r="E546" s="2"/>
      <c r="F546" s="3"/>
      <c r="G546" s="36"/>
    </row>
    <row r="547">
      <c r="D547" s="3"/>
      <c r="E547" s="2"/>
      <c r="F547" s="3"/>
      <c r="G547" s="36"/>
    </row>
    <row r="548">
      <c r="D548" s="3"/>
      <c r="E548" s="2"/>
      <c r="F548" s="3"/>
      <c r="G548" s="36"/>
    </row>
    <row r="549">
      <c r="D549" s="3"/>
      <c r="E549" s="2"/>
      <c r="F549" s="3"/>
      <c r="G549" s="36"/>
    </row>
    <row r="550">
      <c r="D550" s="3"/>
      <c r="E550" s="2"/>
      <c r="F550" s="3"/>
      <c r="G550" s="36"/>
    </row>
    <row r="551">
      <c r="D551" s="3"/>
      <c r="E551" s="2"/>
      <c r="F551" s="3"/>
      <c r="G551" s="36"/>
    </row>
    <row r="552">
      <c r="D552" s="3"/>
      <c r="E552" s="2"/>
      <c r="F552" s="3"/>
      <c r="G552" s="36"/>
    </row>
    <row r="553">
      <c r="D553" s="3"/>
      <c r="E553" s="2"/>
      <c r="F553" s="3"/>
      <c r="G553" s="36"/>
    </row>
    <row r="554">
      <c r="D554" s="3"/>
      <c r="E554" s="2"/>
      <c r="F554" s="3"/>
      <c r="G554" s="36"/>
    </row>
    <row r="555">
      <c r="D555" s="3"/>
      <c r="E555" s="2"/>
      <c r="F555" s="3"/>
      <c r="G555" s="36"/>
    </row>
    <row r="556">
      <c r="D556" s="3"/>
      <c r="E556" s="2"/>
      <c r="F556" s="3"/>
      <c r="G556" s="36"/>
    </row>
    <row r="557">
      <c r="D557" s="3"/>
      <c r="E557" s="2"/>
      <c r="F557" s="3"/>
      <c r="G557" s="36"/>
    </row>
    <row r="558">
      <c r="D558" s="3"/>
      <c r="E558" s="2"/>
      <c r="F558" s="3"/>
      <c r="G558" s="36"/>
    </row>
    <row r="559">
      <c r="D559" s="3"/>
      <c r="E559" s="2"/>
      <c r="F559" s="3"/>
      <c r="G559" s="36"/>
    </row>
    <row r="560">
      <c r="D560" s="3"/>
      <c r="E560" s="2"/>
      <c r="F560" s="3"/>
      <c r="G560" s="36"/>
    </row>
    <row r="561">
      <c r="D561" s="3"/>
      <c r="E561" s="2"/>
      <c r="F561" s="3"/>
      <c r="G561" s="36"/>
    </row>
    <row r="562">
      <c r="D562" s="3"/>
      <c r="E562" s="2"/>
      <c r="F562" s="3"/>
      <c r="G562" s="36"/>
    </row>
    <row r="563">
      <c r="D563" s="3"/>
      <c r="E563" s="2"/>
      <c r="F563" s="3"/>
      <c r="G563" s="36"/>
    </row>
    <row r="564">
      <c r="D564" s="3"/>
      <c r="E564" s="2"/>
      <c r="F564" s="3"/>
      <c r="G564" s="36"/>
    </row>
    <row r="565">
      <c r="D565" s="3"/>
      <c r="E565" s="2"/>
      <c r="F565" s="3"/>
      <c r="G565" s="36"/>
    </row>
    <row r="566">
      <c r="D566" s="3"/>
      <c r="E566" s="2"/>
      <c r="F566" s="3"/>
      <c r="G566" s="36"/>
    </row>
    <row r="567">
      <c r="D567" s="3"/>
      <c r="E567" s="2"/>
      <c r="F567" s="3"/>
      <c r="G567" s="36"/>
    </row>
    <row r="568">
      <c r="D568" s="3"/>
      <c r="E568" s="2"/>
      <c r="F568" s="3"/>
      <c r="G568" s="36"/>
    </row>
    <row r="569">
      <c r="D569" s="3"/>
      <c r="E569" s="2"/>
      <c r="F569" s="3"/>
      <c r="G569" s="36"/>
    </row>
    <row r="570">
      <c r="D570" s="3"/>
      <c r="E570" s="2"/>
      <c r="F570" s="3"/>
      <c r="G570" s="36"/>
    </row>
    <row r="571">
      <c r="D571" s="3"/>
      <c r="E571" s="2"/>
      <c r="F571" s="3"/>
      <c r="G571" s="36"/>
    </row>
    <row r="572">
      <c r="D572" s="3"/>
      <c r="E572" s="2"/>
      <c r="F572" s="3"/>
      <c r="G572" s="36"/>
    </row>
    <row r="573">
      <c r="D573" s="3"/>
      <c r="E573" s="2"/>
      <c r="F573" s="3"/>
      <c r="G573" s="36"/>
    </row>
    <row r="574">
      <c r="D574" s="3"/>
      <c r="E574" s="2"/>
      <c r="F574" s="3"/>
      <c r="G574" s="36"/>
    </row>
    <row r="575">
      <c r="D575" s="3"/>
      <c r="E575" s="2"/>
      <c r="F575" s="3"/>
      <c r="G575" s="36"/>
    </row>
    <row r="576">
      <c r="D576" s="3"/>
      <c r="E576" s="2"/>
      <c r="F576" s="3"/>
      <c r="G576" s="36"/>
    </row>
    <row r="577">
      <c r="D577" s="3"/>
      <c r="E577" s="2"/>
      <c r="F577" s="3"/>
      <c r="G577" s="36"/>
    </row>
    <row r="578">
      <c r="D578" s="3"/>
      <c r="E578" s="2"/>
      <c r="F578" s="3"/>
      <c r="G578" s="36"/>
    </row>
    <row r="579">
      <c r="D579" s="3"/>
      <c r="E579" s="2"/>
      <c r="F579" s="3"/>
      <c r="G579" s="36"/>
    </row>
    <row r="580">
      <c r="D580" s="3"/>
      <c r="E580" s="2"/>
      <c r="F580" s="3"/>
      <c r="G580" s="36"/>
    </row>
    <row r="581">
      <c r="D581" s="3"/>
      <c r="E581" s="2"/>
      <c r="F581" s="3"/>
      <c r="G581" s="36"/>
    </row>
    <row r="582">
      <c r="D582" s="3"/>
      <c r="E582" s="2"/>
      <c r="F582" s="3"/>
      <c r="G582" s="36"/>
    </row>
    <row r="583">
      <c r="D583" s="3"/>
      <c r="E583" s="2"/>
      <c r="F583" s="3"/>
      <c r="G583" s="36"/>
    </row>
    <row r="584">
      <c r="D584" s="3"/>
      <c r="E584" s="2"/>
      <c r="F584" s="3"/>
      <c r="G584" s="36"/>
    </row>
    <row r="585">
      <c r="D585" s="3"/>
      <c r="E585" s="2"/>
      <c r="F585" s="3"/>
      <c r="G585" s="36"/>
    </row>
    <row r="586">
      <c r="D586" s="3"/>
      <c r="E586" s="2"/>
      <c r="F586" s="3"/>
      <c r="G586" s="36"/>
    </row>
    <row r="587">
      <c r="D587" s="3"/>
      <c r="E587" s="2"/>
      <c r="F587" s="3"/>
      <c r="G587" s="36"/>
    </row>
    <row r="588">
      <c r="D588" s="3"/>
      <c r="E588" s="2"/>
      <c r="F588" s="3"/>
      <c r="G588" s="36"/>
    </row>
    <row r="589">
      <c r="D589" s="3"/>
      <c r="E589" s="2"/>
      <c r="F589" s="3"/>
      <c r="G589" s="36"/>
    </row>
    <row r="590">
      <c r="D590" s="3"/>
      <c r="E590" s="2"/>
      <c r="F590" s="3"/>
      <c r="G590" s="36"/>
    </row>
    <row r="591">
      <c r="D591" s="3"/>
      <c r="E591" s="2"/>
      <c r="F591" s="3"/>
      <c r="G591" s="36"/>
    </row>
    <row r="592">
      <c r="D592" s="3"/>
      <c r="E592" s="2"/>
      <c r="F592" s="3"/>
      <c r="G592" s="36"/>
    </row>
    <row r="593">
      <c r="D593" s="3"/>
      <c r="E593" s="2"/>
      <c r="F593" s="3"/>
      <c r="G593" s="36"/>
    </row>
    <row r="594">
      <c r="D594" s="3"/>
      <c r="E594" s="2"/>
      <c r="F594" s="3"/>
      <c r="G594" s="36"/>
    </row>
    <row r="595">
      <c r="D595" s="3"/>
      <c r="E595" s="2"/>
      <c r="F595" s="3"/>
      <c r="G595" s="36"/>
    </row>
    <row r="596">
      <c r="D596" s="3"/>
      <c r="E596" s="2"/>
      <c r="F596" s="3"/>
      <c r="G596" s="36"/>
    </row>
    <row r="597">
      <c r="D597" s="3"/>
      <c r="E597" s="2"/>
      <c r="F597" s="3"/>
      <c r="G597" s="36"/>
    </row>
    <row r="598">
      <c r="D598" s="3"/>
      <c r="E598" s="2"/>
      <c r="F598" s="3"/>
      <c r="G598" s="36"/>
    </row>
    <row r="599">
      <c r="D599" s="3"/>
      <c r="E599" s="2"/>
      <c r="F599" s="3"/>
      <c r="G599" s="36"/>
    </row>
    <row r="600">
      <c r="D600" s="3"/>
      <c r="E600" s="2"/>
      <c r="F600" s="3"/>
      <c r="G600" s="36"/>
    </row>
    <row r="601">
      <c r="D601" s="3"/>
      <c r="E601" s="2"/>
      <c r="F601" s="3"/>
      <c r="G601" s="36"/>
    </row>
    <row r="602">
      <c r="D602" s="3"/>
      <c r="E602" s="2"/>
      <c r="F602" s="3"/>
      <c r="G602" s="36"/>
    </row>
    <row r="603">
      <c r="D603" s="3"/>
      <c r="E603" s="2"/>
      <c r="F603" s="3"/>
      <c r="G603" s="36"/>
    </row>
    <row r="604">
      <c r="D604" s="3"/>
      <c r="E604" s="2"/>
      <c r="F604" s="3"/>
      <c r="G604" s="36"/>
    </row>
    <row r="605">
      <c r="D605" s="3"/>
      <c r="E605" s="2"/>
      <c r="F605" s="3"/>
      <c r="G605" s="36"/>
    </row>
    <row r="606">
      <c r="D606" s="3"/>
      <c r="E606" s="2"/>
      <c r="F606" s="3"/>
      <c r="G606" s="36"/>
    </row>
    <row r="607">
      <c r="D607" s="3"/>
      <c r="E607" s="2"/>
      <c r="F607" s="3"/>
      <c r="G607" s="36"/>
    </row>
    <row r="608">
      <c r="D608" s="3"/>
      <c r="E608" s="2"/>
      <c r="F608" s="3"/>
      <c r="G608" s="36"/>
    </row>
    <row r="609">
      <c r="D609" s="3"/>
      <c r="E609" s="2"/>
      <c r="F609" s="3"/>
      <c r="G609" s="36"/>
    </row>
    <row r="610">
      <c r="D610" s="3"/>
      <c r="E610" s="2"/>
      <c r="F610" s="3"/>
      <c r="G610" s="36"/>
    </row>
    <row r="611">
      <c r="D611" s="3"/>
      <c r="E611" s="2"/>
      <c r="F611" s="3"/>
      <c r="G611" s="36"/>
    </row>
    <row r="612">
      <c r="D612" s="3"/>
      <c r="E612" s="2"/>
      <c r="F612" s="3"/>
      <c r="G612" s="36"/>
    </row>
    <row r="613">
      <c r="D613" s="3"/>
      <c r="E613" s="2"/>
      <c r="F613" s="3"/>
      <c r="G613" s="36"/>
    </row>
    <row r="614">
      <c r="D614" s="3"/>
      <c r="E614" s="2"/>
      <c r="F614" s="3"/>
      <c r="G614" s="36"/>
    </row>
    <row r="615">
      <c r="D615" s="3"/>
      <c r="E615" s="2"/>
      <c r="F615" s="3"/>
      <c r="G615" s="36"/>
    </row>
    <row r="616">
      <c r="D616" s="3"/>
      <c r="E616" s="2"/>
      <c r="F616" s="3"/>
      <c r="G616" s="36"/>
    </row>
    <row r="617">
      <c r="D617" s="3"/>
      <c r="E617" s="2"/>
      <c r="F617" s="3"/>
      <c r="G617" s="36"/>
    </row>
    <row r="618">
      <c r="D618" s="3"/>
      <c r="E618" s="2"/>
      <c r="F618" s="3"/>
      <c r="G618" s="36"/>
    </row>
    <row r="619">
      <c r="D619" s="3"/>
      <c r="E619" s="2"/>
      <c r="F619" s="3"/>
      <c r="G619" s="36"/>
    </row>
    <row r="620">
      <c r="D620" s="3"/>
      <c r="E620" s="2"/>
      <c r="F620" s="3"/>
      <c r="G620" s="36"/>
    </row>
    <row r="621">
      <c r="D621" s="3"/>
      <c r="E621" s="2"/>
      <c r="F621" s="3"/>
      <c r="G621" s="36"/>
    </row>
    <row r="622">
      <c r="D622" s="3"/>
      <c r="E622" s="2"/>
      <c r="F622" s="3"/>
      <c r="G622" s="36"/>
    </row>
    <row r="623">
      <c r="D623" s="3"/>
      <c r="E623" s="2"/>
      <c r="F623" s="3"/>
      <c r="G623" s="36"/>
    </row>
    <row r="624">
      <c r="D624" s="3"/>
      <c r="E624" s="2"/>
      <c r="F624" s="3"/>
      <c r="G624" s="36"/>
    </row>
    <row r="625">
      <c r="D625" s="3"/>
      <c r="E625" s="2"/>
      <c r="F625" s="3"/>
      <c r="G625" s="36"/>
    </row>
    <row r="626">
      <c r="D626" s="3"/>
      <c r="E626" s="2"/>
      <c r="F626" s="3"/>
      <c r="G626" s="36"/>
    </row>
    <row r="627">
      <c r="D627" s="3"/>
      <c r="E627" s="2"/>
      <c r="F627" s="3"/>
      <c r="G627" s="36"/>
    </row>
    <row r="628">
      <c r="D628" s="3"/>
      <c r="E628" s="2"/>
      <c r="F628" s="3"/>
      <c r="G628" s="36"/>
    </row>
    <row r="629">
      <c r="D629" s="3"/>
      <c r="E629" s="2"/>
      <c r="F629" s="3"/>
      <c r="G629" s="36"/>
    </row>
    <row r="630">
      <c r="D630" s="3"/>
      <c r="E630" s="2"/>
      <c r="F630" s="3"/>
      <c r="G630" s="36"/>
    </row>
    <row r="631">
      <c r="D631" s="3"/>
      <c r="E631" s="2"/>
      <c r="F631" s="3"/>
      <c r="G631" s="36"/>
    </row>
    <row r="632">
      <c r="D632" s="3"/>
      <c r="E632" s="2"/>
      <c r="F632" s="3"/>
      <c r="G632" s="36"/>
    </row>
    <row r="633">
      <c r="D633" s="3"/>
      <c r="E633" s="2"/>
      <c r="F633" s="3"/>
      <c r="G633" s="36"/>
    </row>
    <row r="634">
      <c r="D634" s="3"/>
      <c r="E634" s="2"/>
      <c r="F634" s="3"/>
      <c r="G634" s="36"/>
    </row>
    <row r="635">
      <c r="D635" s="3"/>
      <c r="E635" s="2"/>
      <c r="F635" s="3"/>
      <c r="G635" s="36"/>
    </row>
    <row r="636">
      <c r="D636" s="3"/>
      <c r="E636" s="2"/>
      <c r="F636" s="3"/>
      <c r="G636" s="36"/>
    </row>
    <row r="637">
      <c r="D637" s="3"/>
      <c r="E637" s="2"/>
      <c r="F637" s="3"/>
      <c r="G637" s="36"/>
    </row>
    <row r="638">
      <c r="D638" s="3"/>
      <c r="E638" s="2"/>
      <c r="F638" s="3"/>
      <c r="G638" s="36"/>
    </row>
    <row r="639">
      <c r="D639" s="3"/>
      <c r="E639" s="2"/>
      <c r="F639" s="3"/>
      <c r="G639" s="36"/>
    </row>
    <row r="640">
      <c r="D640" s="3"/>
      <c r="E640" s="2"/>
      <c r="F640" s="3"/>
      <c r="G640" s="36"/>
    </row>
    <row r="641">
      <c r="D641" s="3"/>
      <c r="E641" s="2"/>
      <c r="F641" s="3"/>
      <c r="G641" s="36"/>
    </row>
    <row r="642">
      <c r="D642" s="3"/>
      <c r="E642" s="2"/>
      <c r="F642" s="3"/>
      <c r="G642" s="36"/>
    </row>
    <row r="643">
      <c r="D643" s="3"/>
      <c r="E643" s="2"/>
      <c r="F643" s="3"/>
      <c r="G643" s="36"/>
    </row>
    <row r="644">
      <c r="D644" s="3"/>
      <c r="E644" s="2"/>
      <c r="F644" s="3"/>
      <c r="G644" s="36"/>
    </row>
    <row r="645">
      <c r="D645" s="3"/>
      <c r="E645" s="2"/>
      <c r="F645" s="3"/>
      <c r="G645" s="36"/>
    </row>
    <row r="646">
      <c r="D646" s="3"/>
      <c r="E646" s="2"/>
      <c r="F646" s="3"/>
      <c r="G646" s="36"/>
    </row>
    <row r="647">
      <c r="D647" s="3"/>
      <c r="E647" s="2"/>
      <c r="F647" s="3"/>
      <c r="G647" s="36"/>
    </row>
    <row r="648">
      <c r="D648" s="3"/>
      <c r="E648" s="2"/>
      <c r="F648" s="3"/>
      <c r="G648" s="36"/>
    </row>
    <row r="649">
      <c r="D649" s="3"/>
      <c r="E649" s="2"/>
      <c r="F649" s="3"/>
      <c r="G649" s="36"/>
    </row>
    <row r="650">
      <c r="D650" s="3"/>
      <c r="E650" s="2"/>
      <c r="F650" s="3"/>
      <c r="G650" s="36"/>
    </row>
    <row r="651">
      <c r="D651" s="3"/>
      <c r="E651" s="2"/>
      <c r="F651" s="3"/>
      <c r="G651" s="36"/>
    </row>
    <row r="652">
      <c r="D652" s="3"/>
      <c r="E652" s="2"/>
      <c r="F652" s="3"/>
      <c r="G652" s="36"/>
    </row>
    <row r="653">
      <c r="D653" s="3"/>
      <c r="E653" s="2"/>
      <c r="F653" s="3"/>
      <c r="G653" s="36"/>
    </row>
    <row r="654">
      <c r="D654" s="3"/>
      <c r="E654" s="2"/>
      <c r="F654" s="3"/>
      <c r="G654" s="36"/>
    </row>
    <row r="655">
      <c r="D655" s="3"/>
      <c r="E655" s="2"/>
      <c r="F655" s="3"/>
      <c r="G655" s="36"/>
    </row>
    <row r="656">
      <c r="D656" s="3"/>
      <c r="E656" s="2"/>
      <c r="F656" s="3"/>
      <c r="G656" s="36"/>
    </row>
    <row r="657">
      <c r="D657" s="3"/>
      <c r="E657" s="2"/>
      <c r="F657" s="3"/>
      <c r="G657" s="36"/>
    </row>
    <row r="658">
      <c r="D658" s="3"/>
      <c r="E658" s="2"/>
      <c r="F658" s="3"/>
      <c r="G658" s="36"/>
    </row>
    <row r="659">
      <c r="D659" s="3"/>
      <c r="E659" s="2"/>
      <c r="F659" s="3"/>
      <c r="G659" s="36"/>
    </row>
    <row r="660">
      <c r="D660" s="3"/>
      <c r="E660" s="2"/>
      <c r="F660" s="3"/>
      <c r="G660" s="36"/>
    </row>
    <row r="661">
      <c r="D661" s="3"/>
      <c r="E661" s="2"/>
      <c r="F661" s="3"/>
      <c r="G661" s="36"/>
    </row>
    <row r="662">
      <c r="D662" s="3"/>
      <c r="E662" s="2"/>
      <c r="F662" s="3"/>
      <c r="G662" s="36"/>
    </row>
    <row r="663">
      <c r="D663" s="3"/>
      <c r="E663" s="2"/>
      <c r="F663" s="3"/>
      <c r="G663" s="36"/>
    </row>
    <row r="664">
      <c r="D664" s="3"/>
      <c r="E664" s="2"/>
      <c r="F664" s="3"/>
      <c r="G664" s="36"/>
    </row>
    <row r="665">
      <c r="D665" s="3"/>
      <c r="E665" s="2"/>
      <c r="F665" s="3"/>
      <c r="G665" s="36"/>
    </row>
    <row r="666">
      <c r="D666" s="3"/>
      <c r="E666" s="2"/>
      <c r="F666" s="3"/>
      <c r="G666" s="36"/>
    </row>
    <row r="667">
      <c r="D667" s="3"/>
      <c r="E667" s="2"/>
      <c r="F667" s="3"/>
      <c r="G667" s="36"/>
    </row>
    <row r="668">
      <c r="D668" s="3"/>
      <c r="E668" s="2"/>
      <c r="F668" s="3"/>
      <c r="G668" s="36"/>
    </row>
    <row r="669">
      <c r="D669" s="3"/>
      <c r="E669" s="2"/>
      <c r="F669" s="3"/>
      <c r="G669" s="36"/>
    </row>
    <row r="670">
      <c r="D670" s="3"/>
      <c r="E670" s="2"/>
      <c r="F670" s="3"/>
      <c r="G670" s="36"/>
    </row>
    <row r="671">
      <c r="D671" s="3"/>
      <c r="E671" s="2"/>
      <c r="F671" s="3"/>
      <c r="G671" s="36"/>
    </row>
    <row r="672">
      <c r="D672" s="3"/>
      <c r="E672" s="2"/>
      <c r="F672" s="3"/>
      <c r="G672" s="36"/>
    </row>
    <row r="673">
      <c r="D673" s="3"/>
      <c r="E673" s="2"/>
      <c r="F673" s="3"/>
      <c r="G673" s="36"/>
    </row>
    <row r="674">
      <c r="D674" s="3"/>
      <c r="E674" s="2"/>
      <c r="F674" s="3"/>
      <c r="G674" s="36"/>
    </row>
    <row r="675">
      <c r="D675" s="3"/>
      <c r="E675" s="2"/>
      <c r="F675" s="3"/>
      <c r="G675" s="36"/>
    </row>
    <row r="676">
      <c r="D676" s="3"/>
      <c r="E676" s="2"/>
      <c r="F676" s="3"/>
      <c r="G676" s="36"/>
    </row>
    <row r="677">
      <c r="D677" s="3"/>
      <c r="E677" s="2"/>
      <c r="F677" s="3"/>
      <c r="G677" s="36"/>
    </row>
    <row r="678">
      <c r="D678" s="3"/>
      <c r="E678" s="2"/>
      <c r="F678" s="3"/>
      <c r="G678" s="36"/>
    </row>
    <row r="679">
      <c r="D679" s="3"/>
      <c r="E679" s="2"/>
      <c r="F679" s="3"/>
      <c r="G679" s="36"/>
    </row>
    <row r="680">
      <c r="D680" s="3"/>
      <c r="E680" s="2"/>
      <c r="F680" s="3"/>
      <c r="G680" s="36"/>
    </row>
    <row r="681">
      <c r="D681" s="3"/>
      <c r="E681" s="2"/>
      <c r="F681" s="3"/>
      <c r="G681" s="36"/>
    </row>
    <row r="682">
      <c r="D682" s="3"/>
      <c r="E682" s="2"/>
      <c r="F682" s="3"/>
      <c r="G682" s="36"/>
    </row>
    <row r="683">
      <c r="D683" s="3"/>
      <c r="E683" s="2"/>
      <c r="F683" s="3"/>
      <c r="G683" s="36"/>
    </row>
    <row r="684">
      <c r="D684" s="3"/>
      <c r="E684" s="2"/>
      <c r="F684" s="3"/>
      <c r="G684" s="36"/>
    </row>
    <row r="685">
      <c r="D685" s="3"/>
      <c r="E685" s="2"/>
      <c r="F685" s="3"/>
      <c r="G685" s="36"/>
    </row>
    <row r="686">
      <c r="D686" s="3"/>
      <c r="E686" s="2"/>
      <c r="F686" s="3"/>
      <c r="G686" s="36"/>
    </row>
    <row r="687">
      <c r="D687" s="3"/>
      <c r="E687" s="2"/>
      <c r="F687" s="3"/>
      <c r="G687" s="36"/>
    </row>
    <row r="688">
      <c r="D688" s="3"/>
      <c r="E688" s="2"/>
      <c r="F688" s="3"/>
      <c r="G688" s="36"/>
    </row>
    <row r="689">
      <c r="D689" s="3"/>
      <c r="E689" s="2"/>
      <c r="F689" s="3"/>
      <c r="G689" s="36"/>
    </row>
    <row r="690">
      <c r="D690" s="3"/>
      <c r="E690" s="2"/>
      <c r="F690" s="3"/>
      <c r="G690" s="36"/>
    </row>
    <row r="691">
      <c r="D691" s="3"/>
      <c r="E691" s="2"/>
      <c r="F691" s="3"/>
      <c r="G691" s="36"/>
    </row>
    <row r="692">
      <c r="D692" s="3"/>
      <c r="E692" s="2"/>
      <c r="F692" s="3"/>
      <c r="G692" s="36"/>
    </row>
    <row r="693">
      <c r="D693" s="3"/>
      <c r="E693" s="2"/>
      <c r="F693" s="3"/>
      <c r="G693" s="36"/>
    </row>
    <row r="694">
      <c r="D694" s="3"/>
      <c r="E694" s="2"/>
      <c r="F694" s="3"/>
      <c r="G694" s="36"/>
    </row>
    <row r="695">
      <c r="D695" s="3"/>
      <c r="E695" s="2"/>
      <c r="F695" s="3"/>
      <c r="G695" s="36"/>
    </row>
    <row r="696">
      <c r="D696" s="3"/>
      <c r="E696" s="2"/>
      <c r="F696" s="3"/>
      <c r="G696" s="36"/>
    </row>
    <row r="697">
      <c r="D697" s="3"/>
      <c r="E697" s="2"/>
      <c r="F697" s="3"/>
      <c r="G697" s="36"/>
    </row>
    <row r="698">
      <c r="D698" s="3"/>
      <c r="E698" s="2"/>
      <c r="F698" s="3"/>
      <c r="G698" s="36"/>
    </row>
    <row r="699">
      <c r="D699" s="3"/>
      <c r="E699" s="2"/>
      <c r="F699" s="3"/>
      <c r="G699" s="36"/>
    </row>
    <row r="700">
      <c r="D700" s="3"/>
      <c r="E700" s="2"/>
      <c r="F700" s="3"/>
      <c r="G700" s="36"/>
    </row>
    <row r="701">
      <c r="D701" s="3"/>
      <c r="E701" s="2"/>
      <c r="F701" s="3"/>
      <c r="G701" s="36"/>
    </row>
    <row r="702">
      <c r="D702" s="3"/>
      <c r="E702" s="2"/>
      <c r="F702" s="3"/>
      <c r="G702" s="36"/>
    </row>
    <row r="703">
      <c r="D703" s="3"/>
      <c r="E703" s="2"/>
      <c r="F703" s="3"/>
      <c r="G703" s="36"/>
    </row>
    <row r="704">
      <c r="D704" s="3"/>
      <c r="E704" s="2"/>
      <c r="F704" s="3"/>
      <c r="G704" s="36"/>
    </row>
    <row r="705">
      <c r="D705" s="3"/>
      <c r="E705" s="2"/>
      <c r="F705" s="3"/>
      <c r="G705" s="36"/>
    </row>
    <row r="706">
      <c r="D706" s="3"/>
      <c r="E706" s="2"/>
      <c r="F706" s="3"/>
      <c r="G706" s="36"/>
    </row>
    <row r="707">
      <c r="D707" s="3"/>
      <c r="E707" s="2"/>
      <c r="F707" s="3"/>
      <c r="G707" s="36"/>
    </row>
    <row r="708">
      <c r="D708" s="3"/>
      <c r="E708" s="2"/>
      <c r="F708" s="3"/>
      <c r="G708" s="36"/>
    </row>
    <row r="709">
      <c r="D709" s="3"/>
      <c r="E709" s="2"/>
      <c r="F709" s="3"/>
      <c r="G709" s="36"/>
    </row>
    <row r="710">
      <c r="D710" s="3"/>
      <c r="E710" s="2"/>
      <c r="F710" s="3"/>
      <c r="G710" s="36"/>
    </row>
    <row r="711">
      <c r="D711" s="3"/>
      <c r="E711" s="2"/>
      <c r="F711" s="3"/>
      <c r="G711" s="36"/>
    </row>
    <row r="712">
      <c r="D712" s="3"/>
      <c r="E712" s="2"/>
      <c r="F712" s="3"/>
      <c r="G712" s="36"/>
    </row>
    <row r="713">
      <c r="D713" s="3"/>
      <c r="E713" s="2"/>
      <c r="F713" s="3"/>
      <c r="G713" s="36"/>
    </row>
    <row r="714">
      <c r="D714" s="3"/>
      <c r="E714" s="2"/>
      <c r="F714" s="3"/>
      <c r="G714" s="36"/>
    </row>
    <row r="715">
      <c r="D715" s="3"/>
      <c r="E715" s="2"/>
      <c r="F715" s="3"/>
      <c r="G715" s="36"/>
    </row>
    <row r="716">
      <c r="D716" s="3"/>
      <c r="E716" s="2"/>
      <c r="F716" s="3"/>
      <c r="G716" s="36"/>
    </row>
    <row r="717">
      <c r="D717" s="3"/>
      <c r="E717" s="2"/>
      <c r="F717" s="3"/>
      <c r="G717" s="36"/>
    </row>
    <row r="718">
      <c r="D718" s="3"/>
      <c r="E718" s="2"/>
      <c r="F718" s="3"/>
      <c r="G718" s="36"/>
    </row>
    <row r="719">
      <c r="D719" s="3"/>
      <c r="E719" s="2"/>
      <c r="F719" s="3"/>
      <c r="G719" s="36"/>
    </row>
    <row r="720">
      <c r="D720" s="3"/>
      <c r="E720" s="2"/>
      <c r="F720" s="3"/>
      <c r="G720" s="36"/>
    </row>
    <row r="721">
      <c r="D721" s="3"/>
      <c r="E721" s="2"/>
      <c r="F721" s="3"/>
      <c r="G721" s="36"/>
    </row>
    <row r="722">
      <c r="D722" s="3"/>
      <c r="E722" s="2"/>
      <c r="F722" s="3"/>
      <c r="G722" s="36"/>
    </row>
    <row r="723">
      <c r="D723" s="3"/>
      <c r="E723" s="2"/>
      <c r="F723" s="3"/>
      <c r="G723" s="36"/>
    </row>
    <row r="724">
      <c r="D724" s="3"/>
      <c r="E724" s="2"/>
      <c r="F724" s="3"/>
      <c r="G724" s="36"/>
    </row>
    <row r="725">
      <c r="D725" s="3"/>
      <c r="E725" s="2"/>
      <c r="F725" s="3"/>
      <c r="G725" s="36"/>
    </row>
    <row r="726">
      <c r="D726" s="3"/>
      <c r="E726" s="2"/>
      <c r="F726" s="3"/>
      <c r="G726" s="36"/>
    </row>
    <row r="727">
      <c r="D727" s="3"/>
      <c r="E727" s="2"/>
      <c r="F727" s="3"/>
      <c r="G727" s="36"/>
    </row>
    <row r="728">
      <c r="D728" s="3"/>
      <c r="E728" s="2"/>
      <c r="F728" s="3"/>
      <c r="G728" s="36"/>
    </row>
    <row r="729">
      <c r="D729" s="3"/>
      <c r="E729" s="2"/>
      <c r="F729" s="3"/>
      <c r="G729" s="36"/>
    </row>
    <row r="730">
      <c r="D730" s="3"/>
      <c r="E730" s="2"/>
      <c r="F730" s="3"/>
      <c r="G730" s="36"/>
    </row>
    <row r="731">
      <c r="D731" s="3"/>
      <c r="E731" s="2"/>
      <c r="F731" s="3"/>
      <c r="G731" s="36"/>
    </row>
    <row r="732">
      <c r="D732" s="3"/>
      <c r="E732" s="2"/>
      <c r="F732" s="3"/>
      <c r="G732" s="36"/>
    </row>
    <row r="733">
      <c r="D733" s="3"/>
      <c r="E733" s="2"/>
      <c r="F733" s="3"/>
      <c r="G733" s="36"/>
    </row>
    <row r="734">
      <c r="D734" s="3"/>
      <c r="E734" s="2"/>
      <c r="F734" s="3"/>
      <c r="G734" s="36"/>
    </row>
    <row r="735">
      <c r="D735" s="3"/>
      <c r="E735" s="2"/>
      <c r="F735" s="3"/>
      <c r="G735" s="36"/>
    </row>
    <row r="736">
      <c r="D736" s="3"/>
      <c r="E736" s="2"/>
      <c r="F736" s="3"/>
      <c r="G736" s="36"/>
    </row>
    <row r="737">
      <c r="D737" s="3"/>
      <c r="E737" s="2"/>
      <c r="F737" s="3"/>
      <c r="G737" s="36"/>
    </row>
    <row r="738">
      <c r="D738" s="3"/>
      <c r="E738" s="2"/>
      <c r="F738" s="3"/>
      <c r="G738" s="36"/>
    </row>
    <row r="739">
      <c r="D739" s="3"/>
      <c r="E739" s="2"/>
      <c r="F739" s="3"/>
      <c r="G739" s="36"/>
    </row>
    <row r="740">
      <c r="D740" s="3"/>
      <c r="E740" s="2"/>
      <c r="F740" s="3"/>
      <c r="G740" s="36"/>
    </row>
    <row r="741">
      <c r="D741" s="3"/>
      <c r="E741" s="2"/>
      <c r="F741" s="3"/>
      <c r="G741" s="36"/>
    </row>
    <row r="742">
      <c r="D742" s="3"/>
      <c r="E742" s="2"/>
      <c r="F742" s="3"/>
      <c r="G742" s="36"/>
    </row>
    <row r="743">
      <c r="D743" s="3"/>
      <c r="E743" s="2"/>
      <c r="F743" s="3"/>
      <c r="G743" s="36"/>
    </row>
    <row r="744">
      <c r="D744" s="3"/>
      <c r="E744" s="2"/>
      <c r="F744" s="3"/>
      <c r="G744" s="36"/>
    </row>
    <row r="745">
      <c r="D745" s="3"/>
      <c r="E745" s="2"/>
      <c r="F745" s="3"/>
      <c r="G745" s="36"/>
    </row>
    <row r="746">
      <c r="D746" s="3"/>
      <c r="E746" s="2"/>
      <c r="F746" s="3"/>
      <c r="G746" s="36"/>
    </row>
    <row r="747">
      <c r="D747" s="3"/>
      <c r="E747" s="2"/>
      <c r="F747" s="3"/>
      <c r="G747" s="36"/>
    </row>
    <row r="748">
      <c r="D748" s="3"/>
      <c r="E748" s="2"/>
      <c r="F748" s="3"/>
      <c r="G748" s="36"/>
    </row>
    <row r="749">
      <c r="D749" s="3"/>
      <c r="E749" s="2"/>
      <c r="F749" s="3"/>
      <c r="G749" s="36"/>
    </row>
    <row r="750">
      <c r="D750" s="3"/>
      <c r="E750" s="2"/>
      <c r="F750" s="3"/>
      <c r="G750" s="36"/>
    </row>
    <row r="751">
      <c r="D751" s="3"/>
      <c r="E751" s="2"/>
      <c r="F751" s="3"/>
      <c r="G751" s="36"/>
    </row>
    <row r="752">
      <c r="D752" s="3"/>
      <c r="E752" s="2"/>
      <c r="F752" s="3"/>
      <c r="G752" s="36"/>
    </row>
    <row r="753">
      <c r="D753" s="3"/>
      <c r="E753" s="2"/>
      <c r="F753" s="3"/>
      <c r="G753" s="36"/>
    </row>
    <row r="754">
      <c r="D754" s="3"/>
      <c r="E754" s="2"/>
      <c r="F754" s="3"/>
      <c r="G754" s="36"/>
    </row>
    <row r="755">
      <c r="D755" s="3"/>
      <c r="E755" s="2"/>
      <c r="F755" s="3"/>
      <c r="G755" s="36"/>
    </row>
    <row r="756">
      <c r="D756" s="3"/>
      <c r="E756" s="2"/>
      <c r="F756" s="3"/>
      <c r="G756" s="36"/>
    </row>
    <row r="757">
      <c r="D757" s="3"/>
      <c r="E757" s="2"/>
      <c r="F757" s="3"/>
      <c r="G757" s="36"/>
    </row>
    <row r="758">
      <c r="D758" s="3"/>
      <c r="E758" s="2"/>
      <c r="F758" s="3"/>
      <c r="G758" s="36"/>
    </row>
    <row r="759">
      <c r="D759" s="3"/>
      <c r="E759" s="2"/>
      <c r="F759" s="3"/>
      <c r="G759" s="36"/>
    </row>
    <row r="760">
      <c r="D760" s="3"/>
      <c r="E760" s="2"/>
      <c r="F760" s="3"/>
      <c r="G760" s="36"/>
    </row>
    <row r="761">
      <c r="D761" s="3"/>
      <c r="E761" s="2"/>
      <c r="F761" s="3"/>
      <c r="G761" s="36"/>
    </row>
    <row r="762">
      <c r="D762" s="3"/>
      <c r="E762" s="2"/>
      <c r="F762" s="3"/>
      <c r="G762" s="36"/>
    </row>
    <row r="763">
      <c r="D763" s="3"/>
      <c r="E763" s="2"/>
      <c r="F763" s="3"/>
      <c r="G763" s="36"/>
    </row>
    <row r="764">
      <c r="D764" s="3"/>
      <c r="E764" s="2"/>
      <c r="F764" s="3"/>
      <c r="G764" s="36"/>
    </row>
    <row r="765">
      <c r="D765" s="3"/>
      <c r="E765" s="2"/>
      <c r="F765" s="3"/>
      <c r="G765" s="36"/>
    </row>
    <row r="766">
      <c r="D766" s="3"/>
      <c r="E766" s="2"/>
      <c r="F766" s="3"/>
      <c r="G766" s="36"/>
    </row>
    <row r="767">
      <c r="D767" s="3"/>
      <c r="E767" s="2"/>
      <c r="F767" s="3"/>
      <c r="G767" s="36"/>
    </row>
    <row r="768">
      <c r="D768" s="3"/>
      <c r="E768" s="2"/>
      <c r="F768" s="3"/>
      <c r="G768" s="36"/>
    </row>
    <row r="769">
      <c r="D769" s="3"/>
      <c r="E769" s="2"/>
      <c r="F769" s="3"/>
      <c r="G769" s="36"/>
    </row>
    <row r="770">
      <c r="D770" s="3"/>
      <c r="E770" s="2"/>
      <c r="F770" s="3"/>
      <c r="G770" s="36"/>
    </row>
    <row r="771">
      <c r="D771" s="3"/>
      <c r="E771" s="2"/>
      <c r="F771" s="3"/>
      <c r="G771" s="36"/>
    </row>
    <row r="772">
      <c r="D772" s="3"/>
      <c r="E772" s="2"/>
      <c r="F772" s="3"/>
      <c r="G772" s="36"/>
    </row>
    <row r="773">
      <c r="D773" s="3"/>
      <c r="E773" s="2"/>
      <c r="F773" s="3"/>
      <c r="G773" s="36"/>
    </row>
    <row r="774">
      <c r="D774" s="3"/>
      <c r="E774" s="2"/>
      <c r="F774" s="3"/>
      <c r="G774" s="36"/>
    </row>
    <row r="775">
      <c r="D775" s="3"/>
      <c r="E775" s="2"/>
      <c r="F775" s="3"/>
      <c r="G775" s="36"/>
    </row>
    <row r="776">
      <c r="D776" s="3"/>
      <c r="E776" s="2"/>
      <c r="F776" s="3"/>
      <c r="G776" s="36"/>
    </row>
    <row r="777">
      <c r="D777" s="3"/>
      <c r="E777" s="2"/>
      <c r="F777" s="3"/>
      <c r="G777" s="36"/>
    </row>
    <row r="778">
      <c r="D778" s="3"/>
      <c r="E778" s="2"/>
      <c r="F778" s="3"/>
      <c r="G778" s="36"/>
    </row>
    <row r="779">
      <c r="D779" s="3"/>
      <c r="E779" s="2"/>
      <c r="F779" s="3"/>
      <c r="G779" s="36"/>
    </row>
    <row r="780">
      <c r="D780" s="3"/>
      <c r="E780" s="2"/>
      <c r="F780" s="3"/>
      <c r="G780" s="36"/>
    </row>
    <row r="781">
      <c r="D781" s="3"/>
      <c r="E781" s="2"/>
      <c r="F781" s="3"/>
      <c r="G781" s="36"/>
    </row>
    <row r="782">
      <c r="D782" s="3"/>
      <c r="E782" s="2"/>
      <c r="F782" s="3"/>
      <c r="G782" s="36"/>
    </row>
    <row r="783">
      <c r="D783" s="3"/>
      <c r="E783" s="2"/>
      <c r="F783" s="3"/>
      <c r="G783" s="36"/>
    </row>
    <row r="784">
      <c r="D784" s="3"/>
      <c r="E784" s="2"/>
      <c r="F784" s="3"/>
      <c r="G784" s="36"/>
    </row>
    <row r="785">
      <c r="D785" s="3"/>
      <c r="E785" s="2"/>
      <c r="F785" s="3"/>
      <c r="G785" s="36"/>
    </row>
    <row r="786">
      <c r="D786" s="3"/>
      <c r="E786" s="2"/>
      <c r="F786" s="3"/>
      <c r="G786" s="36"/>
    </row>
    <row r="787">
      <c r="D787" s="3"/>
      <c r="E787" s="2"/>
      <c r="F787" s="3"/>
      <c r="G787" s="36"/>
    </row>
    <row r="788">
      <c r="D788" s="3"/>
      <c r="E788" s="2"/>
      <c r="F788" s="3"/>
      <c r="G788" s="36"/>
    </row>
    <row r="789">
      <c r="D789" s="3"/>
      <c r="E789" s="2"/>
      <c r="F789" s="3"/>
      <c r="G789" s="36"/>
    </row>
    <row r="790">
      <c r="D790" s="3"/>
      <c r="E790" s="2"/>
      <c r="F790" s="3"/>
      <c r="G790" s="36"/>
    </row>
    <row r="791">
      <c r="D791" s="3"/>
      <c r="E791" s="2"/>
      <c r="F791" s="3"/>
      <c r="G791" s="36"/>
    </row>
    <row r="792">
      <c r="D792" s="3"/>
      <c r="E792" s="2"/>
      <c r="F792" s="3"/>
      <c r="G792" s="36"/>
    </row>
    <row r="793">
      <c r="D793" s="3"/>
      <c r="E793" s="2"/>
      <c r="F793" s="3"/>
      <c r="G793" s="36"/>
    </row>
    <row r="794">
      <c r="D794" s="3"/>
      <c r="E794" s="2"/>
      <c r="F794" s="3"/>
      <c r="G794" s="36"/>
    </row>
    <row r="795">
      <c r="D795" s="3"/>
      <c r="E795" s="2"/>
      <c r="F795" s="3"/>
      <c r="G795" s="36"/>
    </row>
    <row r="796">
      <c r="D796" s="3"/>
      <c r="E796" s="2"/>
      <c r="F796" s="3"/>
      <c r="G796" s="36"/>
    </row>
    <row r="797">
      <c r="D797" s="3"/>
      <c r="E797" s="2"/>
      <c r="F797" s="3"/>
      <c r="G797" s="36"/>
    </row>
    <row r="798">
      <c r="D798" s="3"/>
      <c r="E798" s="2"/>
      <c r="F798" s="3"/>
      <c r="G798" s="36"/>
    </row>
    <row r="799">
      <c r="D799" s="3"/>
      <c r="E799" s="2"/>
      <c r="F799" s="3"/>
      <c r="G799" s="36"/>
    </row>
    <row r="800">
      <c r="D800" s="3"/>
      <c r="E800" s="2"/>
      <c r="F800" s="3"/>
      <c r="G800" s="36"/>
    </row>
    <row r="801">
      <c r="D801" s="3"/>
      <c r="E801" s="2"/>
      <c r="F801" s="3"/>
      <c r="G801" s="36"/>
    </row>
    <row r="802">
      <c r="D802" s="3"/>
      <c r="E802" s="2"/>
      <c r="F802" s="3"/>
      <c r="G802" s="36"/>
    </row>
    <row r="803">
      <c r="D803" s="3"/>
      <c r="E803" s="2"/>
      <c r="F803" s="3"/>
      <c r="G803" s="36"/>
    </row>
    <row r="804">
      <c r="D804" s="3"/>
      <c r="E804" s="2"/>
      <c r="F804" s="3"/>
      <c r="G804" s="36"/>
    </row>
    <row r="805">
      <c r="D805" s="3"/>
      <c r="E805" s="2"/>
      <c r="F805" s="3"/>
      <c r="G805" s="36"/>
    </row>
    <row r="806">
      <c r="D806" s="3"/>
      <c r="E806" s="2"/>
      <c r="F806" s="3"/>
      <c r="G806" s="36"/>
    </row>
    <row r="807">
      <c r="D807" s="3"/>
      <c r="E807" s="2"/>
      <c r="F807" s="3"/>
      <c r="G807" s="36"/>
    </row>
    <row r="808">
      <c r="D808" s="3"/>
      <c r="E808" s="2"/>
      <c r="F808" s="3"/>
      <c r="G808" s="36"/>
    </row>
    <row r="809">
      <c r="D809" s="3"/>
      <c r="E809" s="2"/>
      <c r="F809" s="3"/>
      <c r="G809" s="36"/>
    </row>
    <row r="810">
      <c r="D810" s="3"/>
      <c r="E810" s="2"/>
      <c r="F810" s="3"/>
      <c r="G810" s="36"/>
    </row>
    <row r="811">
      <c r="D811" s="3"/>
      <c r="E811" s="2"/>
      <c r="F811" s="3"/>
      <c r="G811" s="36"/>
    </row>
    <row r="812">
      <c r="D812" s="3"/>
      <c r="E812" s="2"/>
      <c r="F812" s="3"/>
      <c r="G812" s="36"/>
    </row>
    <row r="813">
      <c r="D813" s="3"/>
      <c r="E813" s="2"/>
      <c r="F813" s="3"/>
      <c r="G813" s="36"/>
    </row>
    <row r="814">
      <c r="D814" s="3"/>
      <c r="E814" s="2"/>
      <c r="F814" s="3"/>
      <c r="G814" s="36"/>
    </row>
    <row r="815">
      <c r="D815" s="3"/>
      <c r="E815" s="2"/>
      <c r="F815" s="3"/>
      <c r="G815" s="36"/>
    </row>
    <row r="816">
      <c r="D816" s="3"/>
      <c r="E816" s="2"/>
      <c r="F816" s="3"/>
      <c r="G816" s="36"/>
    </row>
    <row r="817">
      <c r="D817" s="3"/>
      <c r="E817" s="2"/>
      <c r="F817" s="3"/>
      <c r="G817" s="36"/>
    </row>
    <row r="818">
      <c r="D818" s="3"/>
      <c r="E818" s="2"/>
      <c r="F818" s="3"/>
      <c r="G818" s="36"/>
    </row>
    <row r="819">
      <c r="D819" s="3"/>
      <c r="E819" s="2"/>
      <c r="F819" s="3"/>
      <c r="G819" s="36"/>
    </row>
    <row r="820">
      <c r="D820" s="3"/>
      <c r="E820" s="2"/>
      <c r="F820" s="3"/>
      <c r="G820" s="36"/>
    </row>
    <row r="821">
      <c r="D821" s="3"/>
      <c r="E821" s="2"/>
      <c r="F821" s="3"/>
      <c r="G821" s="36"/>
    </row>
    <row r="822">
      <c r="D822" s="3"/>
      <c r="E822" s="2"/>
      <c r="F822" s="3"/>
      <c r="G822" s="36"/>
    </row>
    <row r="823">
      <c r="D823" s="3"/>
      <c r="E823" s="2"/>
      <c r="F823" s="3"/>
      <c r="G823" s="36"/>
    </row>
    <row r="824">
      <c r="D824" s="3"/>
      <c r="E824" s="2"/>
      <c r="F824" s="3"/>
      <c r="G824" s="36"/>
    </row>
    <row r="825">
      <c r="D825" s="3"/>
      <c r="E825" s="2"/>
      <c r="F825" s="3"/>
      <c r="G825" s="36"/>
    </row>
    <row r="826">
      <c r="D826" s="3"/>
      <c r="E826" s="2"/>
      <c r="F826" s="3"/>
      <c r="G826" s="36"/>
    </row>
    <row r="827">
      <c r="D827" s="3"/>
      <c r="E827" s="2"/>
      <c r="F827" s="3"/>
      <c r="G827" s="36"/>
    </row>
    <row r="828">
      <c r="D828" s="3"/>
      <c r="E828" s="2"/>
      <c r="F828" s="3"/>
      <c r="G828" s="36"/>
    </row>
    <row r="829">
      <c r="D829" s="3"/>
      <c r="E829" s="2"/>
      <c r="F829" s="3"/>
      <c r="G829" s="36"/>
    </row>
    <row r="830">
      <c r="D830" s="3"/>
      <c r="E830" s="2"/>
      <c r="F830" s="3"/>
      <c r="G830" s="36"/>
    </row>
    <row r="831">
      <c r="D831" s="3"/>
      <c r="E831" s="2"/>
      <c r="F831" s="3"/>
      <c r="G831" s="36"/>
    </row>
    <row r="832">
      <c r="D832" s="3"/>
      <c r="E832" s="2"/>
      <c r="F832" s="3"/>
      <c r="G832" s="36"/>
    </row>
    <row r="833">
      <c r="D833" s="3"/>
      <c r="E833" s="2"/>
      <c r="F833" s="3"/>
      <c r="G833" s="36"/>
    </row>
    <row r="834">
      <c r="D834" s="3"/>
      <c r="E834" s="2"/>
      <c r="F834" s="3"/>
      <c r="G834" s="36"/>
    </row>
    <row r="835">
      <c r="D835" s="3"/>
      <c r="E835" s="2"/>
      <c r="F835" s="3"/>
      <c r="G835" s="36"/>
    </row>
    <row r="836">
      <c r="D836" s="3"/>
      <c r="E836" s="2"/>
      <c r="F836" s="3"/>
      <c r="G836" s="36"/>
    </row>
    <row r="837">
      <c r="D837" s="3"/>
      <c r="E837" s="2"/>
      <c r="F837" s="3"/>
      <c r="G837" s="36"/>
    </row>
    <row r="838">
      <c r="D838" s="3"/>
      <c r="E838" s="2"/>
      <c r="F838" s="3"/>
      <c r="G838" s="36"/>
    </row>
    <row r="839">
      <c r="D839" s="3"/>
      <c r="E839" s="2"/>
      <c r="F839" s="3"/>
      <c r="G839" s="36"/>
    </row>
    <row r="840">
      <c r="D840" s="3"/>
      <c r="E840" s="2"/>
      <c r="F840" s="3"/>
      <c r="G840" s="36"/>
    </row>
    <row r="841">
      <c r="D841" s="3"/>
      <c r="E841" s="2"/>
      <c r="F841" s="3"/>
      <c r="G841" s="36"/>
    </row>
    <row r="842">
      <c r="D842" s="3"/>
      <c r="E842" s="2"/>
      <c r="F842" s="3"/>
      <c r="G842" s="36"/>
    </row>
    <row r="843">
      <c r="D843" s="3"/>
      <c r="E843" s="2"/>
      <c r="F843" s="3"/>
      <c r="G843" s="36"/>
    </row>
    <row r="844">
      <c r="D844" s="3"/>
      <c r="E844" s="2"/>
      <c r="F844" s="3"/>
      <c r="G844" s="36"/>
    </row>
    <row r="845">
      <c r="D845" s="3"/>
      <c r="E845" s="2"/>
      <c r="F845" s="3"/>
      <c r="G845" s="36"/>
    </row>
    <row r="846">
      <c r="D846" s="3"/>
      <c r="E846" s="2"/>
      <c r="F846" s="3"/>
      <c r="G846" s="36"/>
    </row>
    <row r="847">
      <c r="D847" s="3"/>
      <c r="E847" s="2"/>
      <c r="F847" s="3"/>
      <c r="G847" s="36"/>
    </row>
    <row r="848">
      <c r="D848" s="3"/>
      <c r="E848" s="2"/>
      <c r="F848" s="3"/>
      <c r="G848" s="36"/>
    </row>
    <row r="849">
      <c r="D849" s="3"/>
      <c r="E849" s="2"/>
      <c r="F849" s="3"/>
      <c r="G849" s="36"/>
    </row>
    <row r="850">
      <c r="D850" s="3"/>
      <c r="E850" s="2"/>
      <c r="F850" s="3"/>
      <c r="G850" s="36"/>
    </row>
    <row r="851">
      <c r="D851" s="3"/>
      <c r="E851" s="2"/>
      <c r="F851" s="3"/>
      <c r="G851" s="36"/>
    </row>
    <row r="852">
      <c r="D852" s="3"/>
      <c r="E852" s="2"/>
      <c r="F852" s="3"/>
      <c r="G852" s="36"/>
    </row>
    <row r="853">
      <c r="D853" s="3"/>
      <c r="E853" s="2"/>
      <c r="F853" s="3"/>
      <c r="G853" s="36"/>
    </row>
    <row r="854">
      <c r="D854" s="3"/>
      <c r="E854" s="2"/>
      <c r="F854" s="3"/>
      <c r="G854" s="36"/>
    </row>
    <row r="855">
      <c r="D855" s="3"/>
      <c r="E855" s="2"/>
      <c r="F855" s="3"/>
      <c r="G855" s="36"/>
    </row>
    <row r="856">
      <c r="D856" s="3"/>
      <c r="E856" s="2"/>
      <c r="F856" s="3"/>
      <c r="G856" s="36"/>
    </row>
    <row r="857">
      <c r="D857" s="3"/>
      <c r="E857" s="2"/>
      <c r="F857" s="3"/>
      <c r="G857" s="36"/>
    </row>
    <row r="858">
      <c r="D858" s="3"/>
      <c r="E858" s="2"/>
      <c r="F858" s="3"/>
      <c r="G858" s="36"/>
    </row>
    <row r="859">
      <c r="D859" s="3"/>
      <c r="E859" s="2"/>
      <c r="F859" s="3"/>
      <c r="G859" s="36"/>
    </row>
    <row r="860">
      <c r="D860" s="3"/>
      <c r="E860" s="2"/>
      <c r="F860" s="3"/>
      <c r="G860" s="36"/>
    </row>
    <row r="861">
      <c r="D861" s="3"/>
      <c r="E861" s="2"/>
      <c r="F861" s="3"/>
      <c r="G861" s="36"/>
    </row>
    <row r="862">
      <c r="D862" s="3"/>
      <c r="E862" s="2"/>
      <c r="F862" s="3"/>
      <c r="G862" s="36"/>
    </row>
    <row r="863">
      <c r="D863" s="3"/>
      <c r="E863" s="2"/>
      <c r="F863" s="3"/>
      <c r="G863" s="36"/>
    </row>
    <row r="864">
      <c r="D864" s="3"/>
      <c r="E864" s="2"/>
      <c r="F864" s="3"/>
      <c r="G864" s="36"/>
    </row>
    <row r="865">
      <c r="D865" s="3"/>
      <c r="E865" s="2"/>
      <c r="F865" s="3"/>
      <c r="G865" s="36"/>
    </row>
    <row r="866">
      <c r="D866" s="3"/>
      <c r="E866" s="2"/>
      <c r="F866" s="3"/>
      <c r="G866" s="36"/>
    </row>
    <row r="867">
      <c r="D867" s="3"/>
      <c r="E867" s="2"/>
      <c r="F867" s="3"/>
      <c r="G867" s="36"/>
    </row>
    <row r="868">
      <c r="D868" s="3"/>
      <c r="E868" s="2"/>
      <c r="F868" s="3"/>
      <c r="G868" s="36"/>
    </row>
    <row r="869">
      <c r="D869" s="3"/>
      <c r="E869" s="2"/>
      <c r="F869" s="3"/>
      <c r="G869" s="36"/>
    </row>
    <row r="870">
      <c r="D870" s="3"/>
      <c r="E870" s="2"/>
      <c r="F870" s="3"/>
      <c r="G870" s="36"/>
    </row>
    <row r="871">
      <c r="D871" s="3"/>
      <c r="E871" s="2"/>
      <c r="F871" s="3"/>
      <c r="G871" s="36"/>
    </row>
    <row r="872">
      <c r="D872" s="3"/>
      <c r="E872" s="2"/>
      <c r="F872" s="3"/>
      <c r="G872" s="36"/>
    </row>
    <row r="873">
      <c r="D873" s="3"/>
      <c r="E873" s="2"/>
      <c r="F873" s="3"/>
      <c r="G873" s="36"/>
    </row>
    <row r="874">
      <c r="D874" s="3"/>
      <c r="E874" s="2"/>
      <c r="F874" s="3"/>
      <c r="G874" s="36"/>
    </row>
    <row r="875">
      <c r="D875" s="3"/>
      <c r="E875" s="2"/>
      <c r="F875" s="3"/>
      <c r="G875" s="36"/>
    </row>
    <row r="876">
      <c r="D876" s="3"/>
      <c r="E876" s="2"/>
      <c r="F876" s="3"/>
      <c r="G876" s="36"/>
    </row>
    <row r="877">
      <c r="D877" s="3"/>
      <c r="E877" s="2"/>
      <c r="F877" s="3"/>
      <c r="G877" s="36"/>
    </row>
    <row r="878">
      <c r="D878" s="3"/>
      <c r="E878" s="2"/>
      <c r="F878" s="3"/>
      <c r="G878" s="36"/>
    </row>
    <row r="879">
      <c r="D879" s="3"/>
      <c r="E879" s="2"/>
      <c r="F879" s="3"/>
      <c r="G879" s="36"/>
    </row>
    <row r="880">
      <c r="D880" s="3"/>
      <c r="E880" s="2"/>
      <c r="F880" s="3"/>
      <c r="G880" s="36"/>
    </row>
    <row r="881">
      <c r="D881" s="3"/>
      <c r="E881" s="2"/>
      <c r="F881" s="3"/>
      <c r="G881" s="36"/>
    </row>
    <row r="882">
      <c r="D882" s="3"/>
      <c r="E882" s="2"/>
      <c r="F882" s="3"/>
      <c r="G882" s="36"/>
    </row>
    <row r="883">
      <c r="D883" s="3"/>
      <c r="E883" s="2"/>
      <c r="F883" s="3"/>
      <c r="G883" s="36"/>
    </row>
    <row r="884">
      <c r="D884" s="3"/>
      <c r="E884" s="2"/>
      <c r="F884" s="3"/>
      <c r="G884" s="36"/>
    </row>
    <row r="885">
      <c r="D885" s="3"/>
      <c r="E885" s="2"/>
      <c r="F885" s="3"/>
      <c r="G885" s="36"/>
    </row>
    <row r="886">
      <c r="D886" s="3"/>
      <c r="E886" s="2"/>
      <c r="F886" s="3"/>
      <c r="G886" s="36"/>
    </row>
    <row r="887">
      <c r="D887" s="3"/>
      <c r="E887" s="2"/>
      <c r="F887" s="3"/>
      <c r="G887" s="36"/>
    </row>
    <row r="888">
      <c r="D888" s="3"/>
      <c r="E888" s="2"/>
      <c r="F888" s="3"/>
      <c r="G888" s="36"/>
    </row>
    <row r="889">
      <c r="D889" s="3"/>
      <c r="E889" s="2"/>
      <c r="F889" s="3"/>
      <c r="G889" s="36"/>
    </row>
    <row r="890">
      <c r="D890" s="3"/>
      <c r="E890" s="2"/>
      <c r="F890" s="3"/>
      <c r="G890" s="36"/>
    </row>
    <row r="891">
      <c r="D891" s="3"/>
      <c r="E891" s="2"/>
      <c r="F891" s="3"/>
      <c r="G891" s="36"/>
    </row>
    <row r="892">
      <c r="D892" s="3"/>
      <c r="E892" s="2"/>
      <c r="F892" s="3"/>
      <c r="G892" s="36"/>
    </row>
    <row r="893">
      <c r="D893" s="3"/>
      <c r="E893" s="2"/>
      <c r="F893" s="3"/>
      <c r="G893" s="36"/>
    </row>
    <row r="894">
      <c r="D894" s="3"/>
      <c r="E894" s="2"/>
      <c r="F894" s="3"/>
      <c r="G894" s="36"/>
    </row>
    <row r="895">
      <c r="D895" s="3"/>
      <c r="E895" s="2"/>
      <c r="F895" s="3"/>
      <c r="G895" s="36"/>
    </row>
    <row r="896">
      <c r="D896" s="3"/>
      <c r="E896" s="2"/>
      <c r="F896" s="3"/>
      <c r="G896" s="36"/>
    </row>
    <row r="897">
      <c r="D897" s="3"/>
      <c r="E897" s="2"/>
      <c r="F897" s="3"/>
      <c r="G897" s="36"/>
    </row>
    <row r="898">
      <c r="D898" s="3"/>
      <c r="E898" s="2"/>
      <c r="F898" s="3"/>
      <c r="G898" s="36"/>
    </row>
    <row r="899">
      <c r="D899" s="3"/>
      <c r="E899" s="2"/>
      <c r="F899" s="3"/>
      <c r="G899" s="36"/>
    </row>
    <row r="900">
      <c r="D900" s="3"/>
      <c r="E900" s="2"/>
      <c r="F900" s="3"/>
      <c r="G900" s="36"/>
    </row>
    <row r="901">
      <c r="D901" s="3"/>
      <c r="E901" s="2"/>
      <c r="F901" s="3"/>
      <c r="G901" s="36"/>
    </row>
    <row r="902">
      <c r="D902" s="3"/>
      <c r="E902" s="2"/>
      <c r="F902" s="3"/>
      <c r="G902" s="36"/>
    </row>
    <row r="903">
      <c r="D903" s="3"/>
      <c r="E903" s="2"/>
      <c r="F903" s="3"/>
      <c r="G903" s="36"/>
    </row>
    <row r="904">
      <c r="D904" s="3"/>
      <c r="E904" s="2"/>
      <c r="F904" s="3"/>
      <c r="G904" s="36"/>
    </row>
    <row r="905">
      <c r="D905" s="3"/>
      <c r="E905" s="2"/>
      <c r="F905" s="3"/>
      <c r="G905" s="36"/>
    </row>
    <row r="906">
      <c r="D906" s="3"/>
      <c r="E906" s="2"/>
      <c r="F906" s="3"/>
      <c r="G906" s="36"/>
    </row>
    <row r="907">
      <c r="D907" s="3"/>
      <c r="E907" s="2"/>
      <c r="F907" s="3"/>
      <c r="G907" s="36"/>
    </row>
    <row r="908">
      <c r="D908" s="3"/>
      <c r="E908" s="2"/>
      <c r="F908" s="3"/>
      <c r="G908" s="36"/>
    </row>
    <row r="909">
      <c r="D909" s="3"/>
      <c r="E909" s="2"/>
      <c r="F909" s="3"/>
      <c r="G909" s="36"/>
    </row>
    <row r="910">
      <c r="D910" s="3"/>
      <c r="E910" s="2"/>
      <c r="F910" s="3"/>
      <c r="G910" s="36"/>
    </row>
    <row r="911">
      <c r="D911" s="3"/>
      <c r="E911" s="2"/>
      <c r="F911" s="3"/>
      <c r="G911" s="36"/>
    </row>
    <row r="912">
      <c r="D912" s="3"/>
      <c r="E912" s="2"/>
      <c r="F912" s="3"/>
      <c r="G912" s="36"/>
    </row>
    <row r="913">
      <c r="D913" s="3"/>
      <c r="E913" s="2"/>
      <c r="F913" s="3"/>
      <c r="G913" s="36"/>
    </row>
    <row r="914">
      <c r="D914" s="3"/>
      <c r="E914" s="2"/>
      <c r="F914" s="3"/>
      <c r="G914" s="36"/>
    </row>
    <row r="915">
      <c r="D915" s="3"/>
      <c r="E915" s="2"/>
      <c r="F915" s="3"/>
      <c r="G915" s="36"/>
    </row>
    <row r="916">
      <c r="D916" s="3"/>
      <c r="E916" s="2"/>
      <c r="F916" s="3"/>
      <c r="G916" s="36"/>
    </row>
    <row r="917">
      <c r="D917" s="3"/>
      <c r="E917" s="2"/>
      <c r="F917" s="3"/>
      <c r="G917" s="36"/>
    </row>
    <row r="918">
      <c r="D918" s="3"/>
      <c r="E918" s="2"/>
      <c r="F918" s="3"/>
      <c r="G918" s="36"/>
    </row>
    <row r="919">
      <c r="D919" s="3"/>
      <c r="E919" s="2"/>
      <c r="F919" s="3"/>
      <c r="G919" s="36"/>
    </row>
    <row r="920">
      <c r="D920" s="3"/>
      <c r="E920" s="2"/>
      <c r="F920" s="3"/>
      <c r="G920" s="36"/>
    </row>
    <row r="921">
      <c r="D921" s="3"/>
      <c r="E921" s="2"/>
      <c r="F921" s="3"/>
      <c r="G921" s="36"/>
    </row>
    <row r="922">
      <c r="D922" s="3"/>
      <c r="E922" s="2"/>
      <c r="F922" s="3"/>
      <c r="G922" s="36"/>
    </row>
    <row r="923">
      <c r="D923" s="3"/>
      <c r="E923" s="2"/>
      <c r="F923" s="3"/>
      <c r="G923" s="36"/>
    </row>
    <row r="924">
      <c r="D924" s="3"/>
      <c r="E924" s="2"/>
      <c r="F924" s="3"/>
      <c r="G924" s="36"/>
    </row>
    <row r="925">
      <c r="D925" s="3"/>
      <c r="E925" s="2"/>
      <c r="F925" s="3"/>
      <c r="G925" s="36"/>
    </row>
    <row r="926">
      <c r="D926" s="3"/>
      <c r="E926" s="2"/>
      <c r="F926" s="3"/>
      <c r="G926" s="36"/>
    </row>
    <row r="927">
      <c r="D927" s="3"/>
      <c r="E927" s="2"/>
      <c r="F927" s="3"/>
      <c r="G927" s="36"/>
    </row>
    <row r="928">
      <c r="D928" s="3"/>
      <c r="E928" s="2"/>
      <c r="F928" s="3"/>
      <c r="G928" s="36"/>
    </row>
    <row r="929">
      <c r="D929" s="3"/>
      <c r="E929" s="2"/>
      <c r="F929" s="3"/>
      <c r="G929" s="36"/>
    </row>
    <row r="930">
      <c r="D930" s="3"/>
      <c r="E930" s="2"/>
      <c r="F930" s="3"/>
      <c r="G930" s="36"/>
    </row>
    <row r="931">
      <c r="D931" s="3"/>
      <c r="E931" s="2"/>
      <c r="F931" s="3"/>
      <c r="G931" s="36"/>
    </row>
    <row r="932">
      <c r="D932" s="3"/>
      <c r="E932" s="2"/>
      <c r="F932" s="3"/>
      <c r="G932" s="36"/>
    </row>
    <row r="933">
      <c r="D933" s="3"/>
      <c r="E933" s="2"/>
      <c r="F933" s="3"/>
      <c r="G933" s="36"/>
    </row>
    <row r="934">
      <c r="D934" s="3"/>
      <c r="E934" s="2"/>
      <c r="F934" s="3"/>
      <c r="G934" s="36"/>
    </row>
    <row r="935">
      <c r="D935" s="3"/>
      <c r="E935" s="2"/>
      <c r="F935" s="3"/>
      <c r="G935" s="36"/>
    </row>
    <row r="936">
      <c r="D936" s="3"/>
      <c r="E936" s="2"/>
      <c r="F936" s="3"/>
      <c r="G936" s="36"/>
    </row>
    <row r="937">
      <c r="D937" s="3"/>
      <c r="E937" s="2"/>
      <c r="F937" s="3"/>
      <c r="G937" s="36"/>
    </row>
    <row r="938">
      <c r="D938" s="3"/>
      <c r="E938" s="2"/>
      <c r="F938" s="3"/>
      <c r="G938" s="36"/>
    </row>
    <row r="939">
      <c r="D939" s="3"/>
      <c r="E939" s="2"/>
      <c r="F939" s="3"/>
      <c r="G939" s="36"/>
    </row>
    <row r="940">
      <c r="D940" s="3"/>
      <c r="E940" s="2"/>
      <c r="F940" s="3"/>
      <c r="G940" s="36"/>
    </row>
    <row r="941">
      <c r="D941" s="3"/>
      <c r="E941" s="2"/>
      <c r="F941" s="3"/>
      <c r="G941" s="36"/>
    </row>
    <row r="942">
      <c r="D942" s="3"/>
      <c r="E942" s="2"/>
      <c r="F942" s="3"/>
      <c r="G942" s="36"/>
    </row>
    <row r="943">
      <c r="D943" s="3"/>
      <c r="E943" s="2"/>
      <c r="F943" s="3"/>
      <c r="G943" s="36"/>
    </row>
    <row r="944">
      <c r="D944" s="3"/>
      <c r="E944" s="2"/>
      <c r="F944" s="3"/>
      <c r="G944" s="36"/>
    </row>
    <row r="945">
      <c r="D945" s="3"/>
      <c r="E945" s="2"/>
      <c r="F945" s="3"/>
      <c r="G945" s="36"/>
    </row>
    <row r="946">
      <c r="D946" s="3"/>
      <c r="E946" s="2"/>
      <c r="F946" s="3"/>
      <c r="G946" s="36"/>
    </row>
    <row r="947">
      <c r="D947" s="3"/>
      <c r="E947" s="2"/>
      <c r="F947" s="3"/>
      <c r="G947" s="36"/>
    </row>
    <row r="948">
      <c r="D948" s="3"/>
      <c r="E948" s="2"/>
      <c r="F948" s="3"/>
      <c r="G948" s="36"/>
    </row>
    <row r="949">
      <c r="D949" s="3"/>
      <c r="E949" s="2"/>
      <c r="F949" s="3"/>
      <c r="G949" s="36"/>
    </row>
    <row r="950">
      <c r="D950" s="3"/>
      <c r="E950" s="2"/>
      <c r="F950" s="3"/>
      <c r="G950" s="36"/>
    </row>
    <row r="951">
      <c r="D951" s="3"/>
      <c r="E951" s="2"/>
      <c r="F951" s="3"/>
      <c r="G951" s="36"/>
    </row>
    <row r="952">
      <c r="D952" s="3"/>
      <c r="E952" s="2"/>
      <c r="F952" s="3"/>
      <c r="G952" s="36"/>
    </row>
    <row r="953">
      <c r="D953" s="3"/>
      <c r="E953" s="2"/>
      <c r="F953" s="3"/>
      <c r="G953" s="36"/>
    </row>
    <row r="954">
      <c r="D954" s="3"/>
      <c r="E954" s="2"/>
      <c r="F954" s="3"/>
      <c r="G954" s="36"/>
    </row>
    <row r="955">
      <c r="D955" s="3"/>
      <c r="E955" s="2"/>
      <c r="F955" s="3"/>
      <c r="G955" s="36"/>
    </row>
    <row r="956">
      <c r="D956" s="3"/>
      <c r="E956" s="2"/>
      <c r="F956" s="3"/>
      <c r="G956" s="36"/>
    </row>
    <row r="957">
      <c r="D957" s="3"/>
      <c r="E957" s="2"/>
      <c r="F957" s="3"/>
      <c r="G957" s="36"/>
    </row>
    <row r="958">
      <c r="D958" s="3"/>
      <c r="E958" s="2"/>
      <c r="F958" s="3"/>
      <c r="G958" s="36"/>
    </row>
    <row r="959">
      <c r="D959" s="3"/>
      <c r="E959" s="2"/>
      <c r="F959" s="3"/>
      <c r="G959" s="36"/>
    </row>
    <row r="960">
      <c r="D960" s="3"/>
      <c r="E960" s="2"/>
      <c r="F960" s="3"/>
      <c r="G960" s="36"/>
    </row>
    <row r="961">
      <c r="D961" s="3"/>
      <c r="E961" s="2"/>
      <c r="F961" s="3"/>
      <c r="G961" s="36"/>
    </row>
    <row r="962">
      <c r="D962" s="3"/>
      <c r="E962" s="2"/>
      <c r="F962" s="3"/>
      <c r="G962" s="36"/>
    </row>
    <row r="963">
      <c r="D963" s="3"/>
      <c r="E963" s="2"/>
      <c r="F963" s="3"/>
      <c r="G963" s="36"/>
    </row>
    <row r="964">
      <c r="D964" s="3"/>
      <c r="E964" s="2"/>
      <c r="F964" s="3"/>
      <c r="G964" s="36"/>
    </row>
    <row r="965">
      <c r="D965" s="3"/>
      <c r="E965" s="2"/>
      <c r="F965" s="3"/>
      <c r="G965" s="36"/>
    </row>
    <row r="966">
      <c r="D966" s="3"/>
      <c r="E966" s="2"/>
      <c r="F966" s="3"/>
      <c r="G966" s="36"/>
    </row>
    <row r="967">
      <c r="D967" s="3"/>
      <c r="E967" s="2"/>
      <c r="F967" s="3"/>
      <c r="G967" s="36"/>
    </row>
    <row r="968">
      <c r="D968" s="3"/>
      <c r="E968" s="2"/>
      <c r="F968" s="3"/>
      <c r="G968" s="36"/>
    </row>
    <row r="969">
      <c r="D969" s="3"/>
      <c r="E969" s="2"/>
      <c r="F969" s="3"/>
      <c r="G969" s="36"/>
    </row>
    <row r="970">
      <c r="D970" s="3"/>
      <c r="E970" s="2"/>
      <c r="F970" s="3"/>
      <c r="G970" s="36"/>
    </row>
    <row r="971">
      <c r="D971" s="3"/>
      <c r="E971" s="2"/>
      <c r="F971" s="3"/>
      <c r="G971" s="36"/>
    </row>
    <row r="972">
      <c r="D972" s="3"/>
      <c r="E972" s="2"/>
      <c r="F972" s="3"/>
      <c r="G972" s="36"/>
    </row>
    <row r="973">
      <c r="D973" s="3"/>
      <c r="E973" s="2"/>
      <c r="F973" s="3"/>
      <c r="G973" s="36"/>
    </row>
    <row r="974">
      <c r="D974" s="3"/>
      <c r="E974" s="2"/>
      <c r="F974" s="3"/>
      <c r="G974" s="36"/>
    </row>
    <row r="975">
      <c r="D975" s="3"/>
      <c r="E975" s="2"/>
      <c r="F975" s="3"/>
      <c r="G975" s="36"/>
    </row>
    <row r="976">
      <c r="D976" s="3"/>
      <c r="E976" s="2"/>
      <c r="F976" s="3"/>
      <c r="G976" s="36"/>
    </row>
    <row r="977">
      <c r="D977" s="3"/>
      <c r="E977" s="2"/>
      <c r="F977" s="3"/>
      <c r="G977" s="36"/>
    </row>
    <row r="978">
      <c r="D978" s="3"/>
      <c r="E978" s="2"/>
      <c r="F978" s="3"/>
      <c r="G978" s="36"/>
    </row>
    <row r="979">
      <c r="D979" s="3"/>
      <c r="E979" s="2"/>
      <c r="F979" s="3"/>
      <c r="G979" s="36"/>
    </row>
    <row r="980">
      <c r="D980" s="3"/>
      <c r="E980" s="2"/>
      <c r="F980" s="3"/>
      <c r="G980" s="36"/>
    </row>
    <row r="981">
      <c r="D981" s="3"/>
      <c r="E981" s="2"/>
      <c r="F981" s="3"/>
      <c r="G981" s="36"/>
    </row>
    <row r="982">
      <c r="D982" s="3"/>
      <c r="E982" s="2"/>
      <c r="F982" s="3"/>
      <c r="G982" s="36"/>
    </row>
    <row r="983">
      <c r="D983" s="3"/>
      <c r="E983" s="2"/>
      <c r="F983" s="3"/>
      <c r="G983" s="36"/>
    </row>
    <row r="984">
      <c r="D984" s="3"/>
      <c r="E984" s="2"/>
      <c r="F984" s="3"/>
      <c r="G984" s="36"/>
    </row>
    <row r="985">
      <c r="D985" s="3"/>
      <c r="E985" s="2"/>
      <c r="F985" s="3"/>
      <c r="G985" s="36"/>
    </row>
    <row r="986">
      <c r="D986" s="3"/>
      <c r="E986" s="2"/>
      <c r="F986" s="3"/>
      <c r="G986" s="36"/>
    </row>
    <row r="987">
      <c r="D987" s="3"/>
      <c r="E987" s="2"/>
      <c r="F987" s="3"/>
      <c r="G987" s="36"/>
    </row>
    <row r="988">
      <c r="D988" s="3"/>
      <c r="E988" s="2"/>
      <c r="F988" s="3"/>
      <c r="G988" s="36"/>
    </row>
    <row r="989">
      <c r="D989" s="3"/>
      <c r="E989" s="2"/>
      <c r="F989" s="3"/>
      <c r="G989" s="36"/>
    </row>
    <row r="990">
      <c r="D990" s="3"/>
      <c r="E990" s="2"/>
      <c r="F990" s="3"/>
      <c r="G990" s="36"/>
    </row>
    <row r="991">
      <c r="D991" s="3"/>
      <c r="E991" s="2"/>
      <c r="F991" s="3"/>
      <c r="G991" s="36"/>
    </row>
    <row r="992">
      <c r="D992" s="3"/>
      <c r="E992" s="2"/>
      <c r="F992" s="3"/>
      <c r="G992" s="36"/>
    </row>
    <row r="993">
      <c r="D993" s="3"/>
      <c r="E993" s="2"/>
      <c r="F993" s="3"/>
      <c r="G993" s="36"/>
    </row>
    <row r="994">
      <c r="D994" s="3"/>
      <c r="E994" s="2"/>
      <c r="F994" s="3"/>
      <c r="G994" s="36"/>
    </row>
    <row r="995">
      <c r="D995" s="3"/>
      <c r="E995" s="2"/>
      <c r="F995" s="3"/>
      <c r="G995" s="36"/>
    </row>
    <row r="996">
      <c r="D996" s="3"/>
      <c r="E996" s="2"/>
      <c r="F996" s="3"/>
      <c r="G996" s="36"/>
    </row>
    <row r="997">
      <c r="D997" s="3"/>
      <c r="E997" s="2"/>
      <c r="F997" s="3"/>
      <c r="G997" s="36"/>
    </row>
    <row r="998">
      <c r="D998" s="3"/>
      <c r="E998" s="2"/>
      <c r="F998" s="3"/>
      <c r="G998" s="36"/>
    </row>
    <row r="999">
      <c r="D999" s="3"/>
      <c r="E999" s="2"/>
      <c r="F999" s="3"/>
      <c r="G999" s="36"/>
    </row>
    <row r="1000">
      <c r="D1000" s="3"/>
      <c r="E1000" s="2"/>
      <c r="F1000" s="3"/>
      <c r="G1000" s="36"/>
    </row>
  </sheetData>
  <dataValidations>
    <dataValidation type="list" allowBlank="1" sqref="D52:D1000">
      <formula1>Settings!$B$2:$B1000</formula1>
    </dataValidation>
    <dataValidation type="list" allowBlank="1" sqref="G52:G1000">
      <formula1>Settings!$C$2:$C1000</formula1>
    </dataValidation>
    <dataValidation type="list" allowBlank="1" sqref="F52:F1000">
      <formula1>Settings!$D$2:$D1000</formula1>
    </dataValidation>
    <dataValidation type="list" allowBlank="1" sqref="D2:D51 F2:G51">
      <formula1>#REF!</formula1>
    </dataValidation>
    <dataValidation type="custom" allowBlank="1" showDropDown="1" sqref="E2:E51">
      <formula1>AND(ISNUMBER(E2),(NOT(OR(NOT(ISERROR(DATEVALUE(E2))), AND(ISNUMBER(E2), LEFT(CELL("format", E2))="D")))))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0"/>
    <col customWidth="1" min="2" max="2" width="18.0"/>
    <col customWidth="1" min="3" max="3" width="22.75"/>
    <col customWidth="1" min="4" max="4" width="12.75"/>
    <col customWidth="1" min="5" max="5" width="18.38"/>
    <col customWidth="1" min="6" max="6" width="20.88"/>
    <col customWidth="1" min="7" max="7" width="23.88"/>
  </cols>
  <sheetData>
    <row r="1">
      <c r="A1" s="1" t="s">
        <v>82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17</v>
      </c>
      <c r="G1" s="1" t="s">
        <v>90</v>
      </c>
    </row>
    <row r="2">
      <c r="B2" s="22" t="s">
        <v>43</v>
      </c>
      <c r="F2" s="22" t="s">
        <v>24</v>
      </c>
      <c r="G2" s="30">
        <v>45000.0</v>
      </c>
    </row>
    <row r="3">
      <c r="B3" s="22" t="s">
        <v>52</v>
      </c>
      <c r="F3" s="22" t="s">
        <v>24</v>
      </c>
      <c r="G3" s="31" t="s">
        <v>92</v>
      </c>
    </row>
    <row r="4">
      <c r="B4" s="22" t="s">
        <v>22</v>
      </c>
      <c r="F4" s="22" t="s">
        <v>24</v>
      </c>
      <c r="G4" s="30">
        <v>46100.0</v>
      </c>
    </row>
    <row r="5">
      <c r="B5" s="22" t="s">
        <v>67</v>
      </c>
      <c r="F5" s="22" t="s">
        <v>94</v>
      </c>
      <c r="G5" s="2"/>
    </row>
    <row r="6">
      <c r="B6" s="22" t="s">
        <v>78</v>
      </c>
      <c r="F6" s="22" t="s">
        <v>94</v>
      </c>
      <c r="G6" s="2"/>
    </row>
    <row r="7">
      <c r="B7" s="22" t="s">
        <v>84</v>
      </c>
      <c r="F7" s="22" t="s">
        <v>94</v>
      </c>
      <c r="G7" s="2"/>
    </row>
    <row r="8">
      <c r="F8" s="3"/>
      <c r="G8" s="2"/>
    </row>
    <row r="9">
      <c r="F9" s="3"/>
      <c r="G9" s="2"/>
    </row>
    <row r="10">
      <c r="F10" s="3"/>
      <c r="G10" s="2"/>
    </row>
    <row r="11">
      <c r="F11" s="3"/>
      <c r="G11" s="2"/>
    </row>
    <row r="12">
      <c r="F12" s="3"/>
      <c r="G12" s="2"/>
    </row>
    <row r="13">
      <c r="F13" s="3"/>
      <c r="G13" s="2"/>
    </row>
    <row r="14">
      <c r="F14" s="3"/>
      <c r="G14" s="2"/>
    </row>
    <row r="15">
      <c r="F15" s="3"/>
      <c r="G15" s="2"/>
    </row>
    <row r="16">
      <c r="F16" s="3"/>
      <c r="G16" s="2"/>
    </row>
    <row r="17">
      <c r="F17" s="3"/>
      <c r="G17" s="2"/>
    </row>
    <row r="18">
      <c r="F18" s="3"/>
      <c r="G18" s="2"/>
    </row>
    <row r="19">
      <c r="F19" s="3"/>
      <c r="G19" s="2"/>
    </row>
    <row r="20">
      <c r="F20" s="3"/>
      <c r="G20" s="2"/>
    </row>
    <row r="21">
      <c r="F21" s="3"/>
      <c r="G21" s="2"/>
    </row>
    <row r="22">
      <c r="F22" s="3"/>
      <c r="G22" s="2"/>
    </row>
    <row r="23">
      <c r="F23" s="3"/>
      <c r="G23" s="2"/>
    </row>
    <row r="24">
      <c r="F24" s="3"/>
      <c r="G24" s="2"/>
    </row>
    <row r="25">
      <c r="F25" s="3"/>
      <c r="G25" s="2"/>
    </row>
    <row r="26">
      <c r="F26" s="3"/>
      <c r="G26" s="2"/>
    </row>
    <row r="27">
      <c r="F27" s="3"/>
      <c r="G27" s="2"/>
    </row>
    <row r="28">
      <c r="F28" s="3"/>
      <c r="G28" s="2"/>
    </row>
    <row r="29">
      <c r="F29" s="3"/>
      <c r="G29" s="2"/>
    </row>
    <row r="30">
      <c r="F30" s="3"/>
      <c r="G30" s="2"/>
    </row>
    <row r="31">
      <c r="F31" s="3"/>
      <c r="G31" s="2"/>
    </row>
    <row r="32">
      <c r="F32" s="3"/>
      <c r="G32" s="2"/>
    </row>
    <row r="33">
      <c r="F33" s="3"/>
      <c r="G33" s="2"/>
    </row>
    <row r="34">
      <c r="F34" s="3"/>
      <c r="G34" s="2"/>
    </row>
    <row r="35">
      <c r="F35" s="3"/>
      <c r="G35" s="2"/>
    </row>
    <row r="36">
      <c r="F36" s="3"/>
      <c r="G36" s="2"/>
    </row>
    <row r="37">
      <c r="F37" s="3"/>
      <c r="G37" s="2"/>
    </row>
    <row r="38">
      <c r="F38" s="3"/>
      <c r="G38" s="2"/>
    </row>
    <row r="39">
      <c r="F39" s="3"/>
      <c r="G39" s="2"/>
    </row>
    <row r="40">
      <c r="F40" s="3"/>
      <c r="G40" s="2"/>
    </row>
    <row r="41">
      <c r="F41" s="3"/>
      <c r="G41" s="2"/>
    </row>
    <row r="42">
      <c r="F42" s="3"/>
      <c r="G42" s="2"/>
    </row>
    <row r="43">
      <c r="F43" s="3"/>
      <c r="G43" s="2"/>
    </row>
    <row r="44">
      <c r="F44" s="3"/>
      <c r="G44" s="2"/>
    </row>
    <row r="45">
      <c r="F45" s="3"/>
      <c r="G45" s="2"/>
    </row>
    <row r="46">
      <c r="F46" s="3"/>
      <c r="G46" s="2"/>
    </row>
    <row r="47">
      <c r="F47" s="3"/>
      <c r="G47" s="2"/>
    </row>
    <row r="48">
      <c r="F48" s="3"/>
      <c r="G48" s="2"/>
    </row>
    <row r="49">
      <c r="F49" s="3"/>
      <c r="G49" s="2"/>
    </row>
    <row r="50">
      <c r="F50" s="3"/>
      <c r="G50" s="2"/>
    </row>
    <row r="51">
      <c r="F51" s="3"/>
      <c r="G51" s="2"/>
    </row>
    <row r="52">
      <c r="F52" s="3"/>
      <c r="G52" s="2"/>
    </row>
    <row r="53">
      <c r="F53" s="3"/>
      <c r="G53" s="2"/>
    </row>
    <row r="54">
      <c r="F54" s="3"/>
      <c r="G54" s="2"/>
    </row>
    <row r="55">
      <c r="F55" s="3"/>
      <c r="G55" s="2"/>
    </row>
    <row r="56">
      <c r="F56" s="3"/>
      <c r="G56" s="2"/>
    </row>
    <row r="57">
      <c r="F57" s="3"/>
      <c r="G57" s="2"/>
    </row>
    <row r="58">
      <c r="F58" s="3"/>
      <c r="G58" s="2"/>
    </row>
    <row r="59">
      <c r="F59" s="3"/>
      <c r="G59" s="2"/>
    </row>
    <row r="60">
      <c r="F60" s="3"/>
      <c r="G60" s="2"/>
    </row>
    <row r="61">
      <c r="F61" s="3"/>
      <c r="G61" s="2"/>
    </row>
    <row r="62">
      <c r="F62" s="3"/>
      <c r="G62" s="2"/>
    </row>
    <row r="63">
      <c r="F63" s="3"/>
      <c r="G63" s="2"/>
    </row>
    <row r="64">
      <c r="F64" s="3"/>
      <c r="G64" s="2"/>
    </row>
    <row r="65">
      <c r="F65" s="3"/>
      <c r="G65" s="2"/>
    </row>
    <row r="66">
      <c r="F66" s="3"/>
      <c r="G66" s="2"/>
    </row>
    <row r="67">
      <c r="F67" s="3"/>
      <c r="G67" s="2"/>
    </row>
    <row r="68">
      <c r="F68" s="3"/>
      <c r="G68" s="2"/>
    </row>
    <row r="69">
      <c r="F69" s="3"/>
      <c r="G69" s="2"/>
    </row>
    <row r="70">
      <c r="F70" s="3"/>
      <c r="G70" s="2"/>
    </row>
    <row r="71">
      <c r="F71" s="3"/>
      <c r="G71" s="2"/>
    </row>
    <row r="72">
      <c r="F72" s="3"/>
      <c r="G72" s="2"/>
    </row>
    <row r="73">
      <c r="F73" s="3"/>
      <c r="G73" s="2"/>
    </row>
    <row r="74">
      <c r="F74" s="3"/>
      <c r="G74" s="2"/>
    </row>
    <row r="75">
      <c r="F75" s="3"/>
      <c r="G75" s="2"/>
    </row>
    <row r="76">
      <c r="F76" s="3"/>
      <c r="G76" s="2"/>
    </row>
    <row r="77">
      <c r="F77" s="3"/>
      <c r="G77" s="2"/>
    </row>
    <row r="78">
      <c r="F78" s="3"/>
      <c r="G78" s="2"/>
    </row>
    <row r="79">
      <c r="F79" s="3"/>
      <c r="G79" s="2"/>
    </row>
    <row r="80">
      <c r="F80" s="3"/>
      <c r="G80" s="2"/>
    </row>
    <row r="81">
      <c r="F81" s="3"/>
      <c r="G81" s="2"/>
    </row>
    <row r="82">
      <c r="F82" s="3"/>
      <c r="G82" s="2"/>
    </row>
    <row r="83">
      <c r="F83" s="3"/>
      <c r="G83" s="2"/>
    </row>
    <row r="84">
      <c r="F84" s="3"/>
      <c r="G84" s="2"/>
    </row>
    <row r="85">
      <c r="F85" s="3"/>
      <c r="G85" s="2"/>
    </row>
    <row r="86">
      <c r="F86" s="3"/>
      <c r="G86" s="2"/>
    </row>
    <row r="87">
      <c r="F87" s="3"/>
      <c r="G87" s="2"/>
    </row>
    <row r="88">
      <c r="F88" s="3"/>
      <c r="G88" s="2"/>
    </row>
    <row r="89">
      <c r="F89" s="3"/>
      <c r="G89" s="2"/>
    </row>
    <row r="90">
      <c r="F90" s="3"/>
      <c r="G90" s="2"/>
    </row>
    <row r="91">
      <c r="F91" s="3"/>
      <c r="G91" s="2"/>
    </row>
    <row r="92">
      <c r="F92" s="3"/>
      <c r="G92" s="2"/>
    </row>
    <row r="93">
      <c r="F93" s="3"/>
      <c r="G93" s="2"/>
    </row>
    <row r="94">
      <c r="F94" s="3"/>
      <c r="G94" s="2"/>
    </row>
    <row r="95">
      <c r="F95" s="3"/>
      <c r="G95" s="2"/>
    </row>
    <row r="96">
      <c r="F96" s="3"/>
      <c r="G96" s="2"/>
    </row>
    <row r="97">
      <c r="F97" s="3"/>
      <c r="G97" s="2"/>
    </row>
    <row r="98">
      <c r="F98" s="3"/>
      <c r="G98" s="2"/>
    </row>
    <row r="99">
      <c r="F99" s="3"/>
      <c r="G99" s="2"/>
    </row>
    <row r="100">
      <c r="F100" s="3"/>
      <c r="G100" s="2"/>
    </row>
    <row r="101">
      <c r="F101" s="3"/>
      <c r="G101" s="2"/>
    </row>
    <row r="102">
      <c r="F102" s="3"/>
      <c r="G102" s="2"/>
    </row>
    <row r="103">
      <c r="F103" s="3"/>
      <c r="G103" s="2"/>
    </row>
    <row r="104">
      <c r="F104" s="3"/>
      <c r="G104" s="2"/>
    </row>
    <row r="105">
      <c r="F105" s="3"/>
      <c r="G105" s="2"/>
    </row>
    <row r="106">
      <c r="F106" s="3"/>
      <c r="G106" s="2"/>
    </row>
    <row r="107">
      <c r="F107" s="3"/>
      <c r="G107" s="2"/>
    </row>
    <row r="108">
      <c r="F108" s="3"/>
      <c r="G108" s="2"/>
    </row>
    <row r="109">
      <c r="F109" s="3"/>
      <c r="G109" s="2"/>
    </row>
    <row r="110">
      <c r="F110" s="3"/>
      <c r="G110" s="2"/>
    </row>
    <row r="111">
      <c r="F111" s="3"/>
      <c r="G111" s="2"/>
    </row>
    <row r="112">
      <c r="F112" s="3"/>
      <c r="G112" s="2"/>
    </row>
    <row r="113">
      <c r="F113" s="3"/>
      <c r="G113" s="2"/>
    </row>
    <row r="114">
      <c r="F114" s="3"/>
      <c r="G114" s="2"/>
    </row>
    <row r="115">
      <c r="F115" s="3"/>
      <c r="G115" s="2"/>
    </row>
    <row r="116">
      <c r="F116" s="3"/>
      <c r="G116" s="2"/>
    </row>
    <row r="117">
      <c r="F117" s="3"/>
      <c r="G117" s="2"/>
    </row>
    <row r="118">
      <c r="F118" s="3"/>
      <c r="G118" s="2"/>
    </row>
    <row r="119">
      <c r="F119" s="3"/>
      <c r="G119" s="2"/>
    </row>
    <row r="120">
      <c r="F120" s="3"/>
      <c r="G120" s="2"/>
    </row>
    <row r="121">
      <c r="F121" s="3"/>
      <c r="G121" s="2"/>
    </row>
    <row r="122">
      <c r="F122" s="3"/>
      <c r="G122" s="2"/>
    </row>
    <row r="123">
      <c r="F123" s="3"/>
      <c r="G123" s="2"/>
    </row>
    <row r="124">
      <c r="F124" s="3"/>
      <c r="G124" s="2"/>
    </row>
    <row r="125">
      <c r="F125" s="3"/>
      <c r="G125" s="2"/>
    </row>
    <row r="126">
      <c r="F126" s="3"/>
      <c r="G126" s="2"/>
    </row>
    <row r="127">
      <c r="F127" s="3"/>
      <c r="G127" s="2"/>
    </row>
    <row r="128">
      <c r="F128" s="3"/>
      <c r="G128" s="2"/>
    </row>
    <row r="129">
      <c r="F129" s="3"/>
      <c r="G129" s="2"/>
    </row>
    <row r="130">
      <c r="F130" s="3"/>
      <c r="G130" s="2"/>
    </row>
    <row r="131">
      <c r="F131" s="3"/>
      <c r="G131" s="2"/>
    </row>
    <row r="132">
      <c r="F132" s="3"/>
      <c r="G132" s="2"/>
    </row>
    <row r="133">
      <c r="F133" s="3"/>
      <c r="G133" s="2"/>
    </row>
    <row r="134">
      <c r="F134" s="3"/>
      <c r="G134" s="2"/>
    </row>
    <row r="135">
      <c r="F135" s="3"/>
      <c r="G135" s="2"/>
    </row>
    <row r="136">
      <c r="F136" s="3"/>
      <c r="G136" s="2"/>
    </row>
    <row r="137">
      <c r="F137" s="3"/>
      <c r="G137" s="2"/>
    </row>
    <row r="138">
      <c r="F138" s="3"/>
      <c r="G138" s="2"/>
    </row>
    <row r="139">
      <c r="F139" s="3"/>
      <c r="G139" s="2"/>
    </row>
    <row r="140">
      <c r="F140" s="3"/>
      <c r="G140" s="2"/>
    </row>
    <row r="141">
      <c r="F141" s="3"/>
      <c r="G141" s="2"/>
    </row>
    <row r="142">
      <c r="F142" s="3"/>
      <c r="G142" s="2"/>
    </row>
    <row r="143">
      <c r="F143" s="3"/>
      <c r="G143" s="2"/>
    </row>
    <row r="144">
      <c r="F144" s="3"/>
      <c r="G144" s="2"/>
    </row>
    <row r="145">
      <c r="F145" s="3"/>
      <c r="G145" s="2"/>
    </row>
    <row r="146">
      <c r="F146" s="3"/>
      <c r="G146" s="2"/>
    </row>
    <row r="147">
      <c r="F147" s="3"/>
      <c r="G147" s="2"/>
    </row>
    <row r="148">
      <c r="F148" s="3"/>
      <c r="G148" s="2"/>
    </row>
    <row r="149">
      <c r="F149" s="3"/>
      <c r="G149" s="2"/>
    </row>
    <row r="150">
      <c r="F150" s="3"/>
      <c r="G150" s="2"/>
    </row>
    <row r="151">
      <c r="F151" s="3"/>
      <c r="G151" s="2"/>
    </row>
    <row r="152">
      <c r="F152" s="3"/>
      <c r="G152" s="2"/>
    </row>
    <row r="153">
      <c r="F153" s="3"/>
      <c r="G153" s="2"/>
    </row>
    <row r="154">
      <c r="F154" s="3"/>
      <c r="G154" s="2"/>
    </row>
    <row r="155">
      <c r="F155" s="3"/>
      <c r="G155" s="2"/>
    </row>
    <row r="156">
      <c r="F156" s="3"/>
      <c r="G156" s="2"/>
    </row>
    <row r="157">
      <c r="F157" s="3"/>
      <c r="G157" s="2"/>
    </row>
    <row r="158">
      <c r="F158" s="3"/>
      <c r="G158" s="2"/>
    </row>
    <row r="159">
      <c r="F159" s="3"/>
      <c r="G159" s="2"/>
    </row>
    <row r="160">
      <c r="F160" s="3"/>
      <c r="G160" s="2"/>
    </row>
    <row r="161">
      <c r="F161" s="3"/>
      <c r="G161" s="2"/>
    </row>
    <row r="162">
      <c r="F162" s="3"/>
      <c r="G162" s="2"/>
    </row>
    <row r="163">
      <c r="F163" s="3"/>
      <c r="G163" s="2"/>
    </row>
    <row r="164">
      <c r="F164" s="3"/>
      <c r="G164" s="2"/>
    </row>
    <row r="165">
      <c r="F165" s="3"/>
      <c r="G165" s="2"/>
    </row>
    <row r="166">
      <c r="F166" s="3"/>
      <c r="G166" s="2"/>
    </row>
    <row r="167">
      <c r="F167" s="3"/>
      <c r="G167" s="2"/>
    </row>
    <row r="168">
      <c r="F168" s="3"/>
      <c r="G168" s="2"/>
    </row>
    <row r="169">
      <c r="F169" s="3"/>
      <c r="G169" s="2"/>
    </row>
    <row r="170">
      <c r="F170" s="3"/>
      <c r="G170" s="2"/>
    </row>
    <row r="171">
      <c r="F171" s="3"/>
      <c r="G171" s="2"/>
    </row>
    <row r="172">
      <c r="F172" s="3"/>
      <c r="G172" s="2"/>
    </row>
    <row r="173">
      <c r="F173" s="3"/>
      <c r="G173" s="2"/>
    </row>
    <row r="174">
      <c r="F174" s="3"/>
      <c r="G174" s="2"/>
    </row>
    <row r="175">
      <c r="F175" s="3"/>
      <c r="G175" s="2"/>
    </row>
    <row r="176">
      <c r="F176" s="3"/>
      <c r="G176" s="2"/>
    </row>
    <row r="177">
      <c r="F177" s="3"/>
      <c r="G177" s="2"/>
    </row>
    <row r="178">
      <c r="F178" s="3"/>
      <c r="G178" s="2"/>
    </row>
    <row r="179">
      <c r="F179" s="3"/>
      <c r="G179" s="2"/>
    </row>
    <row r="180">
      <c r="F180" s="3"/>
      <c r="G180" s="2"/>
    </row>
    <row r="181">
      <c r="F181" s="3"/>
      <c r="G181" s="2"/>
    </row>
    <row r="182">
      <c r="F182" s="3"/>
      <c r="G182" s="2"/>
    </row>
    <row r="183">
      <c r="F183" s="3"/>
      <c r="G183" s="2"/>
    </row>
    <row r="184">
      <c r="F184" s="3"/>
      <c r="G184" s="2"/>
    </row>
    <row r="185">
      <c r="F185" s="3"/>
      <c r="G185" s="2"/>
    </row>
    <row r="186">
      <c r="F186" s="3"/>
      <c r="G186" s="2"/>
    </row>
    <row r="187">
      <c r="F187" s="3"/>
      <c r="G187" s="2"/>
    </row>
    <row r="188">
      <c r="F188" s="3"/>
      <c r="G188" s="2"/>
    </row>
    <row r="189">
      <c r="F189" s="3"/>
      <c r="G189" s="2"/>
    </row>
    <row r="190">
      <c r="F190" s="3"/>
      <c r="G190" s="2"/>
    </row>
    <row r="191">
      <c r="F191" s="3"/>
      <c r="G191" s="2"/>
    </row>
    <row r="192">
      <c r="F192" s="3"/>
      <c r="G192" s="2"/>
    </row>
    <row r="193">
      <c r="F193" s="3"/>
      <c r="G193" s="2"/>
    </row>
    <row r="194">
      <c r="F194" s="3"/>
      <c r="G194" s="2"/>
    </row>
    <row r="195">
      <c r="F195" s="3"/>
      <c r="G195" s="2"/>
    </row>
    <row r="196">
      <c r="F196" s="3"/>
      <c r="G196" s="2"/>
    </row>
    <row r="197">
      <c r="F197" s="3"/>
      <c r="G197" s="2"/>
    </row>
    <row r="198">
      <c r="F198" s="3"/>
      <c r="G198" s="2"/>
    </row>
    <row r="199">
      <c r="F199" s="3"/>
      <c r="G199" s="2"/>
    </row>
    <row r="200">
      <c r="F200" s="3"/>
      <c r="G200" s="2"/>
    </row>
    <row r="201">
      <c r="F201" s="3"/>
      <c r="G201" s="2"/>
    </row>
    <row r="202">
      <c r="F202" s="3"/>
      <c r="G202" s="2"/>
    </row>
    <row r="203">
      <c r="F203" s="3"/>
      <c r="G203" s="2"/>
    </row>
    <row r="204">
      <c r="F204" s="3"/>
      <c r="G204" s="2"/>
    </row>
    <row r="205">
      <c r="F205" s="3"/>
      <c r="G205" s="2"/>
    </row>
    <row r="206">
      <c r="F206" s="3"/>
      <c r="G206" s="2"/>
    </row>
    <row r="207">
      <c r="F207" s="3"/>
      <c r="G207" s="2"/>
    </row>
    <row r="208">
      <c r="F208" s="3"/>
      <c r="G208" s="2"/>
    </row>
    <row r="209">
      <c r="F209" s="3"/>
      <c r="G209" s="2"/>
    </row>
    <row r="210">
      <c r="F210" s="3"/>
      <c r="G210" s="2"/>
    </row>
    <row r="211">
      <c r="F211" s="3"/>
      <c r="G211" s="2"/>
    </row>
    <row r="212">
      <c r="F212" s="3"/>
      <c r="G212" s="2"/>
    </row>
    <row r="213">
      <c r="F213" s="3"/>
      <c r="G213" s="2"/>
    </row>
    <row r="214">
      <c r="F214" s="3"/>
      <c r="G214" s="2"/>
    </row>
    <row r="215">
      <c r="F215" s="3"/>
      <c r="G215" s="2"/>
    </row>
    <row r="216">
      <c r="F216" s="3"/>
      <c r="G216" s="2"/>
    </row>
    <row r="217">
      <c r="F217" s="3"/>
      <c r="G217" s="2"/>
    </row>
    <row r="218">
      <c r="F218" s="3"/>
      <c r="G218" s="2"/>
    </row>
    <row r="219">
      <c r="F219" s="3"/>
      <c r="G219" s="2"/>
    </row>
    <row r="220">
      <c r="F220" s="3"/>
      <c r="G220" s="2"/>
    </row>
    <row r="221">
      <c r="F221" s="3"/>
      <c r="G221" s="2"/>
    </row>
    <row r="222">
      <c r="F222" s="3"/>
      <c r="G222" s="2"/>
    </row>
    <row r="223">
      <c r="F223" s="3"/>
      <c r="G223" s="2"/>
    </row>
    <row r="224">
      <c r="F224" s="3"/>
      <c r="G224" s="2"/>
    </row>
    <row r="225">
      <c r="F225" s="3"/>
      <c r="G225" s="2"/>
    </row>
    <row r="226">
      <c r="F226" s="3"/>
      <c r="G226" s="2"/>
    </row>
    <row r="227">
      <c r="F227" s="3"/>
      <c r="G227" s="2"/>
    </row>
    <row r="228">
      <c r="F228" s="3"/>
      <c r="G228" s="2"/>
    </row>
    <row r="229">
      <c r="F229" s="3"/>
      <c r="G229" s="2"/>
    </row>
    <row r="230">
      <c r="F230" s="3"/>
      <c r="G230" s="2"/>
    </row>
    <row r="231">
      <c r="F231" s="3"/>
      <c r="G231" s="2"/>
    </row>
    <row r="232">
      <c r="F232" s="3"/>
      <c r="G232" s="2"/>
    </row>
    <row r="233">
      <c r="F233" s="3"/>
      <c r="G233" s="2"/>
    </row>
    <row r="234">
      <c r="F234" s="3"/>
      <c r="G234" s="2"/>
    </row>
    <row r="235">
      <c r="F235" s="3"/>
      <c r="G235" s="2"/>
    </row>
    <row r="236">
      <c r="F236" s="3"/>
      <c r="G236" s="2"/>
    </row>
    <row r="237">
      <c r="F237" s="3"/>
      <c r="G237" s="2"/>
    </row>
    <row r="238">
      <c r="F238" s="3"/>
      <c r="G238" s="2"/>
    </row>
    <row r="239">
      <c r="F239" s="3"/>
      <c r="G239" s="2"/>
    </row>
    <row r="240">
      <c r="F240" s="3"/>
      <c r="G240" s="2"/>
    </row>
    <row r="241">
      <c r="F241" s="3"/>
      <c r="G241" s="2"/>
    </row>
    <row r="242">
      <c r="F242" s="3"/>
      <c r="G242" s="2"/>
    </row>
    <row r="243">
      <c r="F243" s="3"/>
      <c r="G243" s="2"/>
    </row>
    <row r="244">
      <c r="F244" s="3"/>
      <c r="G244" s="2"/>
    </row>
    <row r="245">
      <c r="F245" s="3"/>
      <c r="G245" s="2"/>
    </row>
    <row r="246">
      <c r="F246" s="3"/>
      <c r="G246" s="2"/>
    </row>
    <row r="247">
      <c r="F247" s="3"/>
      <c r="G247" s="2"/>
    </row>
    <row r="248">
      <c r="F248" s="3"/>
      <c r="G248" s="2"/>
    </row>
    <row r="249">
      <c r="F249" s="3"/>
      <c r="G249" s="2"/>
    </row>
    <row r="250">
      <c r="F250" s="3"/>
      <c r="G250" s="2"/>
    </row>
    <row r="251">
      <c r="F251" s="3"/>
      <c r="G251" s="2"/>
    </row>
    <row r="252">
      <c r="F252" s="3"/>
      <c r="G252" s="2"/>
    </row>
    <row r="253">
      <c r="F253" s="3"/>
      <c r="G253" s="2"/>
    </row>
    <row r="254">
      <c r="F254" s="3"/>
      <c r="G254" s="2"/>
    </row>
    <row r="255">
      <c r="F255" s="3"/>
      <c r="G255" s="2"/>
    </row>
    <row r="256">
      <c r="F256" s="3"/>
      <c r="G256" s="2"/>
    </row>
    <row r="257">
      <c r="F257" s="3"/>
      <c r="G257" s="2"/>
    </row>
    <row r="258">
      <c r="F258" s="3"/>
      <c r="G258" s="2"/>
    </row>
    <row r="259">
      <c r="F259" s="3"/>
      <c r="G259" s="2"/>
    </row>
    <row r="260">
      <c r="F260" s="3"/>
      <c r="G260" s="2"/>
    </row>
    <row r="261">
      <c r="F261" s="3"/>
      <c r="G261" s="2"/>
    </row>
    <row r="262">
      <c r="F262" s="3"/>
      <c r="G262" s="2"/>
    </row>
    <row r="263">
      <c r="F263" s="3"/>
      <c r="G263" s="2"/>
    </row>
    <row r="264">
      <c r="F264" s="3"/>
      <c r="G264" s="2"/>
    </row>
    <row r="265">
      <c r="F265" s="3"/>
      <c r="G265" s="2"/>
    </row>
    <row r="266">
      <c r="F266" s="3"/>
      <c r="G266" s="2"/>
    </row>
    <row r="267">
      <c r="F267" s="3"/>
      <c r="G267" s="2"/>
    </row>
    <row r="268">
      <c r="F268" s="3"/>
      <c r="G268" s="2"/>
    </row>
    <row r="269">
      <c r="F269" s="3"/>
      <c r="G269" s="2"/>
    </row>
    <row r="270">
      <c r="F270" s="3"/>
      <c r="G270" s="2"/>
    </row>
    <row r="271">
      <c r="F271" s="3"/>
      <c r="G271" s="2"/>
    </row>
    <row r="272">
      <c r="F272" s="3"/>
      <c r="G272" s="2"/>
    </row>
    <row r="273">
      <c r="F273" s="3"/>
      <c r="G273" s="2"/>
    </row>
    <row r="274">
      <c r="F274" s="3"/>
      <c r="G274" s="2"/>
    </row>
    <row r="275">
      <c r="F275" s="3"/>
      <c r="G275" s="2"/>
    </row>
    <row r="276">
      <c r="F276" s="3"/>
      <c r="G276" s="2"/>
    </row>
    <row r="277">
      <c r="F277" s="3"/>
      <c r="G277" s="2"/>
    </row>
    <row r="278">
      <c r="F278" s="3"/>
      <c r="G278" s="2"/>
    </row>
    <row r="279">
      <c r="F279" s="3"/>
      <c r="G279" s="2"/>
    </row>
    <row r="280">
      <c r="F280" s="3"/>
      <c r="G280" s="2"/>
    </row>
    <row r="281">
      <c r="F281" s="3"/>
      <c r="G281" s="2"/>
    </row>
    <row r="282">
      <c r="F282" s="3"/>
      <c r="G282" s="2"/>
    </row>
    <row r="283">
      <c r="F283" s="3"/>
      <c r="G283" s="2"/>
    </row>
    <row r="284">
      <c r="F284" s="3"/>
      <c r="G284" s="2"/>
    </row>
    <row r="285">
      <c r="F285" s="3"/>
      <c r="G285" s="2"/>
    </row>
    <row r="286">
      <c r="F286" s="3"/>
      <c r="G286" s="2"/>
    </row>
    <row r="287">
      <c r="F287" s="3"/>
      <c r="G287" s="2"/>
    </row>
    <row r="288">
      <c r="F288" s="3"/>
      <c r="G288" s="2"/>
    </row>
    <row r="289">
      <c r="F289" s="3"/>
      <c r="G289" s="2"/>
    </row>
    <row r="290">
      <c r="F290" s="3"/>
      <c r="G290" s="2"/>
    </row>
    <row r="291">
      <c r="F291" s="3"/>
      <c r="G291" s="2"/>
    </row>
    <row r="292">
      <c r="F292" s="3"/>
      <c r="G292" s="2"/>
    </row>
    <row r="293">
      <c r="F293" s="3"/>
      <c r="G293" s="2"/>
    </row>
    <row r="294">
      <c r="F294" s="3"/>
      <c r="G294" s="2"/>
    </row>
    <row r="295">
      <c r="F295" s="3"/>
      <c r="G295" s="2"/>
    </row>
    <row r="296">
      <c r="F296" s="3"/>
      <c r="G296" s="2"/>
    </row>
    <row r="297">
      <c r="F297" s="3"/>
      <c r="G297" s="2"/>
    </row>
    <row r="298">
      <c r="F298" s="3"/>
      <c r="G298" s="2"/>
    </row>
    <row r="299">
      <c r="F299" s="3"/>
      <c r="G299" s="2"/>
    </row>
    <row r="300">
      <c r="F300" s="3"/>
      <c r="G300" s="2"/>
    </row>
    <row r="301">
      <c r="F301" s="3"/>
      <c r="G301" s="2"/>
    </row>
    <row r="302">
      <c r="F302" s="3"/>
      <c r="G302" s="2"/>
    </row>
    <row r="303">
      <c r="F303" s="3"/>
      <c r="G303" s="2"/>
    </row>
    <row r="304">
      <c r="F304" s="3"/>
      <c r="G304" s="2"/>
    </row>
    <row r="305">
      <c r="F305" s="3"/>
      <c r="G305" s="2"/>
    </row>
    <row r="306">
      <c r="F306" s="3"/>
      <c r="G306" s="2"/>
    </row>
    <row r="307">
      <c r="F307" s="3"/>
      <c r="G307" s="2"/>
    </row>
    <row r="308">
      <c r="F308" s="3"/>
      <c r="G308" s="2"/>
    </row>
    <row r="309">
      <c r="F309" s="3"/>
      <c r="G309" s="2"/>
    </row>
    <row r="310">
      <c r="F310" s="3"/>
      <c r="G310" s="2"/>
    </row>
    <row r="311">
      <c r="F311" s="3"/>
      <c r="G311" s="2"/>
    </row>
    <row r="312">
      <c r="F312" s="3"/>
      <c r="G312" s="2"/>
    </row>
    <row r="313">
      <c r="F313" s="3"/>
      <c r="G313" s="2"/>
    </row>
    <row r="314">
      <c r="F314" s="3"/>
      <c r="G314" s="2"/>
    </row>
    <row r="315">
      <c r="F315" s="3"/>
      <c r="G315" s="2"/>
    </row>
    <row r="316">
      <c r="F316" s="3"/>
      <c r="G316" s="2"/>
    </row>
    <row r="317">
      <c r="F317" s="3"/>
      <c r="G317" s="2"/>
    </row>
    <row r="318">
      <c r="F318" s="3"/>
      <c r="G318" s="2"/>
    </row>
    <row r="319">
      <c r="F319" s="3"/>
      <c r="G319" s="2"/>
    </row>
    <row r="320">
      <c r="F320" s="3"/>
      <c r="G320" s="2"/>
    </row>
    <row r="321">
      <c r="F321" s="3"/>
      <c r="G321" s="2"/>
    </row>
    <row r="322">
      <c r="F322" s="3"/>
      <c r="G322" s="2"/>
    </row>
    <row r="323">
      <c r="F323" s="3"/>
      <c r="G323" s="2"/>
    </row>
    <row r="324">
      <c r="F324" s="3"/>
      <c r="G324" s="2"/>
    </row>
    <row r="325">
      <c r="F325" s="3"/>
      <c r="G325" s="2"/>
    </row>
    <row r="326">
      <c r="F326" s="3"/>
      <c r="G326" s="2"/>
    </row>
    <row r="327">
      <c r="F327" s="3"/>
      <c r="G327" s="2"/>
    </row>
    <row r="328">
      <c r="F328" s="3"/>
      <c r="G328" s="2"/>
    </row>
    <row r="329">
      <c r="F329" s="3"/>
      <c r="G329" s="2"/>
    </row>
    <row r="330">
      <c r="F330" s="3"/>
      <c r="G330" s="2"/>
    </row>
    <row r="331">
      <c r="F331" s="3"/>
      <c r="G331" s="2"/>
    </row>
    <row r="332">
      <c r="F332" s="3"/>
      <c r="G332" s="2"/>
    </row>
    <row r="333">
      <c r="F333" s="3"/>
      <c r="G333" s="2"/>
    </row>
    <row r="334">
      <c r="F334" s="3"/>
      <c r="G334" s="2"/>
    </row>
    <row r="335">
      <c r="F335" s="3"/>
      <c r="G335" s="2"/>
    </row>
    <row r="336">
      <c r="F336" s="3"/>
      <c r="G336" s="2"/>
    </row>
    <row r="337">
      <c r="F337" s="3"/>
      <c r="G337" s="2"/>
    </row>
    <row r="338">
      <c r="F338" s="3"/>
      <c r="G338" s="2"/>
    </row>
    <row r="339">
      <c r="F339" s="3"/>
      <c r="G339" s="2"/>
    </row>
    <row r="340">
      <c r="F340" s="3"/>
      <c r="G340" s="2"/>
    </row>
    <row r="341">
      <c r="F341" s="3"/>
      <c r="G341" s="2"/>
    </row>
    <row r="342">
      <c r="F342" s="3"/>
      <c r="G342" s="2"/>
    </row>
    <row r="343">
      <c r="F343" s="3"/>
      <c r="G343" s="2"/>
    </row>
    <row r="344">
      <c r="F344" s="3"/>
      <c r="G344" s="2"/>
    </row>
    <row r="345">
      <c r="F345" s="3"/>
      <c r="G345" s="2"/>
    </row>
    <row r="346">
      <c r="F346" s="3"/>
      <c r="G346" s="2"/>
    </row>
    <row r="347">
      <c r="F347" s="3"/>
      <c r="G347" s="2"/>
    </row>
    <row r="348">
      <c r="F348" s="3"/>
      <c r="G348" s="2"/>
    </row>
    <row r="349">
      <c r="F349" s="3"/>
      <c r="G349" s="2"/>
    </row>
    <row r="350">
      <c r="F350" s="3"/>
      <c r="G350" s="2"/>
    </row>
    <row r="351">
      <c r="F351" s="3"/>
      <c r="G351" s="2"/>
    </row>
    <row r="352">
      <c r="F352" s="3"/>
      <c r="G352" s="2"/>
    </row>
    <row r="353">
      <c r="F353" s="3"/>
      <c r="G353" s="2"/>
    </row>
    <row r="354">
      <c r="F354" s="3"/>
      <c r="G354" s="2"/>
    </row>
    <row r="355">
      <c r="F355" s="3"/>
      <c r="G355" s="2"/>
    </row>
    <row r="356">
      <c r="F356" s="3"/>
      <c r="G356" s="2"/>
    </row>
    <row r="357">
      <c r="F357" s="3"/>
      <c r="G357" s="2"/>
    </row>
    <row r="358">
      <c r="F358" s="3"/>
      <c r="G358" s="2"/>
    </row>
    <row r="359">
      <c r="F359" s="3"/>
      <c r="G359" s="2"/>
    </row>
    <row r="360">
      <c r="F360" s="3"/>
      <c r="G360" s="2"/>
    </row>
    <row r="361">
      <c r="F361" s="3"/>
      <c r="G361" s="2"/>
    </row>
    <row r="362">
      <c r="F362" s="3"/>
      <c r="G362" s="2"/>
    </row>
    <row r="363">
      <c r="F363" s="3"/>
      <c r="G363" s="2"/>
    </row>
    <row r="364">
      <c r="F364" s="3"/>
      <c r="G364" s="2"/>
    </row>
    <row r="365">
      <c r="F365" s="3"/>
      <c r="G365" s="2"/>
    </row>
    <row r="366">
      <c r="F366" s="3"/>
      <c r="G366" s="2"/>
    </row>
    <row r="367">
      <c r="F367" s="3"/>
      <c r="G367" s="2"/>
    </row>
    <row r="368">
      <c r="F368" s="3"/>
      <c r="G368" s="2"/>
    </row>
    <row r="369">
      <c r="F369" s="3"/>
      <c r="G369" s="2"/>
    </row>
    <row r="370">
      <c r="F370" s="3"/>
      <c r="G370" s="2"/>
    </row>
    <row r="371">
      <c r="F371" s="3"/>
      <c r="G371" s="2"/>
    </row>
    <row r="372">
      <c r="F372" s="3"/>
      <c r="G372" s="2"/>
    </row>
    <row r="373">
      <c r="F373" s="3"/>
      <c r="G373" s="2"/>
    </row>
    <row r="374">
      <c r="F374" s="3"/>
      <c r="G374" s="2"/>
    </row>
    <row r="375">
      <c r="F375" s="3"/>
      <c r="G375" s="2"/>
    </row>
    <row r="376">
      <c r="F376" s="3"/>
      <c r="G376" s="2"/>
    </row>
    <row r="377">
      <c r="F377" s="3"/>
      <c r="G377" s="2"/>
    </row>
    <row r="378">
      <c r="F378" s="3"/>
      <c r="G378" s="2"/>
    </row>
    <row r="379">
      <c r="F379" s="3"/>
      <c r="G379" s="2"/>
    </row>
    <row r="380">
      <c r="F380" s="3"/>
      <c r="G380" s="2"/>
    </row>
    <row r="381">
      <c r="F381" s="3"/>
      <c r="G381" s="2"/>
    </row>
    <row r="382">
      <c r="F382" s="3"/>
      <c r="G382" s="2"/>
    </row>
    <row r="383">
      <c r="F383" s="3"/>
      <c r="G383" s="2"/>
    </row>
    <row r="384">
      <c r="F384" s="3"/>
      <c r="G384" s="2"/>
    </row>
    <row r="385">
      <c r="F385" s="3"/>
      <c r="G385" s="2"/>
    </row>
    <row r="386">
      <c r="F386" s="3"/>
      <c r="G386" s="2"/>
    </row>
    <row r="387">
      <c r="F387" s="3"/>
      <c r="G387" s="2"/>
    </row>
    <row r="388">
      <c r="F388" s="3"/>
      <c r="G388" s="2"/>
    </row>
    <row r="389">
      <c r="F389" s="3"/>
      <c r="G389" s="2"/>
    </row>
    <row r="390">
      <c r="F390" s="3"/>
      <c r="G390" s="2"/>
    </row>
    <row r="391">
      <c r="F391" s="3"/>
      <c r="G391" s="2"/>
    </row>
    <row r="392">
      <c r="F392" s="3"/>
      <c r="G392" s="2"/>
    </row>
    <row r="393">
      <c r="F393" s="3"/>
      <c r="G393" s="2"/>
    </row>
    <row r="394">
      <c r="F394" s="3"/>
      <c r="G394" s="2"/>
    </row>
    <row r="395">
      <c r="F395" s="3"/>
      <c r="G395" s="2"/>
    </row>
    <row r="396">
      <c r="F396" s="3"/>
      <c r="G396" s="2"/>
    </row>
    <row r="397">
      <c r="F397" s="3"/>
      <c r="G397" s="2"/>
    </row>
    <row r="398">
      <c r="F398" s="3"/>
      <c r="G398" s="2"/>
    </row>
    <row r="399">
      <c r="F399" s="3"/>
      <c r="G399" s="2"/>
    </row>
    <row r="400">
      <c r="F400" s="3"/>
      <c r="G400" s="2"/>
    </row>
    <row r="401">
      <c r="F401" s="3"/>
      <c r="G401" s="2"/>
    </row>
    <row r="402">
      <c r="F402" s="3"/>
      <c r="G402" s="2"/>
    </row>
    <row r="403">
      <c r="F403" s="3"/>
      <c r="G403" s="2"/>
    </row>
    <row r="404">
      <c r="F404" s="3"/>
      <c r="G404" s="2"/>
    </row>
    <row r="405">
      <c r="F405" s="3"/>
      <c r="G405" s="2"/>
    </row>
    <row r="406">
      <c r="F406" s="3"/>
      <c r="G406" s="2"/>
    </row>
    <row r="407">
      <c r="F407" s="3"/>
      <c r="G407" s="2"/>
    </row>
    <row r="408">
      <c r="F408" s="3"/>
      <c r="G408" s="2"/>
    </row>
    <row r="409">
      <c r="F409" s="3"/>
      <c r="G409" s="2"/>
    </row>
    <row r="410">
      <c r="F410" s="3"/>
      <c r="G410" s="2"/>
    </row>
    <row r="411">
      <c r="F411" s="3"/>
      <c r="G411" s="2"/>
    </row>
    <row r="412">
      <c r="F412" s="3"/>
      <c r="G412" s="2"/>
    </row>
    <row r="413">
      <c r="F413" s="3"/>
      <c r="G413" s="2"/>
    </row>
    <row r="414">
      <c r="F414" s="3"/>
      <c r="G414" s="2"/>
    </row>
    <row r="415">
      <c r="F415" s="3"/>
      <c r="G415" s="2"/>
    </row>
    <row r="416">
      <c r="F416" s="3"/>
      <c r="G416" s="2"/>
    </row>
    <row r="417">
      <c r="F417" s="3"/>
      <c r="G417" s="2"/>
    </row>
    <row r="418">
      <c r="F418" s="3"/>
      <c r="G418" s="2"/>
    </row>
    <row r="419">
      <c r="F419" s="3"/>
      <c r="G419" s="2"/>
    </row>
    <row r="420">
      <c r="F420" s="3"/>
      <c r="G420" s="2"/>
    </row>
    <row r="421">
      <c r="F421" s="3"/>
      <c r="G421" s="2"/>
    </row>
    <row r="422">
      <c r="F422" s="3"/>
      <c r="G422" s="2"/>
    </row>
    <row r="423">
      <c r="F423" s="3"/>
      <c r="G423" s="2"/>
    </row>
    <row r="424">
      <c r="F424" s="3"/>
      <c r="G424" s="2"/>
    </row>
    <row r="425">
      <c r="F425" s="3"/>
      <c r="G425" s="2"/>
    </row>
    <row r="426">
      <c r="F426" s="3"/>
      <c r="G426" s="2"/>
    </row>
    <row r="427">
      <c r="F427" s="3"/>
      <c r="G427" s="2"/>
    </row>
    <row r="428">
      <c r="F428" s="3"/>
      <c r="G428" s="2"/>
    </row>
    <row r="429">
      <c r="F429" s="3"/>
      <c r="G429" s="2"/>
    </row>
    <row r="430">
      <c r="F430" s="3"/>
      <c r="G430" s="2"/>
    </row>
    <row r="431">
      <c r="F431" s="3"/>
      <c r="G431" s="2"/>
    </row>
    <row r="432">
      <c r="F432" s="3"/>
      <c r="G432" s="2"/>
    </row>
    <row r="433">
      <c r="F433" s="3"/>
      <c r="G433" s="2"/>
    </row>
    <row r="434">
      <c r="F434" s="3"/>
      <c r="G434" s="2"/>
    </row>
    <row r="435">
      <c r="F435" s="3"/>
      <c r="G435" s="2"/>
    </row>
    <row r="436">
      <c r="F436" s="3"/>
      <c r="G436" s="2"/>
    </row>
    <row r="437">
      <c r="F437" s="3"/>
      <c r="G437" s="2"/>
    </row>
    <row r="438">
      <c r="F438" s="3"/>
      <c r="G438" s="2"/>
    </row>
    <row r="439">
      <c r="F439" s="3"/>
      <c r="G439" s="2"/>
    </row>
    <row r="440">
      <c r="F440" s="3"/>
      <c r="G440" s="2"/>
    </row>
    <row r="441">
      <c r="F441" s="3"/>
      <c r="G441" s="2"/>
    </row>
    <row r="442">
      <c r="F442" s="3"/>
      <c r="G442" s="2"/>
    </row>
    <row r="443">
      <c r="F443" s="3"/>
      <c r="G443" s="2"/>
    </row>
    <row r="444">
      <c r="F444" s="3"/>
      <c r="G444" s="2"/>
    </row>
    <row r="445">
      <c r="F445" s="3"/>
      <c r="G445" s="2"/>
    </row>
    <row r="446">
      <c r="F446" s="3"/>
      <c r="G446" s="2"/>
    </row>
    <row r="447">
      <c r="F447" s="3"/>
      <c r="G447" s="2"/>
    </row>
    <row r="448">
      <c r="F448" s="3"/>
      <c r="G448" s="2"/>
    </row>
    <row r="449">
      <c r="F449" s="3"/>
      <c r="G449" s="2"/>
    </row>
    <row r="450">
      <c r="F450" s="3"/>
      <c r="G450" s="2"/>
    </row>
    <row r="451">
      <c r="F451" s="3"/>
      <c r="G451" s="2"/>
    </row>
    <row r="452">
      <c r="F452" s="3"/>
      <c r="G452" s="2"/>
    </row>
    <row r="453">
      <c r="F453" s="3"/>
      <c r="G453" s="2"/>
    </row>
    <row r="454">
      <c r="F454" s="3"/>
      <c r="G454" s="2"/>
    </row>
    <row r="455">
      <c r="F455" s="3"/>
      <c r="G455" s="2"/>
    </row>
    <row r="456">
      <c r="F456" s="3"/>
      <c r="G456" s="2"/>
    </row>
    <row r="457">
      <c r="F457" s="3"/>
      <c r="G457" s="2"/>
    </row>
    <row r="458">
      <c r="F458" s="3"/>
      <c r="G458" s="2"/>
    </row>
    <row r="459">
      <c r="F459" s="3"/>
      <c r="G459" s="2"/>
    </row>
    <row r="460">
      <c r="F460" s="3"/>
      <c r="G460" s="2"/>
    </row>
    <row r="461">
      <c r="F461" s="3"/>
      <c r="G461" s="2"/>
    </row>
    <row r="462">
      <c r="F462" s="3"/>
      <c r="G462" s="2"/>
    </row>
    <row r="463">
      <c r="F463" s="3"/>
      <c r="G463" s="2"/>
    </row>
    <row r="464">
      <c r="F464" s="3"/>
      <c r="G464" s="2"/>
    </row>
    <row r="465">
      <c r="F465" s="3"/>
      <c r="G465" s="2"/>
    </row>
    <row r="466">
      <c r="F466" s="3"/>
      <c r="G466" s="2"/>
    </row>
    <row r="467">
      <c r="F467" s="3"/>
      <c r="G467" s="2"/>
    </row>
    <row r="468">
      <c r="F468" s="3"/>
      <c r="G468" s="2"/>
    </row>
    <row r="469">
      <c r="F469" s="3"/>
      <c r="G469" s="2"/>
    </row>
    <row r="470">
      <c r="F470" s="3"/>
      <c r="G470" s="2"/>
    </row>
    <row r="471">
      <c r="F471" s="3"/>
      <c r="G471" s="2"/>
    </row>
    <row r="472">
      <c r="F472" s="3"/>
      <c r="G472" s="2"/>
    </row>
    <row r="473">
      <c r="F473" s="3"/>
      <c r="G473" s="2"/>
    </row>
    <row r="474">
      <c r="F474" s="3"/>
      <c r="G474" s="2"/>
    </row>
    <row r="475">
      <c r="F475" s="3"/>
      <c r="G475" s="2"/>
    </row>
    <row r="476">
      <c r="F476" s="3"/>
      <c r="G476" s="2"/>
    </row>
    <row r="477">
      <c r="F477" s="3"/>
      <c r="G477" s="2"/>
    </row>
    <row r="478">
      <c r="F478" s="3"/>
      <c r="G478" s="2"/>
    </row>
    <row r="479">
      <c r="F479" s="3"/>
      <c r="G479" s="2"/>
    </row>
    <row r="480">
      <c r="F480" s="3"/>
      <c r="G480" s="2"/>
    </row>
    <row r="481">
      <c r="F481" s="3"/>
      <c r="G481" s="2"/>
    </row>
    <row r="482">
      <c r="F482" s="3"/>
      <c r="G482" s="2"/>
    </row>
    <row r="483">
      <c r="F483" s="3"/>
      <c r="G483" s="2"/>
    </row>
    <row r="484">
      <c r="F484" s="3"/>
      <c r="G484" s="2"/>
    </row>
    <row r="485">
      <c r="F485" s="3"/>
      <c r="G485" s="2"/>
    </row>
    <row r="486">
      <c r="F486" s="3"/>
      <c r="G486" s="2"/>
    </row>
    <row r="487">
      <c r="F487" s="3"/>
      <c r="G487" s="2"/>
    </row>
    <row r="488">
      <c r="F488" s="3"/>
      <c r="G488" s="2"/>
    </row>
    <row r="489">
      <c r="F489" s="3"/>
      <c r="G489" s="2"/>
    </row>
    <row r="490">
      <c r="F490" s="3"/>
      <c r="G490" s="2"/>
    </row>
    <row r="491">
      <c r="F491" s="3"/>
      <c r="G491" s="2"/>
    </row>
    <row r="492">
      <c r="F492" s="3"/>
      <c r="G492" s="2"/>
    </row>
    <row r="493">
      <c r="F493" s="3"/>
      <c r="G493" s="2"/>
    </row>
    <row r="494">
      <c r="F494" s="3"/>
      <c r="G494" s="2"/>
    </row>
    <row r="495">
      <c r="F495" s="3"/>
      <c r="G495" s="2"/>
    </row>
    <row r="496">
      <c r="F496" s="3"/>
      <c r="G496" s="2"/>
    </row>
    <row r="497">
      <c r="F497" s="3"/>
      <c r="G497" s="2"/>
    </row>
    <row r="498">
      <c r="F498" s="3"/>
      <c r="G498" s="2"/>
    </row>
    <row r="499">
      <c r="F499" s="3"/>
      <c r="G499" s="2"/>
    </row>
    <row r="500">
      <c r="F500" s="3"/>
      <c r="G500" s="2"/>
    </row>
    <row r="501">
      <c r="F501" s="3"/>
      <c r="G501" s="2"/>
    </row>
    <row r="502">
      <c r="F502" s="3"/>
      <c r="G502" s="2"/>
    </row>
    <row r="503">
      <c r="F503" s="3"/>
      <c r="G503" s="2"/>
    </row>
    <row r="504">
      <c r="F504" s="3"/>
      <c r="G504" s="2"/>
    </row>
    <row r="505">
      <c r="F505" s="3"/>
      <c r="G505" s="2"/>
    </row>
    <row r="506">
      <c r="F506" s="3"/>
      <c r="G506" s="2"/>
    </row>
    <row r="507">
      <c r="F507" s="3"/>
      <c r="G507" s="2"/>
    </row>
    <row r="508">
      <c r="F508" s="3"/>
      <c r="G508" s="2"/>
    </row>
    <row r="509">
      <c r="F509" s="3"/>
      <c r="G509" s="2"/>
    </row>
    <row r="510">
      <c r="F510" s="3"/>
      <c r="G510" s="2"/>
    </row>
    <row r="511">
      <c r="F511" s="3"/>
      <c r="G511" s="2"/>
    </row>
    <row r="512">
      <c r="F512" s="3"/>
      <c r="G512" s="2"/>
    </row>
    <row r="513">
      <c r="F513" s="3"/>
      <c r="G513" s="2"/>
    </row>
    <row r="514">
      <c r="F514" s="3"/>
      <c r="G514" s="2"/>
    </row>
    <row r="515">
      <c r="F515" s="3"/>
      <c r="G515" s="2"/>
    </row>
    <row r="516">
      <c r="F516" s="3"/>
      <c r="G516" s="2"/>
    </row>
    <row r="517">
      <c r="F517" s="3"/>
      <c r="G517" s="2"/>
    </row>
    <row r="518">
      <c r="F518" s="3"/>
      <c r="G518" s="2"/>
    </row>
    <row r="519">
      <c r="F519" s="3"/>
      <c r="G519" s="2"/>
    </row>
    <row r="520">
      <c r="F520" s="3"/>
      <c r="G520" s="2"/>
    </row>
    <row r="521">
      <c r="F521" s="3"/>
      <c r="G521" s="2"/>
    </row>
    <row r="522">
      <c r="F522" s="3"/>
      <c r="G522" s="2"/>
    </row>
    <row r="523">
      <c r="F523" s="3"/>
      <c r="G523" s="2"/>
    </row>
    <row r="524">
      <c r="F524" s="3"/>
      <c r="G524" s="2"/>
    </row>
    <row r="525">
      <c r="F525" s="3"/>
      <c r="G525" s="2"/>
    </row>
    <row r="526">
      <c r="F526" s="3"/>
      <c r="G526" s="2"/>
    </row>
    <row r="527">
      <c r="F527" s="3"/>
      <c r="G527" s="2"/>
    </row>
    <row r="528">
      <c r="F528" s="3"/>
      <c r="G528" s="2"/>
    </row>
    <row r="529">
      <c r="F529" s="3"/>
      <c r="G529" s="2"/>
    </row>
    <row r="530">
      <c r="F530" s="3"/>
      <c r="G530" s="2"/>
    </row>
    <row r="531">
      <c r="F531" s="3"/>
      <c r="G531" s="2"/>
    </row>
    <row r="532">
      <c r="F532" s="3"/>
      <c r="G532" s="2"/>
    </row>
    <row r="533">
      <c r="F533" s="3"/>
      <c r="G533" s="2"/>
    </row>
    <row r="534">
      <c r="F534" s="3"/>
      <c r="G534" s="2"/>
    </row>
    <row r="535">
      <c r="F535" s="3"/>
      <c r="G535" s="2"/>
    </row>
    <row r="536">
      <c r="F536" s="3"/>
      <c r="G536" s="2"/>
    </row>
    <row r="537">
      <c r="F537" s="3"/>
      <c r="G537" s="2"/>
    </row>
    <row r="538">
      <c r="F538" s="3"/>
      <c r="G538" s="2"/>
    </row>
    <row r="539">
      <c r="F539" s="3"/>
      <c r="G539" s="2"/>
    </row>
    <row r="540">
      <c r="F540" s="3"/>
      <c r="G540" s="2"/>
    </row>
    <row r="541">
      <c r="F541" s="3"/>
      <c r="G541" s="2"/>
    </row>
    <row r="542">
      <c r="F542" s="3"/>
      <c r="G542" s="2"/>
    </row>
    <row r="543">
      <c r="F543" s="3"/>
      <c r="G543" s="2"/>
    </row>
    <row r="544">
      <c r="F544" s="3"/>
      <c r="G544" s="2"/>
    </row>
    <row r="545">
      <c r="F545" s="3"/>
      <c r="G545" s="2"/>
    </row>
    <row r="546">
      <c r="F546" s="3"/>
      <c r="G546" s="2"/>
    </row>
    <row r="547">
      <c r="F547" s="3"/>
      <c r="G547" s="2"/>
    </row>
    <row r="548">
      <c r="F548" s="3"/>
      <c r="G548" s="2"/>
    </row>
    <row r="549">
      <c r="F549" s="3"/>
      <c r="G549" s="2"/>
    </row>
    <row r="550">
      <c r="F550" s="3"/>
      <c r="G550" s="2"/>
    </row>
    <row r="551">
      <c r="F551" s="3"/>
      <c r="G551" s="2"/>
    </row>
    <row r="552">
      <c r="F552" s="3"/>
      <c r="G552" s="2"/>
    </row>
    <row r="553">
      <c r="F553" s="3"/>
      <c r="G553" s="2"/>
    </row>
    <row r="554">
      <c r="F554" s="3"/>
      <c r="G554" s="2"/>
    </row>
    <row r="555">
      <c r="F555" s="3"/>
      <c r="G555" s="2"/>
    </row>
    <row r="556">
      <c r="F556" s="3"/>
      <c r="G556" s="2"/>
    </row>
    <row r="557">
      <c r="F557" s="3"/>
      <c r="G557" s="2"/>
    </row>
    <row r="558">
      <c r="F558" s="3"/>
      <c r="G558" s="2"/>
    </row>
    <row r="559">
      <c r="F559" s="3"/>
      <c r="G559" s="2"/>
    </row>
    <row r="560">
      <c r="F560" s="3"/>
      <c r="G560" s="2"/>
    </row>
    <row r="561">
      <c r="F561" s="3"/>
      <c r="G561" s="2"/>
    </row>
    <row r="562">
      <c r="F562" s="3"/>
      <c r="G562" s="2"/>
    </row>
    <row r="563">
      <c r="F563" s="3"/>
      <c r="G563" s="2"/>
    </row>
    <row r="564">
      <c r="F564" s="3"/>
      <c r="G564" s="2"/>
    </row>
    <row r="565">
      <c r="F565" s="3"/>
      <c r="G565" s="2"/>
    </row>
    <row r="566">
      <c r="F566" s="3"/>
      <c r="G566" s="2"/>
    </row>
    <row r="567">
      <c r="F567" s="3"/>
      <c r="G567" s="2"/>
    </row>
    <row r="568">
      <c r="F568" s="3"/>
      <c r="G568" s="2"/>
    </row>
    <row r="569">
      <c r="F569" s="3"/>
      <c r="G569" s="2"/>
    </row>
    <row r="570">
      <c r="F570" s="3"/>
      <c r="G570" s="2"/>
    </row>
    <row r="571">
      <c r="F571" s="3"/>
      <c r="G571" s="2"/>
    </row>
    <row r="572">
      <c r="F572" s="3"/>
      <c r="G572" s="2"/>
    </row>
    <row r="573">
      <c r="F573" s="3"/>
      <c r="G573" s="2"/>
    </row>
    <row r="574">
      <c r="F574" s="3"/>
      <c r="G574" s="2"/>
    </row>
    <row r="575">
      <c r="F575" s="3"/>
      <c r="G575" s="2"/>
    </row>
    <row r="576">
      <c r="F576" s="3"/>
      <c r="G576" s="2"/>
    </row>
    <row r="577">
      <c r="F577" s="3"/>
      <c r="G577" s="2"/>
    </row>
    <row r="578">
      <c r="F578" s="3"/>
      <c r="G578" s="2"/>
    </row>
    <row r="579">
      <c r="F579" s="3"/>
      <c r="G579" s="2"/>
    </row>
    <row r="580">
      <c r="F580" s="3"/>
      <c r="G580" s="2"/>
    </row>
    <row r="581">
      <c r="F581" s="3"/>
      <c r="G581" s="2"/>
    </row>
    <row r="582">
      <c r="F582" s="3"/>
      <c r="G582" s="2"/>
    </row>
    <row r="583">
      <c r="F583" s="3"/>
      <c r="G583" s="2"/>
    </row>
    <row r="584">
      <c r="F584" s="3"/>
      <c r="G584" s="2"/>
    </row>
    <row r="585">
      <c r="F585" s="3"/>
      <c r="G585" s="2"/>
    </row>
    <row r="586">
      <c r="F586" s="3"/>
      <c r="G586" s="2"/>
    </row>
    <row r="587">
      <c r="F587" s="3"/>
      <c r="G587" s="2"/>
    </row>
    <row r="588">
      <c r="F588" s="3"/>
      <c r="G588" s="2"/>
    </row>
    <row r="589">
      <c r="F589" s="3"/>
      <c r="G589" s="2"/>
    </row>
    <row r="590">
      <c r="F590" s="3"/>
      <c r="G590" s="2"/>
    </row>
    <row r="591">
      <c r="F591" s="3"/>
      <c r="G591" s="2"/>
    </row>
    <row r="592">
      <c r="F592" s="3"/>
      <c r="G592" s="2"/>
    </row>
    <row r="593">
      <c r="F593" s="3"/>
      <c r="G593" s="2"/>
    </row>
    <row r="594">
      <c r="F594" s="3"/>
      <c r="G594" s="2"/>
    </row>
    <row r="595">
      <c r="F595" s="3"/>
      <c r="G595" s="2"/>
    </row>
    <row r="596">
      <c r="F596" s="3"/>
      <c r="G596" s="2"/>
    </row>
    <row r="597">
      <c r="F597" s="3"/>
      <c r="G597" s="2"/>
    </row>
    <row r="598">
      <c r="F598" s="3"/>
      <c r="G598" s="2"/>
    </row>
    <row r="599">
      <c r="F599" s="3"/>
      <c r="G599" s="2"/>
    </row>
    <row r="600">
      <c r="F600" s="3"/>
      <c r="G600" s="2"/>
    </row>
    <row r="601">
      <c r="F601" s="3"/>
      <c r="G601" s="2"/>
    </row>
    <row r="602">
      <c r="F602" s="3"/>
      <c r="G602" s="2"/>
    </row>
    <row r="603">
      <c r="F603" s="3"/>
      <c r="G603" s="2"/>
    </row>
    <row r="604">
      <c r="F604" s="3"/>
      <c r="G604" s="2"/>
    </row>
    <row r="605">
      <c r="F605" s="3"/>
      <c r="G605" s="2"/>
    </row>
    <row r="606">
      <c r="F606" s="3"/>
      <c r="G606" s="2"/>
    </row>
    <row r="607">
      <c r="F607" s="3"/>
      <c r="G607" s="2"/>
    </row>
    <row r="608">
      <c r="F608" s="3"/>
      <c r="G608" s="2"/>
    </row>
    <row r="609">
      <c r="F609" s="3"/>
      <c r="G609" s="2"/>
    </row>
    <row r="610">
      <c r="F610" s="3"/>
      <c r="G610" s="2"/>
    </row>
    <row r="611">
      <c r="F611" s="3"/>
      <c r="G611" s="2"/>
    </row>
    <row r="612">
      <c r="F612" s="3"/>
      <c r="G612" s="2"/>
    </row>
    <row r="613">
      <c r="F613" s="3"/>
      <c r="G613" s="2"/>
    </row>
    <row r="614">
      <c r="F614" s="3"/>
      <c r="G614" s="2"/>
    </row>
    <row r="615">
      <c r="F615" s="3"/>
      <c r="G615" s="2"/>
    </row>
    <row r="616">
      <c r="F616" s="3"/>
      <c r="G616" s="2"/>
    </row>
    <row r="617">
      <c r="F617" s="3"/>
      <c r="G617" s="2"/>
    </row>
    <row r="618">
      <c r="F618" s="3"/>
      <c r="G618" s="2"/>
    </row>
    <row r="619">
      <c r="F619" s="3"/>
      <c r="G619" s="2"/>
    </row>
    <row r="620">
      <c r="F620" s="3"/>
      <c r="G620" s="2"/>
    </row>
    <row r="621">
      <c r="F621" s="3"/>
      <c r="G621" s="2"/>
    </row>
    <row r="622">
      <c r="F622" s="3"/>
      <c r="G622" s="2"/>
    </row>
    <row r="623">
      <c r="F623" s="3"/>
      <c r="G623" s="2"/>
    </row>
    <row r="624">
      <c r="F624" s="3"/>
      <c r="G624" s="2"/>
    </row>
    <row r="625">
      <c r="F625" s="3"/>
      <c r="G625" s="2"/>
    </row>
    <row r="626">
      <c r="F626" s="3"/>
      <c r="G626" s="2"/>
    </row>
    <row r="627">
      <c r="F627" s="3"/>
      <c r="G627" s="2"/>
    </row>
    <row r="628">
      <c r="F628" s="3"/>
      <c r="G628" s="2"/>
    </row>
    <row r="629">
      <c r="F629" s="3"/>
      <c r="G629" s="2"/>
    </row>
    <row r="630">
      <c r="F630" s="3"/>
      <c r="G630" s="2"/>
    </row>
    <row r="631">
      <c r="F631" s="3"/>
      <c r="G631" s="2"/>
    </row>
    <row r="632">
      <c r="F632" s="3"/>
      <c r="G632" s="2"/>
    </row>
    <row r="633">
      <c r="F633" s="3"/>
      <c r="G633" s="2"/>
    </row>
    <row r="634">
      <c r="F634" s="3"/>
      <c r="G634" s="2"/>
    </row>
    <row r="635">
      <c r="F635" s="3"/>
      <c r="G635" s="2"/>
    </row>
    <row r="636">
      <c r="F636" s="3"/>
      <c r="G636" s="2"/>
    </row>
    <row r="637">
      <c r="F637" s="3"/>
      <c r="G637" s="2"/>
    </row>
    <row r="638">
      <c r="F638" s="3"/>
      <c r="G638" s="2"/>
    </row>
    <row r="639">
      <c r="F639" s="3"/>
      <c r="G639" s="2"/>
    </row>
    <row r="640">
      <c r="F640" s="3"/>
      <c r="G640" s="2"/>
    </row>
    <row r="641">
      <c r="F641" s="3"/>
      <c r="G641" s="2"/>
    </row>
    <row r="642">
      <c r="F642" s="3"/>
      <c r="G642" s="2"/>
    </row>
    <row r="643">
      <c r="F643" s="3"/>
      <c r="G643" s="2"/>
    </row>
    <row r="644">
      <c r="F644" s="3"/>
      <c r="G644" s="2"/>
    </row>
    <row r="645">
      <c r="F645" s="3"/>
      <c r="G645" s="2"/>
    </row>
    <row r="646">
      <c r="F646" s="3"/>
      <c r="G646" s="2"/>
    </row>
    <row r="647">
      <c r="F647" s="3"/>
      <c r="G647" s="2"/>
    </row>
    <row r="648">
      <c r="F648" s="3"/>
      <c r="G648" s="2"/>
    </row>
    <row r="649">
      <c r="F649" s="3"/>
      <c r="G649" s="2"/>
    </row>
    <row r="650">
      <c r="F650" s="3"/>
      <c r="G650" s="2"/>
    </row>
    <row r="651">
      <c r="F651" s="3"/>
      <c r="G651" s="2"/>
    </row>
    <row r="652">
      <c r="F652" s="3"/>
      <c r="G652" s="2"/>
    </row>
    <row r="653">
      <c r="F653" s="3"/>
      <c r="G653" s="2"/>
    </row>
    <row r="654">
      <c r="F654" s="3"/>
      <c r="G654" s="2"/>
    </row>
    <row r="655">
      <c r="F655" s="3"/>
      <c r="G655" s="2"/>
    </row>
    <row r="656">
      <c r="F656" s="3"/>
      <c r="G656" s="2"/>
    </row>
    <row r="657">
      <c r="F657" s="3"/>
      <c r="G657" s="2"/>
    </row>
    <row r="658">
      <c r="F658" s="3"/>
      <c r="G658" s="2"/>
    </row>
    <row r="659">
      <c r="F659" s="3"/>
      <c r="G659" s="2"/>
    </row>
    <row r="660">
      <c r="F660" s="3"/>
      <c r="G660" s="2"/>
    </row>
    <row r="661">
      <c r="F661" s="3"/>
      <c r="G661" s="2"/>
    </row>
    <row r="662">
      <c r="F662" s="3"/>
      <c r="G662" s="2"/>
    </row>
    <row r="663">
      <c r="F663" s="3"/>
      <c r="G663" s="2"/>
    </row>
    <row r="664">
      <c r="F664" s="3"/>
      <c r="G664" s="2"/>
    </row>
    <row r="665">
      <c r="F665" s="3"/>
      <c r="G665" s="2"/>
    </row>
    <row r="666">
      <c r="F666" s="3"/>
      <c r="G666" s="2"/>
    </row>
    <row r="667">
      <c r="F667" s="3"/>
      <c r="G667" s="2"/>
    </row>
    <row r="668">
      <c r="F668" s="3"/>
      <c r="G668" s="2"/>
    </row>
    <row r="669">
      <c r="F669" s="3"/>
      <c r="G669" s="2"/>
    </row>
    <row r="670">
      <c r="F670" s="3"/>
      <c r="G670" s="2"/>
    </row>
    <row r="671">
      <c r="F671" s="3"/>
      <c r="G671" s="2"/>
    </row>
    <row r="672">
      <c r="F672" s="3"/>
      <c r="G672" s="2"/>
    </row>
    <row r="673">
      <c r="F673" s="3"/>
      <c r="G673" s="2"/>
    </row>
    <row r="674">
      <c r="F674" s="3"/>
      <c r="G674" s="2"/>
    </row>
    <row r="675">
      <c r="F675" s="3"/>
      <c r="G675" s="2"/>
    </row>
    <row r="676">
      <c r="F676" s="3"/>
      <c r="G676" s="2"/>
    </row>
    <row r="677">
      <c r="F677" s="3"/>
      <c r="G677" s="2"/>
    </row>
    <row r="678">
      <c r="F678" s="3"/>
      <c r="G678" s="2"/>
    </row>
    <row r="679">
      <c r="F679" s="3"/>
      <c r="G679" s="2"/>
    </row>
    <row r="680">
      <c r="F680" s="3"/>
      <c r="G680" s="2"/>
    </row>
    <row r="681">
      <c r="F681" s="3"/>
      <c r="G681" s="2"/>
    </row>
    <row r="682">
      <c r="F682" s="3"/>
      <c r="G682" s="2"/>
    </row>
    <row r="683">
      <c r="F683" s="3"/>
      <c r="G683" s="2"/>
    </row>
    <row r="684">
      <c r="F684" s="3"/>
      <c r="G684" s="2"/>
    </row>
    <row r="685">
      <c r="F685" s="3"/>
      <c r="G685" s="2"/>
    </row>
    <row r="686">
      <c r="F686" s="3"/>
      <c r="G686" s="2"/>
    </row>
    <row r="687">
      <c r="F687" s="3"/>
      <c r="G687" s="2"/>
    </row>
    <row r="688">
      <c r="F688" s="3"/>
      <c r="G688" s="2"/>
    </row>
    <row r="689">
      <c r="F689" s="3"/>
      <c r="G689" s="2"/>
    </row>
    <row r="690">
      <c r="F690" s="3"/>
      <c r="G690" s="2"/>
    </row>
    <row r="691">
      <c r="F691" s="3"/>
      <c r="G691" s="2"/>
    </row>
    <row r="692">
      <c r="F692" s="3"/>
      <c r="G692" s="2"/>
    </row>
    <row r="693">
      <c r="F693" s="3"/>
      <c r="G693" s="2"/>
    </row>
    <row r="694">
      <c r="F694" s="3"/>
      <c r="G694" s="2"/>
    </row>
    <row r="695">
      <c r="F695" s="3"/>
      <c r="G695" s="2"/>
    </row>
    <row r="696">
      <c r="F696" s="3"/>
      <c r="G696" s="2"/>
    </row>
    <row r="697">
      <c r="F697" s="3"/>
      <c r="G697" s="2"/>
    </row>
    <row r="698">
      <c r="F698" s="3"/>
      <c r="G698" s="2"/>
    </row>
    <row r="699">
      <c r="F699" s="3"/>
      <c r="G699" s="2"/>
    </row>
    <row r="700">
      <c r="F700" s="3"/>
      <c r="G700" s="2"/>
    </row>
    <row r="701">
      <c r="F701" s="3"/>
      <c r="G701" s="2"/>
    </row>
    <row r="702">
      <c r="F702" s="3"/>
      <c r="G702" s="2"/>
    </row>
    <row r="703">
      <c r="F703" s="3"/>
      <c r="G703" s="2"/>
    </row>
    <row r="704">
      <c r="F704" s="3"/>
      <c r="G704" s="2"/>
    </row>
    <row r="705">
      <c r="F705" s="3"/>
      <c r="G705" s="2"/>
    </row>
    <row r="706">
      <c r="F706" s="3"/>
      <c r="G706" s="2"/>
    </row>
    <row r="707">
      <c r="F707" s="3"/>
      <c r="G707" s="2"/>
    </row>
    <row r="708">
      <c r="F708" s="3"/>
      <c r="G708" s="2"/>
    </row>
    <row r="709">
      <c r="F709" s="3"/>
      <c r="G709" s="2"/>
    </row>
    <row r="710">
      <c r="F710" s="3"/>
      <c r="G710" s="2"/>
    </row>
    <row r="711">
      <c r="F711" s="3"/>
      <c r="G711" s="2"/>
    </row>
    <row r="712">
      <c r="F712" s="3"/>
      <c r="G712" s="2"/>
    </row>
    <row r="713">
      <c r="F713" s="3"/>
      <c r="G713" s="2"/>
    </row>
    <row r="714">
      <c r="F714" s="3"/>
      <c r="G714" s="2"/>
    </row>
    <row r="715">
      <c r="F715" s="3"/>
      <c r="G715" s="2"/>
    </row>
    <row r="716">
      <c r="F716" s="3"/>
      <c r="G716" s="2"/>
    </row>
    <row r="717">
      <c r="F717" s="3"/>
      <c r="G717" s="2"/>
    </row>
    <row r="718">
      <c r="F718" s="3"/>
      <c r="G718" s="2"/>
    </row>
    <row r="719">
      <c r="F719" s="3"/>
      <c r="G719" s="2"/>
    </row>
    <row r="720">
      <c r="F720" s="3"/>
      <c r="G720" s="2"/>
    </row>
    <row r="721">
      <c r="F721" s="3"/>
      <c r="G721" s="2"/>
    </row>
    <row r="722">
      <c r="F722" s="3"/>
      <c r="G722" s="2"/>
    </row>
    <row r="723">
      <c r="F723" s="3"/>
      <c r="G723" s="2"/>
    </row>
    <row r="724">
      <c r="F724" s="3"/>
      <c r="G724" s="2"/>
    </row>
    <row r="725">
      <c r="F725" s="3"/>
      <c r="G725" s="2"/>
    </row>
    <row r="726">
      <c r="F726" s="3"/>
      <c r="G726" s="2"/>
    </row>
    <row r="727">
      <c r="F727" s="3"/>
      <c r="G727" s="2"/>
    </row>
    <row r="728">
      <c r="F728" s="3"/>
      <c r="G728" s="2"/>
    </row>
    <row r="729">
      <c r="F729" s="3"/>
      <c r="G729" s="2"/>
    </row>
    <row r="730">
      <c r="F730" s="3"/>
      <c r="G730" s="2"/>
    </row>
    <row r="731">
      <c r="F731" s="3"/>
      <c r="G731" s="2"/>
    </row>
    <row r="732">
      <c r="F732" s="3"/>
      <c r="G732" s="2"/>
    </row>
    <row r="733">
      <c r="F733" s="3"/>
      <c r="G733" s="2"/>
    </row>
    <row r="734">
      <c r="F734" s="3"/>
      <c r="G734" s="2"/>
    </row>
    <row r="735">
      <c r="F735" s="3"/>
      <c r="G735" s="2"/>
    </row>
    <row r="736">
      <c r="F736" s="3"/>
      <c r="G736" s="2"/>
    </row>
    <row r="737">
      <c r="F737" s="3"/>
      <c r="G737" s="2"/>
    </row>
    <row r="738">
      <c r="F738" s="3"/>
      <c r="G738" s="2"/>
    </row>
    <row r="739">
      <c r="F739" s="3"/>
      <c r="G739" s="2"/>
    </row>
    <row r="740">
      <c r="F740" s="3"/>
      <c r="G740" s="2"/>
    </row>
    <row r="741">
      <c r="F741" s="3"/>
      <c r="G741" s="2"/>
    </row>
    <row r="742">
      <c r="F742" s="3"/>
      <c r="G742" s="2"/>
    </row>
    <row r="743">
      <c r="F743" s="3"/>
      <c r="G743" s="2"/>
    </row>
    <row r="744">
      <c r="F744" s="3"/>
      <c r="G744" s="2"/>
    </row>
    <row r="745">
      <c r="F745" s="3"/>
      <c r="G745" s="2"/>
    </row>
    <row r="746">
      <c r="F746" s="3"/>
      <c r="G746" s="2"/>
    </row>
    <row r="747">
      <c r="F747" s="3"/>
      <c r="G747" s="2"/>
    </row>
    <row r="748">
      <c r="F748" s="3"/>
      <c r="G748" s="2"/>
    </row>
    <row r="749">
      <c r="F749" s="3"/>
      <c r="G749" s="2"/>
    </row>
    <row r="750">
      <c r="F750" s="3"/>
      <c r="G750" s="2"/>
    </row>
    <row r="751">
      <c r="F751" s="3"/>
      <c r="G751" s="2"/>
    </row>
    <row r="752">
      <c r="F752" s="3"/>
      <c r="G752" s="2"/>
    </row>
    <row r="753">
      <c r="F753" s="3"/>
      <c r="G753" s="2"/>
    </row>
    <row r="754">
      <c r="F754" s="3"/>
      <c r="G754" s="2"/>
    </row>
    <row r="755">
      <c r="F755" s="3"/>
      <c r="G755" s="2"/>
    </row>
    <row r="756">
      <c r="F756" s="3"/>
      <c r="G756" s="2"/>
    </row>
    <row r="757">
      <c r="F757" s="3"/>
      <c r="G757" s="2"/>
    </row>
    <row r="758">
      <c r="F758" s="3"/>
      <c r="G758" s="2"/>
    </row>
    <row r="759">
      <c r="F759" s="3"/>
      <c r="G759" s="2"/>
    </row>
    <row r="760">
      <c r="F760" s="3"/>
      <c r="G760" s="2"/>
    </row>
    <row r="761">
      <c r="F761" s="3"/>
      <c r="G761" s="2"/>
    </row>
    <row r="762">
      <c r="F762" s="3"/>
      <c r="G762" s="2"/>
    </row>
    <row r="763">
      <c r="F763" s="3"/>
      <c r="G763" s="2"/>
    </row>
    <row r="764">
      <c r="F764" s="3"/>
      <c r="G764" s="2"/>
    </row>
    <row r="765">
      <c r="F765" s="3"/>
      <c r="G765" s="2"/>
    </row>
    <row r="766">
      <c r="F766" s="3"/>
      <c r="G766" s="2"/>
    </row>
    <row r="767">
      <c r="F767" s="3"/>
      <c r="G767" s="2"/>
    </row>
    <row r="768">
      <c r="F768" s="3"/>
      <c r="G768" s="2"/>
    </row>
    <row r="769">
      <c r="F769" s="3"/>
      <c r="G769" s="2"/>
    </row>
    <row r="770">
      <c r="F770" s="3"/>
      <c r="G770" s="2"/>
    </row>
    <row r="771">
      <c r="F771" s="3"/>
      <c r="G771" s="2"/>
    </row>
    <row r="772">
      <c r="F772" s="3"/>
      <c r="G772" s="2"/>
    </row>
    <row r="773">
      <c r="F773" s="3"/>
      <c r="G773" s="2"/>
    </row>
    <row r="774">
      <c r="F774" s="3"/>
      <c r="G774" s="2"/>
    </row>
    <row r="775">
      <c r="F775" s="3"/>
      <c r="G775" s="2"/>
    </row>
    <row r="776">
      <c r="F776" s="3"/>
      <c r="G776" s="2"/>
    </row>
    <row r="777">
      <c r="F777" s="3"/>
      <c r="G777" s="2"/>
    </row>
    <row r="778">
      <c r="F778" s="3"/>
      <c r="G778" s="2"/>
    </row>
    <row r="779">
      <c r="F779" s="3"/>
      <c r="G779" s="2"/>
    </row>
    <row r="780">
      <c r="F780" s="3"/>
      <c r="G780" s="2"/>
    </row>
    <row r="781">
      <c r="F781" s="3"/>
      <c r="G781" s="2"/>
    </row>
    <row r="782">
      <c r="F782" s="3"/>
      <c r="G782" s="2"/>
    </row>
    <row r="783">
      <c r="F783" s="3"/>
      <c r="G783" s="2"/>
    </row>
    <row r="784">
      <c r="F784" s="3"/>
      <c r="G784" s="2"/>
    </row>
    <row r="785">
      <c r="F785" s="3"/>
      <c r="G785" s="2"/>
    </row>
    <row r="786">
      <c r="F786" s="3"/>
      <c r="G786" s="2"/>
    </row>
    <row r="787">
      <c r="F787" s="3"/>
      <c r="G787" s="2"/>
    </row>
    <row r="788">
      <c r="F788" s="3"/>
      <c r="G788" s="2"/>
    </row>
    <row r="789">
      <c r="F789" s="3"/>
      <c r="G789" s="2"/>
    </row>
    <row r="790">
      <c r="F790" s="3"/>
      <c r="G790" s="2"/>
    </row>
    <row r="791">
      <c r="F791" s="3"/>
      <c r="G791" s="2"/>
    </row>
    <row r="792">
      <c r="F792" s="3"/>
      <c r="G792" s="2"/>
    </row>
    <row r="793">
      <c r="F793" s="3"/>
      <c r="G793" s="2"/>
    </row>
    <row r="794">
      <c r="F794" s="3"/>
      <c r="G794" s="2"/>
    </row>
    <row r="795">
      <c r="F795" s="3"/>
      <c r="G795" s="2"/>
    </row>
    <row r="796">
      <c r="F796" s="3"/>
      <c r="G796" s="2"/>
    </row>
    <row r="797">
      <c r="F797" s="3"/>
      <c r="G797" s="2"/>
    </row>
    <row r="798">
      <c r="F798" s="3"/>
      <c r="G798" s="2"/>
    </row>
    <row r="799">
      <c r="F799" s="3"/>
      <c r="G799" s="2"/>
    </row>
    <row r="800">
      <c r="F800" s="3"/>
      <c r="G800" s="2"/>
    </row>
    <row r="801">
      <c r="F801" s="3"/>
      <c r="G801" s="2"/>
    </row>
    <row r="802">
      <c r="F802" s="3"/>
      <c r="G802" s="2"/>
    </row>
    <row r="803">
      <c r="F803" s="3"/>
      <c r="G803" s="2"/>
    </row>
    <row r="804">
      <c r="F804" s="3"/>
      <c r="G804" s="2"/>
    </row>
    <row r="805">
      <c r="F805" s="3"/>
      <c r="G805" s="2"/>
    </row>
    <row r="806">
      <c r="F806" s="3"/>
      <c r="G806" s="2"/>
    </row>
    <row r="807">
      <c r="F807" s="3"/>
      <c r="G807" s="2"/>
    </row>
    <row r="808">
      <c r="F808" s="3"/>
      <c r="G808" s="2"/>
    </row>
    <row r="809">
      <c r="F809" s="3"/>
      <c r="G809" s="2"/>
    </row>
    <row r="810">
      <c r="F810" s="3"/>
      <c r="G810" s="2"/>
    </row>
    <row r="811">
      <c r="F811" s="3"/>
      <c r="G811" s="2"/>
    </row>
    <row r="812">
      <c r="F812" s="3"/>
      <c r="G812" s="2"/>
    </row>
    <row r="813">
      <c r="F813" s="3"/>
      <c r="G813" s="2"/>
    </row>
    <row r="814">
      <c r="F814" s="3"/>
      <c r="G814" s="2"/>
    </row>
    <row r="815">
      <c r="F815" s="3"/>
      <c r="G815" s="2"/>
    </row>
    <row r="816">
      <c r="F816" s="3"/>
      <c r="G816" s="2"/>
    </row>
    <row r="817">
      <c r="F817" s="3"/>
      <c r="G817" s="2"/>
    </row>
    <row r="818">
      <c r="F818" s="3"/>
      <c r="G818" s="2"/>
    </row>
    <row r="819">
      <c r="F819" s="3"/>
      <c r="G819" s="2"/>
    </row>
    <row r="820">
      <c r="F820" s="3"/>
      <c r="G820" s="2"/>
    </row>
    <row r="821">
      <c r="F821" s="3"/>
      <c r="G821" s="2"/>
    </row>
    <row r="822">
      <c r="F822" s="3"/>
      <c r="G822" s="2"/>
    </row>
    <row r="823">
      <c r="F823" s="3"/>
      <c r="G823" s="2"/>
    </row>
    <row r="824">
      <c r="F824" s="3"/>
      <c r="G824" s="2"/>
    </row>
    <row r="825">
      <c r="F825" s="3"/>
      <c r="G825" s="2"/>
    </row>
    <row r="826">
      <c r="F826" s="3"/>
      <c r="G826" s="2"/>
    </row>
    <row r="827">
      <c r="F827" s="3"/>
      <c r="G827" s="2"/>
    </row>
    <row r="828">
      <c r="F828" s="3"/>
      <c r="G828" s="2"/>
    </row>
    <row r="829">
      <c r="F829" s="3"/>
      <c r="G829" s="2"/>
    </row>
    <row r="830">
      <c r="F830" s="3"/>
      <c r="G830" s="2"/>
    </row>
    <row r="831">
      <c r="F831" s="3"/>
      <c r="G831" s="2"/>
    </row>
    <row r="832">
      <c r="F832" s="3"/>
      <c r="G832" s="2"/>
    </row>
    <row r="833">
      <c r="F833" s="3"/>
      <c r="G833" s="2"/>
    </row>
    <row r="834">
      <c r="F834" s="3"/>
      <c r="G834" s="2"/>
    </row>
    <row r="835">
      <c r="F835" s="3"/>
      <c r="G835" s="2"/>
    </row>
    <row r="836">
      <c r="F836" s="3"/>
      <c r="G836" s="2"/>
    </row>
    <row r="837">
      <c r="F837" s="3"/>
      <c r="G837" s="2"/>
    </row>
    <row r="838">
      <c r="F838" s="3"/>
      <c r="G838" s="2"/>
    </row>
    <row r="839">
      <c r="F839" s="3"/>
      <c r="G839" s="2"/>
    </row>
    <row r="840">
      <c r="F840" s="3"/>
      <c r="G840" s="2"/>
    </row>
    <row r="841">
      <c r="F841" s="3"/>
      <c r="G841" s="2"/>
    </row>
    <row r="842">
      <c r="F842" s="3"/>
      <c r="G842" s="2"/>
    </row>
    <row r="843">
      <c r="F843" s="3"/>
      <c r="G843" s="2"/>
    </row>
    <row r="844">
      <c r="F844" s="3"/>
      <c r="G844" s="2"/>
    </row>
    <row r="845">
      <c r="F845" s="3"/>
      <c r="G845" s="2"/>
    </row>
    <row r="846">
      <c r="F846" s="3"/>
      <c r="G846" s="2"/>
    </row>
    <row r="847">
      <c r="F847" s="3"/>
      <c r="G847" s="2"/>
    </row>
    <row r="848">
      <c r="F848" s="3"/>
      <c r="G848" s="2"/>
    </row>
    <row r="849">
      <c r="F849" s="3"/>
      <c r="G849" s="2"/>
    </row>
    <row r="850">
      <c r="F850" s="3"/>
      <c r="G850" s="2"/>
    </row>
    <row r="851">
      <c r="F851" s="3"/>
      <c r="G851" s="2"/>
    </row>
    <row r="852">
      <c r="F852" s="3"/>
      <c r="G852" s="2"/>
    </row>
    <row r="853">
      <c r="F853" s="3"/>
      <c r="G853" s="2"/>
    </row>
    <row r="854">
      <c r="F854" s="3"/>
      <c r="G854" s="2"/>
    </row>
    <row r="855">
      <c r="F855" s="3"/>
      <c r="G855" s="2"/>
    </row>
    <row r="856">
      <c r="F856" s="3"/>
      <c r="G856" s="2"/>
    </row>
    <row r="857">
      <c r="F857" s="3"/>
      <c r="G857" s="2"/>
    </row>
    <row r="858">
      <c r="F858" s="3"/>
      <c r="G858" s="2"/>
    </row>
    <row r="859">
      <c r="F859" s="3"/>
      <c r="G859" s="2"/>
    </row>
    <row r="860">
      <c r="F860" s="3"/>
      <c r="G860" s="2"/>
    </row>
    <row r="861">
      <c r="F861" s="3"/>
      <c r="G861" s="2"/>
    </row>
    <row r="862">
      <c r="F862" s="3"/>
      <c r="G862" s="2"/>
    </row>
    <row r="863">
      <c r="F863" s="3"/>
      <c r="G863" s="2"/>
    </row>
    <row r="864">
      <c r="F864" s="3"/>
      <c r="G864" s="2"/>
    </row>
    <row r="865">
      <c r="F865" s="3"/>
      <c r="G865" s="2"/>
    </row>
    <row r="866">
      <c r="F866" s="3"/>
      <c r="G866" s="2"/>
    </row>
    <row r="867">
      <c r="F867" s="3"/>
      <c r="G867" s="2"/>
    </row>
    <row r="868">
      <c r="F868" s="3"/>
      <c r="G868" s="2"/>
    </row>
    <row r="869">
      <c r="F869" s="3"/>
      <c r="G869" s="2"/>
    </row>
    <row r="870">
      <c r="F870" s="3"/>
      <c r="G870" s="2"/>
    </row>
    <row r="871">
      <c r="F871" s="3"/>
      <c r="G871" s="2"/>
    </row>
    <row r="872">
      <c r="F872" s="3"/>
      <c r="G872" s="2"/>
    </row>
    <row r="873">
      <c r="F873" s="3"/>
      <c r="G873" s="2"/>
    </row>
    <row r="874">
      <c r="F874" s="3"/>
      <c r="G874" s="2"/>
    </row>
    <row r="875">
      <c r="F875" s="3"/>
      <c r="G875" s="2"/>
    </row>
    <row r="876">
      <c r="F876" s="3"/>
      <c r="G876" s="2"/>
    </row>
    <row r="877">
      <c r="F877" s="3"/>
      <c r="G877" s="2"/>
    </row>
    <row r="878">
      <c r="F878" s="3"/>
      <c r="G878" s="2"/>
    </row>
    <row r="879">
      <c r="F879" s="3"/>
      <c r="G879" s="2"/>
    </row>
    <row r="880">
      <c r="F880" s="3"/>
      <c r="G880" s="2"/>
    </row>
    <row r="881">
      <c r="F881" s="3"/>
      <c r="G881" s="2"/>
    </row>
    <row r="882">
      <c r="F882" s="3"/>
      <c r="G882" s="2"/>
    </row>
    <row r="883">
      <c r="F883" s="3"/>
      <c r="G883" s="2"/>
    </row>
    <row r="884">
      <c r="F884" s="3"/>
      <c r="G884" s="2"/>
    </row>
    <row r="885">
      <c r="F885" s="3"/>
      <c r="G885" s="2"/>
    </row>
    <row r="886">
      <c r="F886" s="3"/>
      <c r="G886" s="2"/>
    </row>
    <row r="887">
      <c r="F887" s="3"/>
      <c r="G887" s="2"/>
    </row>
    <row r="888">
      <c r="F888" s="3"/>
      <c r="G888" s="2"/>
    </row>
    <row r="889">
      <c r="F889" s="3"/>
      <c r="G889" s="2"/>
    </row>
    <row r="890">
      <c r="F890" s="3"/>
      <c r="G890" s="2"/>
    </row>
    <row r="891">
      <c r="F891" s="3"/>
      <c r="G891" s="2"/>
    </row>
    <row r="892">
      <c r="F892" s="3"/>
      <c r="G892" s="2"/>
    </row>
    <row r="893">
      <c r="F893" s="3"/>
      <c r="G893" s="2"/>
    </row>
    <row r="894">
      <c r="F894" s="3"/>
      <c r="G894" s="2"/>
    </row>
    <row r="895">
      <c r="F895" s="3"/>
      <c r="G895" s="2"/>
    </row>
    <row r="896">
      <c r="F896" s="3"/>
      <c r="G896" s="2"/>
    </row>
    <row r="897">
      <c r="F897" s="3"/>
      <c r="G897" s="2"/>
    </row>
    <row r="898">
      <c r="F898" s="3"/>
      <c r="G898" s="2"/>
    </row>
    <row r="899">
      <c r="F899" s="3"/>
      <c r="G899" s="2"/>
    </row>
    <row r="900">
      <c r="F900" s="3"/>
      <c r="G900" s="2"/>
    </row>
    <row r="901">
      <c r="F901" s="3"/>
      <c r="G901" s="2"/>
    </row>
    <row r="902">
      <c r="F902" s="3"/>
      <c r="G902" s="2"/>
    </row>
    <row r="903">
      <c r="F903" s="3"/>
      <c r="G903" s="2"/>
    </row>
    <row r="904">
      <c r="F904" s="3"/>
      <c r="G904" s="2"/>
    </row>
    <row r="905">
      <c r="F905" s="3"/>
      <c r="G905" s="2"/>
    </row>
    <row r="906">
      <c r="F906" s="3"/>
      <c r="G906" s="2"/>
    </row>
    <row r="907">
      <c r="F907" s="3"/>
      <c r="G907" s="2"/>
    </row>
    <row r="908">
      <c r="F908" s="3"/>
      <c r="G908" s="2"/>
    </row>
    <row r="909">
      <c r="F909" s="3"/>
      <c r="G909" s="2"/>
    </row>
    <row r="910">
      <c r="F910" s="3"/>
      <c r="G910" s="2"/>
    </row>
    <row r="911">
      <c r="F911" s="3"/>
      <c r="G911" s="2"/>
    </row>
    <row r="912">
      <c r="F912" s="3"/>
      <c r="G912" s="2"/>
    </row>
    <row r="913">
      <c r="F913" s="3"/>
      <c r="G913" s="2"/>
    </row>
    <row r="914">
      <c r="F914" s="3"/>
      <c r="G914" s="2"/>
    </row>
    <row r="915">
      <c r="F915" s="3"/>
      <c r="G915" s="2"/>
    </row>
    <row r="916">
      <c r="F916" s="3"/>
      <c r="G916" s="2"/>
    </row>
    <row r="917">
      <c r="F917" s="3"/>
      <c r="G917" s="2"/>
    </row>
    <row r="918">
      <c r="F918" s="3"/>
      <c r="G918" s="2"/>
    </row>
    <row r="919">
      <c r="F919" s="3"/>
      <c r="G919" s="2"/>
    </row>
    <row r="920">
      <c r="F920" s="3"/>
      <c r="G920" s="2"/>
    </row>
    <row r="921">
      <c r="F921" s="3"/>
      <c r="G921" s="2"/>
    </row>
    <row r="922">
      <c r="F922" s="3"/>
      <c r="G922" s="2"/>
    </row>
    <row r="923">
      <c r="F923" s="3"/>
      <c r="G923" s="2"/>
    </row>
    <row r="924">
      <c r="F924" s="3"/>
      <c r="G924" s="2"/>
    </row>
    <row r="925">
      <c r="F925" s="3"/>
      <c r="G925" s="2"/>
    </row>
    <row r="926">
      <c r="F926" s="3"/>
      <c r="G926" s="2"/>
    </row>
    <row r="927">
      <c r="F927" s="3"/>
      <c r="G927" s="2"/>
    </row>
    <row r="928">
      <c r="F928" s="3"/>
      <c r="G928" s="2"/>
    </row>
    <row r="929">
      <c r="F929" s="3"/>
      <c r="G929" s="2"/>
    </row>
    <row r="930">
      <c r="F930" s="3"/>
      <c r="G930" s="2"/>
    </row>
    <row r="931">
      <c r="F931" s="3"/>
      <c r="G931" s="2"/>
    </row>
    <row r="932">
      <c r="F932" s="3"/>
      <c r="G932" s="2"/>
    </row>
    <row r="933">
      <c r="F933" s="3"/>
      <c r="G933" s="2"/>
    </row>
    <row r="934">
      <c r="F934" s="3"/>
      <c r="G934" s="2"/>
    </row>
    <row r="935">
      <c r="F935" s="3"/>
      <c r="G935" s="2"/>
    </row>
    <row r="936">
      <c r="F936" s="3"/>
      <c r="G936" s="2"/>
    </row>
    <row r="937">
      <c r="F937" s="3"/>
      <c r="G937" s="2"/>
    </row>
    <row r="938">
      <c r="F938" s="3"/>
      <c r="G938" s="2"/>
    </row>
    <row r="939">
      <c r="F939" s="3"/>
      <c r="G939" s="2"/>
    </row>
    <row r="940">
      <c r="F940" s="3"/>
      <c r="G940" s="2"/>
    </row>
    <row r="941">
      <c r="F941" s="3"/>
      <c r="G941" s="2"/>
    </row>
    <row r="942">
      <c r="F942" s="3"/>
      <c r="G942" s="2"/>
    </row>
    <row r="943">
      <c r="F943" s="3"/>
      <c r="G943" s="2"/>
    </row>
    <row r="944">
      <c r="F944" s="3"/>
      <c r="G944" s="2"/>
    </row>
    <row r="945">
      <c r="F945" s="3"/>
      <c r="G945" s="2"/>
    </row>
    <row r="946">
      <c r="F946" s="3"/>
      <c r="G946" s="2"/>
    </row>
    <row r="947">
      <c r="F947" s="3"/>
      <c r="G947" s="2"/>
    </row>
    <row r="948">
      <c r="F948" s="3"/>
      <c r="G948" s="2"/>
    </row>
    <row r="949">
      <c r="F949" s="3"/>
      <c r="G949" s="2"/>
    </row>
    <row r="950">
      <c r="F950" s="3"/>
      <c r="G950" s="2"/>
    </row>
    <row r="951">
      <c r="F951" s="3"/>
      <c r="G951" s="2"/>
    </row>
    <row r="952">
      <c r="F952" s="3"/>
      <c r="G952" s="2"/>
    </row>
    <row r="953">
      <c r="F953" s="3"/>
      <c r="G953" s="2"/>
    </row>
    <row r="954">
      <c r="F954" s="3"/>
      <c r="G954" s="2"/>
    </row>
    <row r="955">
      <c r="F955" s="3"/>
      <c r="G955" s="2"/>
    </row>
    <row r="956">
      <c r="F956" s="3"/>
      <c r="G956" s="2"/>
    </row>
    <row r="957">
      <c r="F957" s="3"/>
      <c r="G957" s="2"/>
    </row>
    <row r="958">
      <c r="F958" s="3"/>
      <c r="G958" s="2"/>
    </row>
    <row r="959">
      <c r="F959" s="3"/>
      <c r="G959" s="2"/>
    </row>
    <row r="960">
      <c r="F960" s="3"/>
      <c r="G960" s="2"/>
    </row>
    <row r="961">
      <c r="F961" s="3"/>
      <c r="G961" s="2"/>
    </row>
    <row r="962">
      <c r="F962" s="3"/>
      <c r="G962" s="2"/>
    </row>
    <row r="963">
      <c r="F963" s="3"/>
      <c r="G963" s="2"/>
    </row>
    <row r="964">
      <c r="F964" s="3"/>
      <c r="G964" s="2"/>
    </row>
    <row r="965">
      <c r="F965" s="3"/>
      <c r="G965" s="2"/>
    </row>
    <row r="966">
      <c r="F966" s="3"/>
      <c r="G966" s="2"/>
    </row>
    <row r="967">
      <c r="F967" s="3"/>
      <c r="G967" s="2"/>
    </row>
    <row r="968">
      <c r="F968" s="3"/>
      <c r="G968" s="2"/>
    </row>
    <row r="969">
      <c r="F969" s="3"/>
      <c r="G969" s="2"/>
    </row>
    <row r="970">
      <c r="F970" s="3"/>
      <c r="G970" s="2"/>
    </row>
    <row r="971">
      <c r="F971" s="3"/>
      <c r="G971" s="2"/>
    </row>
    <row r="972">
      <c r="F972" s="3"/>
      <c r="G972" s="2"/>
    </row>
    <row r="973">
      <c r="F973" s="3"/>
      <c r="G973" s="2"/>
    </row>
    <row r="974">
      <c r="F974" s="3"/>
      <c r="G974" s="2"/>
    </row>
    <row r="975">
      <c r="F975" s="3"/>
      <c r="G975" s="2"/>
    </row>
    <row r="976">
      <c r="F976" s="3"/>
      <c r="G976" s="2"/>
    </row>
    <row r="977">
      <c r="F977" s="3"/>
      <c r="G977" s="2"/>
    </row>
    <row r="978">
      <c r="F978" s="3"/>
      <c r="G978" s="2"/>
    </row>
    <row r="979">
      <c r="F979" s="3"/>
      <c r="G979" s="2"/>
    </row>
    <row r="980">
      <c r="F980" s="3"/>
      <c r="G980" s="2"/>
    </row>
    <row r="981">
      <c r="F981" s="3"/>
      <c r="G981" s="2"/>
    </row>
    <row r="982">
      <c r="F982" s="3"/>
      <c r="G982" s="2"/>
    </row>
    <row r="983">
      <c r="F983" s="3"/>
      <c r="G983" s="2"/>
    </row>
    <row r="984">
      <c r="F984" s="3"/>
      <c r="G984" s="2"/>
    </row>
    <row r="985">
      <c r="F985" s="3"/>
      <c r="G985" s="2"/>
    </row>
    <row r="986">
      <c r="F986" s="3"/>
      <c r="G986" s="2"/>
    </row>
    <row r="987">
      <c r="F987" s="3"/>
      <c r="G987" s="2"/>
    </row>
    <row r="988">
      <c r="F988" s="3"/>
      <c r="G988" s="2"/>
    </row>
    <row r="989">
      <c r="F989" s="3"/>
      <c r="G989" s="2"/>
    </row>
    <row r="990">
      <c r="F990" s="3"/>
      <c r="G990" s="2"/>
    </row>
    <row r="991">
      <c r="F991" s="3"/>
      <c r="G991" s="2"/>
    </row>
    <row r="992">
      <c r="F992" s="3"/>
      <c r="G992" s="2"/>
    </row>
    <row r="993">
      <c r="F993" s="3"/>
      <c r="G993" s="2"/>
    </row>
    <row r="994">
      <c r="F994" s="3"/>
      <c r="G994" s="2"/>
    </row>
    <row r="995">
      <c r="F995" s="3"/>
      <c r="G995" s="2"/>
    </row>
    <row r="996">
      <c r="F996" s="3"/>
      <c r="G996" s="2"/>
    </row>
    <row r="997">
      <c r="F997" s="3"/>
      <c r="G997" s="2"/>
    </row>
    <row r="998">
      <c r="F998" s="3"/>
      <c r="G998" s="2"/>
    </row>
    <row r="999">
      <c r="F999" s="3"/>
      <c r="G999" s="2"/>
    </row>
    <row r="1000">
      <c r="F1000" s="3"/>
      <c r="G1000" s="2"/>
    </row>
  </sheetData>
  <dataValidations>
    <dataValidation type="list" allowBlank="1" sqref="F2:F1000">
      <formula1>Settings!$C$2:$C1000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25"/>
    <col customWidth="1" min="2" max="2" width="22.13"/>
    <col customWidth="1" min="3" max="3" width="15.88"/>
    <col customWidth="1" min="4" max="4" width="16.38"/>
    <col customWidth="1" min="5" max="5" width="17.5"/>
    <col customWidth="1" min="6" max="6" width="16.0"/>
    <col customWidth="1" min="7" max="8" width="15.38"/>
    <col customWidth="1" min="9" max="9" width="17.63"/>
    <col customWidth="1" min="10" max="10" width="22.25"/>
    <col customWidth="1" min="11" max="11" width="26.38"/>
  </cols>
  <sheetData>
    <row r="1">
      <c r="A1" s="1" t="s">
        <v>135</v>
      </c>
      <c r="B1" s="1" t="s">
        <v>136</v>
      </c>
      <c r="C1" s="1" t="s">
        <v>12</v>
      </c>
      <c r="D1" s="1" t="s">
        <v>17</v>
      </c>
      <c r="E1" s="1" t="s">
        <v>137</v>
      </c>
      <c r="F1" s="1" t="s">
        <v>138</v>
      </c>
      <c r="G1" s="1" t="s">
        <v>139</v>
      </c>
      <c r="H1" s="1" t="s">
        <v>90</v>
      </c>
      <c r="I1" s="1" t="s">
        <v>140</v>
      </c>
      <c r="J1" s="1" t="s">
        <v>141</v>
      </c>
      <c r="K1" s="1" t="s">
        <v>142</v>
      </c>
    </row>
    <row r="2">
      <c r="B2" s="22" t="s">
        <v>44</v>
      </c>
      <c r="C2" s="22" t="s">
        <v>43</v>
      </c>
      <c r="D2" s="22" t="s">
        <v>24</v>
      </c>
      <c r="G2" s="2"/>
      <c r="H2" s="30">
        <v>45000.0</v>
      </c>
      <c r="I2" s="2"/>
      <c r="J2" s="2"/>
      <c r="K2" s="22" t="s">
        <v>143</v>
      </c>
    </row>
    <row r="3">
      <c r="B3" s="22" t="s">
        <v>54</v>
      </c>
      <c r="C3" s="22" t="s">
        <v>52</v>
      </c>
      <c r="D3" s="22" t="s">
        <v>24</v>
      </c>
      <c r="G3" s="2"/>
      <c r="H3" s="31" t="s">
        <v>144</v>
      </c>
      <c r="I3" s="2"/>
      <c r="J3" s="2"/>
      <c r="K3" s="22" t="s">
        <v>143</v>
      </c>
    </row>
    <row r="4">
      <c r="B4" s="22" t="s">
        <v>68</v>
      </c>
      <c r="C4" s="22" t="s">
        <v>22</v>
      </c>
      <c r="D4" s="22" t="s">
        <v>94</v>
      </c>
      <c r="G4" s="2"/>
      <c r="H4" s="2"/>
      <c r="I4" s="2"/>
      <c r="J4" s="2"/>
      <c r="K4" s="22" t="s">
        <v>143</v>
      </c>
    </row>
    <row r="5">
      <c r="B5" s="22" t="s">
        <v>79</v>
      </c>
      <c r="C5" s="22" t="s">
        <v>78</v>
      </c>
      <c r="D5" s="22" t="s">
        <v>94</v>
      </c>
      <c r="G5" s="2"/>
      <c r="H5" s="2"/>
      <c r="I5" s="2"/>
      <c r="J5" s="2"/>
      <c r="K5" s="22" t="s">
        <v>143</v>
      </c>
    </row>
    <row r="6">
      <c r="B6" s="22" t="s">
        <v>89</v>
      </c>
      <c r="C6" s="22" t="s">
        <v>84</v>
      </c>
      <c r="D6" s="22" t="s">
        <v>94</v>
      </c>
      <c r="G6" s="2"/>
      <c r="H6" s="2"/>
      <c r="I6" s="2"/>
      <c r="J6" s="2"/>
      <c r="K6" s="3"/>
    </row>
    <row r="7">
      <c r="C7" s="3"/>
      <c r="D7" s="3"/>
      <c r="G7" s="2"/>
      <c r="H7" s="2"/>
      <c r="I7" s="2"/>
      <c r="J7" s="2"/>
      <c r="K7" s="3"/>
    </row>
    <row r="8">
      <c r="C8" s="3"/>
      <c r="D8" s="3"/>
      <c r="G8" s="2"/>
      <c r="H8" s="2"/>
      <c r="I8" s="2"/>
      <c r="J8" s="2"/>
      <c r="K8" s="3"/>
    </row>
    <row r="9">
      <c r="C9" s="3"/>
      <c r="D9" s="3"/>
      <c r="G9" s="2"/>
      <c r="H9" s="2"/>
      <c r="I9" s="2"/>
      <c r="J9" s="2"/>
      <c r="K9" s="3"/>
    </row>
    <row r="10">
      <c r="C10" s="3"/>
      <c r="D10" s="3"/>
      <c r="G10" s="2"/>
      <c r="H10" s="2"/>
      <c r="I10" s="2"/>
      <c r="J10" s="2"/>
      <c r="K10" s="3"/>
    </row>
    <row r="11">
      <c r="C11" s="3"/>
      <c r="D11" s="3"/>
      <c r="G11" s="2"/>
      <c r="H11" s="2"/>
      <c r="I11" s="2"/>
      <c r="J11" s="2"/>
      <c r="K11" s="3"/>
    </row>
    <row r="12">
      <c r="C12" s="3"/>
      <c r="D12" s="3"/>
      <c r="G12" s="2"/>
      <c r="H12" s="2"/>
      <c r="I12" s="2"/>
      <c r="J12" s="2"/>
      <c r="K12" s="3"/>
    </row>
    <row r="13">
      <c r="C13" s="3"/>
      <c r="D13" s="3"/>
      <c r="G13" s="2"/>
      <c r="H13" s="2"/>
      <c r="I13" s="2"/>
      <c r="J13" s="2"/>
      <c r="K13" s="3"/>
    </row>
    <row r="14">
      <c r="C14" s="3"/>
      <c r="D14" s="3"/>
      <c r="G14" s="2"/>
      <c r="H14" s="2"/>
      <c r="I14" s="2"/>
      <c r="J14" s="2"/>
      <c r="K14" s="3"/>
    </row>
    <row r="15">
      <c r="C15" s="3"/>
      <c r="D15" s="3"/>
      <c r="G15" s="2"/>
      <c r="H15" s="2"/>
      <c r="I15" s="2"/>
      <c r="J15" s="2"/>
      <c r="K15" s="3"/>
    </row>
    <row r="16">
      <c r="C16" s="3"/>
      <c r="D16" s="3"/>
      <c r="G16" s="2"/>
      <c r="H16" s="2"/>
      <c r="I16" s="2"/>
      <c r="J16" s="2"/>
      <c r="K16" s="3"/>
    </row>
    <row r="17">
      <c r="C17" s="3"/>
      <c r="D17" s="3"/>
      <c r="G17" s="2"/>
      <c r="H17" s="2"/>
      <c r="I17" s="2"/>
      <c r="J17" s="2"/>
      <c r="K17" s="3"/>
    </row>
    <row r="18">
      <c r="C18" s="3"/>
      <c r="D18" s="3"/>
      <c r="G18" s="2"/>
      <c r="H18" s="2"/>
      <c r="I18" s="2"/>
      <c r="J18" s="2"/>
      <c r="K18" s="3"/>
    </row>
    <row r="19">
      <c r="C19" s="3"/>
      <c r="D19" s="3"/>
      <c r="G19" s="2"/>
      <c r="H19" s="2"/>
      <c r="I19" s="2"/>
      <c r="J19" s="2"/>
      <c r="K19" s="3"/>
    </row>
    <row r="20">
      <c r="C20" s="3"/>
      <c r="D20" s="3"/>
      <c r="G20" s="2"/>
      <c r="H20" s="2"/>
      <c r="I20" s="2"/>
      <c r="J20" s="2"/>
      <c r="K20" s="3"/>
    </row>
    <row r="21">
      <c r="C21" s="3"/>
      <c r="D21" s="3"/>
      <c r="G21" s="2"/>
      <c r="H21" s="2"/>
      <c r="I21" s="2"/>
      <c r="J21" s="2"/>
      <c r="K21" s="3"/>
    </row>
    <row r="22">
      <c r="C22" s="3"/>
      <c r="D22" s="3"/>
      <c r="G22" s="2"/>
      <c r="H22" s="2"/>
      <c r="I22" s="2"/>
      <c r="J22" s="2"/>
      <c r="K22" s="3"/>
    </row>
    <row r="23">
      <c r="C23" s="3"/>
      <c r="D23" s="3"/>
      <c r="G23" s="2"/>
      <c r="H23" s="2"/>
      <c r="I23" s="2"/>
      <c r="J23" s="2"/>
      <c r="K23" s="3"/>
    </row>
    <row r="24">
      <c r="C24" s="3"/>
      <c r="D24" s="3"/>
      <c r="G24" s="2"/>
      <c r="H24" s="2"/>
      <c r="I24" s="2"/>
      <c r="J24" s="2"/>
      <c r="K24" s="3"/>
    </row>
    <row r="25">
      <c r="C25" s="3"/>
      <c r="D25" s="3"/>
      <c r="G25" s="2"/>
      <c r="H25" s="2"/>
      <c r="I25" s="2"/>
      <c r="J25" s="2"/>
      <c r="K25" s="3"/>
    </row>
    <row r="26">
      <c r="C26" s="3"/>
      <c r="D26" s="3"/>
      <c r="G26" s="2"/>
      <c r="H26" s="2"/>
      <c r="I26" s="2"/>
      <c r="J26" s="2"/>
      <c r="K26" s="3"/>
    </row>
    <row r="27">
      <c r="C27" s="3"/>
      <c r="D27" s="3"/>
      <c r="G27" s="2"/>
      <c r="H27" s="2"/>
      <c r="I27" s="2"/>
      <c r="J27" s="2"/>
      <c r="K27" s="3"/>
    </row>
    <row r="28">
      <c r="C28" s="3"/>
      <c r="D28" s="3"/>
      <c r="G28" s="2"/>
      <c r="H28" s="2"/>
      <c r="I28" s="2"/>
      <c r="J28" s="2"/>
      <c r="K28" s="3"/>
    </row>
    <row r="29">
      <c r="C29" s="3"/>
      <c r="D29" s="3"/>
      <c r="G29" s="2"/>
      <c r="H29" s="2"/>
      <c r="I29" s="2"/>
      <c r="J29" s="2"/>
      <c r="K29" s="3"/>
    </row>
    <row r="30">
      <c r="C30" s="3"/>
      <c r="D30" s="3"/>
      <c r="G30" s="2"/>
      <c r="H30" s="2"/>
      <c r="I30" s="2"/>
      <c r="J30" s="2"/>
      <c r="K30" s="3"/>
    </row>
    <row r="31">
      <c r="C31" s="3"/>
      <c r="D31" s="3"/>
      <c r="G31" s="2"/>
      <c r="H31" s="2"/>
      <c r="I31" s="2"/>
      <c r="J31" s="2"/>
      <c r="K31" s="3"/>
    </row>
    <row r="32">
      <c r="C32" s="3"/>
      <c r="D32" s="3"/>
      <c r="G32" s="2"/>
      <c r="H32" s="2"/>
      <c r="I32" s="2"/>
      <c r="J32" s="2"/>
      <c r="K32" s="3"/>
    </row>
    <row r="33">
      <c r="C33" s="3"/>
      <c r="D33" s="3"/>
      <c r="G33" s="2"/>
      <c r="H33" s="2"/>
      <c r="I33" s="2"/>
      <c r="J33" s="2"/>
      <c r="K33" s="3"/>
    </row>
    <row r="34">
      <c r="C34" s="3"/>
      <c r="D34" s="3"/>
      <c r="G34" s="2"/>
      <c r="H34" s="2"/>
      <c r="I34" s="2"/>
      <c r="J34" s="2"/>
      <c r="K34" s="3"/>
    </row>
    <row r="35">
      <c r="C35" s="3"/>
      <c r="D35" s="3"/>
      <c r="G35" s="2"/>
      <c r="H35" s="2"/>
      <c r="I35" s="2"/>
      <c r="J35" s="2"/>
      <c r="K35" s="3"/>
    </row>
    <row r="36">
      <c r="C36" s="3"/>
      <c r="D36" s="3"/>
      <c r="G36" s="2"/>
      <c r="H36" s="2"/>
      <c r="I36" s="2"/>
      <c r="J36" s="2"/>
      <c r="K36" s="3"/>
    </row>
    <row r="37">
      <c r="C37" s="3"/>
      <c r="D37" s="3"/>
      <c r="G37" s="2"/>
      <c r="H37" s="2"/>
      <c r="I37" s="2"/>
      <c r="J37" s="2"/>
      <c r="K37" s="3"/>
    </row>
    <row r="38">
      <c r="C38" s="3"/>
      <c r="D38" s="3"/>
      <c r="G38" s="2"/>
      <c r="H38" s="2"/>
      <c r="I38" s="2"/>
      <c r="J38" s="2"/>
      <c r="K38" s="3"/>
    </row>
    <row r="39">
      <c r="C39" s="3"/>
      <c r="D39" s="3"/>
      <c r="G39" s="2"/>
      <c r="H39" s="2"/>
      <c r="I39" s="2"/>
      <c r="J39" s="2"/>
      <c r="K39" s="3"/>
    </row>
    <row r="40">
      <c r="C40" s="3"/>
      <c r="D40" s="3"/>
      <c r="G40" s="2"/>
      <c r="H40" s="2"/>
      <c r="I40" s="2"/>
      <c r="J40" s="2"/>
      <c r="K40" s="3"/>
    </row>
    <row r="41">
      <c r="C41" s="3"/>
      <c r="D41" s="3"/>
      <c r="G41" s="2"/>
      <c r="H41" s="2"/>
      <c r="I41" s="2"/>
      <c r="J41" s="2"/>
      <c r="K41" s="3"/>
    </row>
    <row r="42">
      <c r="C42" s="3"/>
      <c r="D42" s="3"/>
      <c r="G42" s="2"/>
      <c r="H42" s="2"/>
      <c r="I42" s="2"/>
      <c r="J42" s="2"/>
      <c r="K42" s="3"/>
    </row>
    <row r="43">
      <c r="C43" s="3"/>
      <c r="D43" s="3"/>
      <c r="G43" s="2"/>
      <c r="H43" s="2"/>
      <c r="I43" s="2"/>
      <c r="J43" s="2"/>
      <c r="K43" s="3"/>
    </row>
    <row r="44">
      <c r="C44" s="3"/>
      <c r="D44" s="3"/>
      <c r="G44" s="2"/>
      <c r="H44" s="2"/>
      <c r="I44" s="2"/>
      <c r="J44" s="2"/>
      <c r="K44" s="3"/>
    </row>
    <row r="45">
      <c r="C45" s="3"/>
      <c r="D45" s="3"/>
      <c r="G45" s="2"/>
      <c r="H45" s="2"/>
      <c r="I45" s="2"/>
      <c r="J45" s="2"/>
      <c r="K45" s="3"/>
    </row>
    <row r="46">
      <c r="C46" s="3"/>
      <c r="D46" s="3"/>
      <c r="G46" s="2"/>
      <c r="H46" s="2"/>
      <c r="I46" s="2"/>
      <c r="J46" s="2"/>
      <c r="K46" s="3"/>
    </row>
    <row r="47">
      <c r="C47" s="3"/>
      <c r="D47" s="3"/>
      <c r="G47" s="2"/>
      <c r="H47" s="2"/>
      <c r="I47" s="2"/>
      <c r="J47" s="2"/>
      <c r="K47" s="3"/>
    </row>
    <row r="48">
      <c r="C48" s="3"/>
      <c r="D48" s="3"/>
      <c r="G48" s="2"/>
      <c r="H48" s="2"/>
      <c r="I48" s="2"/>
      <c r="J48" s="2"/>
      <c r="K48" s="3"/>
    </row>
    <row r="49">
      <c r="C49" s="3"/>
      <c r="D49" s="3"/>
      <c r="G49" s="2"/>
      <c r="H49" s="2"/>
      <c r="I49" s="2"/>
      <c r="J49" s="2"/>
      <c r="K49" s="3"/>
    </row>
    <row r="50">
      <c r="C50" s="3"/>
      <c r="D50" s="3"/>
      <c r="G50" s="2"/>
      <c r="H50" s="2"/>
      <c r="I50" s="2"/>
      <c r="J50" s="2"/>
      <c r="K50" s="3"/>
    </row>
    <row r="51">
      <c r="C51" s="3"/>
      <c r="D51" s="3"/>
      <c r="G51" s="2"/>
      <c r="H51" s="2"/>
      <c r="I51" s="2"/>
      <c r="J51" s="2"/>
      <c r="K51" s="3"/>
    </row>
    <row r="52">
      <c r="C52" s="3"/>
      <c r="D52" s="3"/>
      <c r="G52" s="2"/>
      <c r="H52" s="2"/>
      <c r="I52" s="2"/>
      <c r="J52" s="2"/>
      <c r="K52" s="3"/>
    </row>
    <row r="53">
      <c r="C53" s="3"/>
      <c r="D53" s="3"/>
      <c r="G53" s="2"/>
      <c r="H53" s="2"/>
      <c r="I53" s="2"/>
      <c r="J53" s="2"/>
      <c r="K53" s="3"/>
    </row>
    <row r="54">
      <c r="C54" s="3"/>
      <c r="D54" s="3"/>
      <c r="G54" s="2"/>
      <c r="H54" s="2"/>
      <c r="I54" s="2"/>
      <c r="J54" s="2"/>
      <c r="K54" s="3"/>
    </row>
    <row r="55">
      <c r="C55" s="3"/>
      <c r="D55" s="3"/>
      <c r="G55" s="2"/>
      <c r="H55" s="2"/>
      <c r="I55" s="2"/>
      <c r="J55" s="2"/>
      <c r="K55" s="3"/>
    </row>
    <row r="56">
      <c r="C56" s="3"/>
      <c r="D56" s="3"/>
      <c r="G56" s="2"/>
      <c r="H56" s="2"/>
      <c r="I56" s="2"/>
      <c r="J56" s="2"/>
      <c r="K56" s="3"/>
    </row>
    <row r="57">
      <c r="C57" s="3"/>
      <c r="D57" s="3"/>
      <c r="G57" s="2"/>
      <c r="H57" s="2"/>
      <c r="I57" s="2"/>
      <c r="J57" s="2"/>
      <c r="K57" s="3"/>
    </row>
    <row r="58">
      <c r="C58" s="3"/>
      <c r="D58" s="3"/>
      <c r="G58" s="2"/>
      <c r="H58" s="2"/>
      <c r="I58" s="2"/>
      <c r="J58" s="2"/>
      <c r="K58" s="3"/>
    </row>
    <row r="59">
      <c r="C59" s="3"/>
      <c r="D59" s="3"/>
      <c r="G59" s="2"/>
      <c r="H59" s="2"/>
      <c r="I59" s="2"/>
      <c r="J59" s="2"/>
      <c r="K59" s="3"/>
    </row>
    <row r="60">
      <c r="C60" s="3"/>
      <c r="D60" s="3"/>
      <c r="G60" s="2"/>
      <c r="H60" s="2"/>
      <c r="I60" s="2"/>
      <c r="J60" s="2"/>
      <c r="K60" s="3"/>
    </row>
    <row r="61">
      <c r="C61" s="3"/>
      <c r="D61" s="3"/>
      <c r="G61" s="2"/>
      <c r="H61" s="2"/>
      <c r="I61" s="2"/>
      <c r="J61" s="2"/>
      <c r="K61" s="3"/>
    </row>
    <row r="62">
      <c r="C62" s="3"/>
      <c r="D62" s="3"/>
      <c r="G62" s="2"/>
      <c r="H62" s="2"/>
      <c r="I62" s="2"/>
      <c r="J62" s="2"/>
      <c r="K62" s="3"/>
    </row>
    <row r="63">
      <c r="C63" s="3"/>
      <c r="D63" s="3"/>
      <c r="G63" s="2"/>
      <c r="H63" s="2"/>
      <c r="I63" s="2"/>
      <c r="J63" s="2"/>
      <c r="K63" s="3"/>
    </row>
    <row r="64">
      <c r="C64" s="3"/>
      <c r="D64" s="3"/>
      <c r="G64" s="2"/>
      <c r="H64" s="2"/>
      <c r="I64" s="2"/>
      <c r="J64" s="2"/>
      <c r="K64" s="3"/>
    </row>
    <row r="65">
      <c r="C65" s="3"/>
      <c r="D65" s="3"/>
      <c r="G65" s="2"/>
      <c r="H65" s="2"/>
      <c r="I65" s="2"/>
      <c r="J65" s="2"/>
      <c r="K65" s="3"/>
    </row>
    <row r="66">
      <c r="C66" s="3"/>
      <c r="D66" s="3"/>
      <c r="G66" s="2"/>
      <c r="H66" s="2"/>
      <c r="I66" s="2"/>
      <c r="J66" s="2"/>
      <c r="K66" s="3"/>
    </row>
    <row r="67">
      <c r="C67" s="3"/>
      <c r="D67" s="3"/>
      <c r="G67" s="2"/>
      <c r="H67" s="2"/>
      <c r="I67" s="2"/>
      <c r="J67" s="2"/>
      <c r="K67" s="3"/>
    </row>
    <row r="68">
      <c r="C68" s="3"/>
      <c r="D68" s="3"/>
      <c r="G68" s="2"/>
      <c r="H68" s="2"/>
      <c r="I68" s="2"/>
      <c r="J68" s="2"/>
      <c r="K68" s="3"/>
    </row>
    <row r="69">
      <c r="C69" s="3"/>
      <c r="D69" s="3"/>
      <c r="G69" s="2"/>
      <c r="H69" s="2"/>
      <c r="I69" s="2"/>
      <c r="J69" s="2"/>
      <c r="K69" s="3"/>
    </row>
    <row r="70">
      <c r="C70" s="3"/>
      <c r="D70" s="3"/>
      <c r="G70" s="2"/>
      <c r="H70" s="2"/>
      <c r="I70" s="2"/>
      <c r="J70" s="2"/>
      <c r="K70" s="3"/>
    </row>
    <row r="71">
      <c r="C71" s="3"/>
      <c r="D71" s="3"/>
      <c r="G71" s="2"/>
      <c r="H71" s="2"/>
      <c r="I71" s="2"/>
      <c r="J71" s="2"/>
      <c r="K71" s="3"/>
    </row>
    <row r="72">
      <c r="C72" s="3"/>
      <c r="D72" s="3"/>
      <c r="G72" s="2"/>
      <c r="H72" s="2"/>
      <c r="I72" s="2"/>
      <c r="J72" s="2"/>
      <c r="K72" s="3"/>
    </row>
    <row r="73">
      <c r="C73" s="3"/>
      <c r="D73" s="3"/>
      <c r="G73" s="2"/>
      <c r="H73" s="2"/>
      <c r="I73" s="2"/>
      <c r="J73" s="2"/>
      <c r="K73" s="3"/>
    </row>
    <row r="74">
      <c r="C74" s="3"/>
      <c r="D74" s="3"/>
      <c r="G74" s="2"/>
      <c r="H74" s="2"/>
      <c r="I74" s="2"/>
      <c r="J74" s="2"/>
      <c r="K74" s="3"/>
    </row>
    <row r="75">
      <c r="C75" s="3"/>
      <c r="D75" s="3"/>
      <c r="G75" s="2"/>
      <c r="H75" s="2"/>
      <c r="I75" s="2"/>
      <c r="J75" s="2"/>
      <c r="K75" s="3"/>
    </row>
    <row r="76">
      <c r="C76" s="3"/>
      <c r="D76" s="3"/>
      <c r="G76" s="2"/>
      <c r="H76" s="2"/>
      <c r="I76" s="2"/>
      <c r="J76" s="2"/>
      <c r="K76" s="3"/>
    </row>
    <row r="77">
      <c r="C77" s="3"/>
      <c r="D77" s="3"/>
      <c r="G77" s="2"/>
      <c r="H77" s="2"/>
      <c r="I77" s="2"/>
      <c r="J77" s="2"/>
      <c r="K77" s="3"/>
    </row>
    <row r="78">
      <c r="C78" s="3"/>
      <c r="D78" s="3"/>
      <c r="G78" s="2"/>
      <c r="H78" s="2"/>
      <c r="I78" s="2"/>
      <c r="J78" s="2"/>
      <c r="K78" s="3"/>
    </row>
    <row r="79">
      <c r="C79" s="3"/>
      <c r="D79" s="3"/>
      <c r="G79" s="2"/>
      <c r="H79" s="2"/>
      <c r="I79" s="2"/>
      <c r="J79" s="2"/>
      <c r="K79" s="3"/>
    </row>
    <row r="80">
      <c r="C80" s="3"/>
      <c r="D80" s="3"/>
      <c r="G80" s="2"/>
      <c r="H80" s="2"/>
      <c r="I80" s="2"/>
      <c r="J80" s="2"/>
      <c r="K80" s="3"/>
    </row>
    <row r="81">
      <c r="C81" s="3"/>
      <c r="D81" s="3"/>
      <c r="G81" s="2"/>
      <c r="H81" s="2"/>
      <c r="I81" s="2"/>
      <c r="J81" s="2"/>
      <c r="K81" s="3"/>
    </row>
    <row r="82">
      <c r="C82" s="3"/>
      <c r="D82" s="3"/>
      <c r="G82" s="2"/>
      <c r="H82" s="2"/>
      <c r="I82" s="2"/>
      <c r="J82" s="2"/>
      <c r="K82" s="3"/>
    </row>
    <row r="83">
      <c r="C83" s="3"/>
      <c r="D83" s="3"/>
      <c r="G83" s="2"/>
      <c r="H83" s="2"/>
      <c r="I83" s="2"/>
      <c r="J83" s="2"/>
      <c r="K83" s="3"/>
    </row>
    <row r="84">
      <c r="C84" s="3"/>
      <c r="D84" s="3"/>
      <c r="G84" s="2"/>
      <c r="H84" s="2"/>
      <c r="I84" s="2"/>
      <c r="J84" s="2"/>
      <c r="K84" s="3"/>
    </row>
    <row r="85">
      <c r="C85" s="3"/>
      <c r="D85" s="3"/>
      <c r="G85" s="2"/>
      <c r="H85" s="2"/>
      <c r="I85" s="2"/>
      <c r="J85" s="2"/>
      <c r="K85" s="3"/>
    </row>
    <row r="86">
      <c r="C86" s="3"/>
      <c r="D86" s="3"/>
      <c r="G86" s="2"/>
      <c r="H86" s="2"/>
      <c r="I86" s="2"/>
      <c r="J86" s="2"/>
      <c r="K86" s="3"/>
    </row>
    <row r="87">
      <c r="C87" s="3"/>
      <c r="D87" s="3"/>
      <c r="G87" s="2"/>
      <c r="H87" s="2"/>
      <c r="I87" s="2"/>
      <c r="J87" s="2"/>
      <c r="K87" s="3"/>
    </row>
    <row r="88">
      <c r="C88" s="3"/>
      <c r="D88" s="3"/>
      <c r="G88" s="2"/>
      <c r="H88" s="2"/>
      <c r="I88" s="2"/>
      <c r="J88" s="2"/>
      <c r="K88" s="3"/>
    </row>
    <row r="89">
      <c r="C89" s="3"/>
      <c r="D89" s="3"/>
      <c r="G89" s="2"/>
      <c r="H89" s="2"/>
      <c r="I89" s="2"/>
      <c r="J89" s="2"/>
      <c r="K89" s="3"/>
    </row>
    <row r="90">
      <c r="C90" s="3"/>
      <c r="D90" s="3"/>
      <c r="G90" s="2"/>
      <c r="H90" s="2"/>
      <c r="I90" s="2"/>
      <c r="J90" s="2"/>
      <c r="K90" s="3"/>
    </row>
    <row r="91">
      <c r="C91" s="3"/>
      <c r="D91" s="3"/>
      <c r="G91" s="2"/>
      <c r="H91" s="2"/>
      <c r="I91" s="2"/>
      <c r="J91" s="2"/>
      <c r="K91" s="3"/>
    </row>
    <row r="92">
      <c r="C92" s="3"/>
      <c r="D92" s="3"/>
      <c r="G92" s="2"/>
      <c r="H92" s="2"/>
      <c r="I92" s="2"/>
      <c r="J92" s="2"/>
      <c r="K92" s="3"/>
    </row>
    <row r="93">
      <c r="C93" s="3"/>
      <c r="D93" s="3"/>
      <c r="G93" s="2"/>
      <c r="H93" s="2"/>
      <c r="I93" s="2"/>
      <c r="J93" s="2"/>
      <c r="K93" s="3"/>
    </row>
    <row r="94">
      <c r="C94" s="3"/>
      <c r="D94" s="3"/>
      <c r="G94" s="2"/>
      <c r="H94" s="2"/>
      <c r="I94" s="2"/>
      <c r="J94" s="2"/>
      <c r="K94" s="3"/>
    </row>
    <row r="95">
      <c r="C95" s="3"/>
      <c r="D95" s="3"/>
      <c r="G95" s="2"/>
      <c r="H95" s="2"/>
      <c r="I95" s="2"/>
      <c r="J95" s="2"/>
      <c r="K95" s="3"/>
    </row>
    <row r="96">
      <c r="C96" s="3"/>
      <c r="D96" s="3"/>
      <c r="G96" s="2"/>
      <c r="H96" s="2"/>
      <c r="I96" s="2"/>
      <c r="J96" s="2"/>
      <c r="K96" s="3"/>
    </row>
    <row r="97">
      <c r="C97" s="3"/>
      <c r="D97" s="3"/>
      <c r="G97" s="2"/>
      <c r="H97" s="2"/>
      <c r="I97" s="2"/>
      <c r="J97" s="2"/>
      <c r="K97" s="3"/>
    </row>
    <row r="98">
      <c r="C98" s="3"/>
      <c r="D98" s="3"/>
      <c r="G98" s="2"/>
      <c r="H98" s="2"/>
      <c r="I98" s="2"/>
      <c r="J98" s="2"/>
      <c r="K98" s="3"/>
    </row>
    <row r="99">
      <c r="C99" s="3"/>
      <c r="D99" s="3"/>
      <c r="G99" s="2"/>
      <c r="H99" s="2"/>
      <c r="I99" s="2"/>
      <c r="J99" s="2"/>
      <c r="K99" s="3"/>
    </row>
    <row r="100">
      <c r="C100" s="3"/>
      <c r="D100" s="3"/>
      <c r="G100" s="2"/>
      <c r="H100" s="2"/>
      <c r="I100" s="2"/>
      <c r="J100" s="2"/>
      <c r="K100" s="3"/>
    </row>
    <row r="101">
      <c r="C101" s="3"/>
      <c r="D101" s="3"/>
      <c r="G101" s="2"/>
      <c r="H101" s="2"/>
      <c r="I101" s="2"/>
      <c r="J101" s="2"/>
      <c r="K101" s="3"/>
    </row>
    <row r="102">
      <c r="C102" s="3"/>
      <c r="D102" s="3"/>
      <c r="G102" s="2"/>
      <c r="H102" s="2"/>
      <c r="I102" s="2"/>
      <c r="J102" s="2"/>
      <c r="K102" s="3"/>
    </row>
    <row r="103">
      <c r="C103" s="3"/>
      <c r="D103" s="3"/>
      <c r="G103" s="2"/>
      <c r="H103" s="2"/>
      <c r="I103" s="2"/>
      <c r="J103" s="2"/>
      <c r="K103" s="3"/>
    </row>
    <row r="104">
      <c r="C104" s="3"/>
      <c r="D104" s="3"/>
      <c r="G104" s="2"/>
      <c r="H104" s="2"/>
      <c r="I104" s="2"/>
      <c r="J104" s="2"/>
      <c r="K104" s="3"/>
    </row>
    <row r="105">
      <c r="C105" s="3"/>
      <c r="D105" s="3"/>
      <c r="G105" s="2"/>
      <c r="H105" s="2"/>
      <c r="I105" s="2"/>
      <c r="J105" s="2"/>
      <c r="K105" s="3"/>
    </row>
    <row r="106">
      <c r="C106" s="3"/>
      <c r="D106" s="3"/>
      <c r="G106" s="2"/>
      <c r="H106" s="2"/>
      <c r="I106" s="2"/>
      <c r="J106" s="2"/>
      <c r="K106" s="3"/>
    </row>
    <row r="107">
      <c r="C107" s="3"/>
      <c r="D107" s="3"/>
      <c r="G107" s="2"/>
      <c r="H107" s="2"/>
      <c r="I107" s="2"/>
      <c r="J107" s="2"/>
      <c r="K107" s="3"/>
    </row>
    <row r="108">
      <c r="C108" s="3"/>
      <c r="D108" s="3"/>
      <c r="G108" s="2"/>
      <c r="H108" s="2"/>
      <c r="I108" s="2"/>
      <c r="J108" s="2"/>
      <c r="K108" s="3"/>
    </row>
    <row r="109">
      <c r="C109" s="3"/>
      <c r="D109" s="3"/>
      <c r="G109" s="2"/>
      <c r="H109" s="2"/>
      <c r="I109" s="2"/>
      <c r="J109" s="2"/>
      <c r="K109" s="3"/>
    </row>
    <row r="110">
      <c r="C110" s="3"/>
      <c r="D110" s="3"/>
      <c r="G110" s="2"/>
      <c r="H110" s="2"/>
      <c r="I110" s="2"/>
      <c r="J110" s="2"/>
      <c r="K110" s="3"/>
    </row>
    <row r="111">
      <c r="C111" s="3"/>
      <c r="D111" s="3"/>
      <c r="G111" s="2"/>
      <c r="H111" s="2"/>
      <c r="I111" s="2"/>
      <c r="J111" s="2"/>
      <c r="K111" s="3"/>
    </row>
    <row r="112">
      <c r="C112" s="3"/>
      <c r="D112" s="3"/>
      <c r="G112" s="2"/>
      <c r="H112" s="2"/>
      <c r="I112" s="2"/>
      <c r="J112" s="2"/>
      <c r="K112" s="3"/>
    </row>
    <row r="113">
      <c r="C113" s="3"/>
      <c r="D113" s="3"/>
      <c r="G113" s="2"/>
      <c r="H113" s="2"/>
      <c r="I113" s="2"/>
      <c r="J113" s="2"/>
      <c r="K113" s="3"/>
    </row>
    <row r="114">
      <c r="C114" s="3"/>
      <c r="D114" s="3"/>
      <c r="G114" s="2"/>
      <c r="H114" s="2"/>
      <c r="I114" s="2"/>
      <c r="J114" s="2"/>
      <c r="K114" s="3"/>
    </row>
    <row r="115">
      <c r="C115" s="3"/>
      <c r="D115" s="3"/>
      <c r="G115" s="2"/>
      <c r="H115" s="2"/>
      <c r="I115" s="2"/>
      <c r="J115" s="2"/>
      <c r="K115" s="3"/>
    </row>
    <row r="116">
      <c r="C116" s="3"/>
      <c r="D116" s="3"/>
      <c r="G116" s="2"/>
      <c r="H116" s="2"/>
      <c r="I116" s="2"/>
      <c r="J116" s="2"/>
      <c r="K116" s="3"/>
    </row>
    <row r="117">
      <c r="C117" s="3"/>
      <c r="D117" s="3"/>
      <c r="G117" s="2"/>
      <c r="H117" s="2"/>
      <c r="I117" s="2"/>
      <c r="J117" s="2"/>
      <c r="K117" s="3"/>
    </row>
    <row r="118">
      <c r="C118" s="3"/>
      <c r="D118" s="3"/>
      <c r="G118" s="2"/>
      <c r="H118" s="2"/>
      <c r="I118" s="2"/>
      <c r="J118" s="2"/>
      <c r="K118" s="3"/>
    </row>
    <row r="119">
      <c r="C119" s="3"/>
      <c r="D119" s="3"/>
      <c r="G119" s="2"/>
      <c r="H119" s="2"/>
      <c r="I119" s="2"/>
      <c r="J119" s="2"/>
      <c r="K119" s="3"/>
    </row>
    <row r="120">
      <c r="C120" s="3"/>
      <c r="D120" s="3"/>
      <c r="G120" s="2"/>
      <c r="H120" s="2"/>
      <c r="I120" s="2"/>
      <c r="J120" s="2"/>
      <c r="K120" s="3"/>
    </row>
    <row r="121">
      <c r="C121" s="3"/>
      <c r="D121" s="3"/>
      <c r="G121" s="2"/>
      <c r="H121" s="2"/>
      <c r="I121" s="2"/>
      <c r="J121" s="2"/>
      <c r="K121" s="3"/>
    </row>
    <row r="122">
      <c r="C122" s="3"/>
      <c r="D122" s="3"/>
      <c r="G122" s="2"/>
      <c r="H122" s="2"/>
      <c r="I122" s="2"/>
      <c r="J122" s="2"/>
      <c r="K122" s="3"/>
    </row>
    <row r="123">
      <c r="C123" s="3"/>
      <c r="D123" s="3"/>
      <c r="G123" s="2"/>
      <c r="H123" s="2"/>
      <c r="I123" s="2"/>
      <c r="J123" s="2"/>
      <c r="K123" s="3"/>
    </row>
    <row r="124">
      <c r="C124" s="3"/>
      <c r="D124" s="3"/>
      <c r="G124" s="2"/>
      <c r="H124" s="2"/>
      <c r="I124" s="2"/>
      <c r="J124" s="2"/>
      <c r="K124" s="3"/>
    </row>
    <row r="125">
      <c r="C125" s="3"/>
      <c r="D125" s="3"/>
      <c r="G125" s="2"/>
      <c r="H125" s="2"/>
      <c r="I125" s="2"/>
      <c r="J125" s="2"/>
      <c r="K125" s="3"/>
    </row>
    <row r="126">
      <c r="C126" s="3"/>
      <c r="D126" s="3"/>
      <c r="G126" s="2"/>
      <c r="H126" s="2"/>
      <c r="I126" s="2"/>
      <c r="J126" s="2"/>
      <c r="K126" s="3"/>
    </row>
    <row r="127">
      <c r="C127" s="3"/>
      <c r="D127" s="3"/>
      <c r="G127" s="2"/>
      <c r="H127" s="2"/>
      <c r="I127" s="2"/>
      <c r="J127" s="2"/>
      <c r="K127" s="3"/>
    </row>
    <row r="128">
      <c r="C128" s="3"/>
      <c r="D128" s="3"/>
      <c r="G128" s="2"/>
      <c r="H128" s="2"/>
      <c r="I128" s="2"/>
      <c r="J128" s="2"/>
      <c r="K128" s="3"/>
    </row>
    <row r="129">
      <c r="C129" s="3"/>
      <c r="D129" s="3"/>
      <c r="G129" s="2"/>
      <c r="H129" s="2"/>
      <c r="I129" s="2"/>
      <c r="J129" s="2"/>
      <c r="K129" s="3"/>
    </row>
    <row r="130">
      <c r="C130" s="3"/>
      <c r="D130" s="3"/>
      <c r="G130" s="2"/>
      <c r="H130" s="2"/>
      <c r="I130" s="2"/>
      <c r="J130" s="2"/>
      <c r="K130" s="3"/>
    </row>
    <row r="131">
      <c r="C131" s="3"/>
      <c r="D131" s="3"/>
      <c r="G131" s="2"/>
      <c r="H131" s="2"/>
      <c r="I131" s="2"/>
      <c r="J131" s="2"/>
      <c r="K131" s="3"/>
    </row>
    <row r="132">
      <c r="C132" s="3"/>
      <c r="D132" s="3"/>
      <c r="G132" s="2"/>
      <c r="H132" s="2"/>
      <c r="I132" s="2"/>
      <c r="J132" s="2"/>
      <c r="K132" s="3"/>
    </row>
    <row r="133">
      <c r="C133" s="3"/>
      <c r="D133" s="3"/>
      <c r="G133" s="2"/>
      <c r="H133" s="2"/>
      <c r="I133" s="2"/>
      <c r="J133" s="2"/>
      <c r="K133" s="3"/>
    </row>
    <row r="134">
      <c r="C134" s="3"/>
      <c r="D134" s="3"/>
      <c r="G134" s="2"/>
      <c r="H134" s="2"/>
      <c r="I134" s="2"/>
      <c r="J134" s="2"/>
      <c r="K134" s="3"/>
    </row>
    <row r="135">
      <c r="C135" s="3"/>
      <c r="D135" s="3"/>
      <c r="G135" s="2"/>
      <c r="H135" s="2"/>
      <c r="I135" s="2"/>
      <c r="J135" s="2"/>
      <c r="K135" s="3"/>
    </row>
    <row r="136">
      <c r="C136" s="3"/>
      <c r="D136" s="3"/>
      <c r="G136" s="2"/>
      <c r="H136" s="2"/>
      <c r="I136" s="2"/>
      <c r="J136" s="2"/>
      <c r="K136" s="3"/>
    </row>
    <row r="137">
      <c r="C137" s="3"/>
      <c r="D137" s="3"/>
      <c r="G137" s="2"/>
      <c r="H137" s="2"/>
      <c r="I137" s="2"/>
      <c r="J137" s="2"/>
      <c r="K137" s="3"/>
    </row>
    <row r="138">
      <c r="C138" s="3"/>
      <c r="D138" s="3"/>
      <c r="G138" s="2"/>
      <c r="H138" s="2"/>
      <c r="I138" s="2"/>
      <c r="J138" s="2"/>
      <c r="K138" s="3"/>
    </row>
    <row r="139">
      <c r="C139" s="3"/>
      <c r="D139" s="3"/>
      <c r="G139" s="2"/>
      <c r="H139" s="2"/>
      <c r="I139" s="2"/>
      <c r="J139" s="2"/>
      <c r="K139" s="3"/>
    </row>
    <row r="140">
      <c r="C140" s="3"/>
      <c r="D140" s="3"/>
      <c r="G140" s="2"/>
      <c r="H140" s="2"/>
      <c r="I140" s="2"/>
      <c r="J140" s="2"/>
      <c r="K140" s="3"/>
    </row>
    <row r="141">
      <c r="C141" s="3"/>
      <c r="D141" s="3"/>
      <c r="G141" s="2"/>
      <c r="H141" s="2"/>
      <c r="I141" s="2"/>
      <c r="J141" s="2"/>
      <c r="K141" s="3"/>
    </row>
    <row r="142">
      <c r="C142" s="3"/>
      <c r="D142" s="3"/>
      <c r="G142" s="2"/>
      <c r="H142" s="2"/>
      <c r="I142" s="2"/>
      <c r="J142" s="2"/>
      <c r="K142" s="3"/>
    </row>
    <row r="143">
      <c r="C143" s="3"/>
      <c r="D143" s="3"/>
      <c r="G143" s="2"/>
      <c r="H143" s="2"/>
      <c r="I143" s="2"/>
      <c r="J143" s="2"/>
      <c r="K143" s="3"/>
    </row>
    <row r="144">
      <c r="C144" s="3"/>
      <c r="D144" s="3"/>
      <c r="G144" s="2"/>
      <c r="H144" s="2"/>
      <c r="I144" s="2"/>
      <c r="J144" s="2"/>
      <c r="K144" s="3"/>
    </row>
    <row r="145">
      <c r="C145" s="3"/>
      <c r="D145" s="3"/>
      <c r="G145" s="2"/>
      <c r="H145" s="2"/>
      <c r="I145" s="2"/>
      <c r="J145" s="2"/>
      <c r="K145" s="3"/>
    </row>
    <row r="146">
      <c r="C146" s="3"/>
      <c r="D146" s="3"/>
      <c r="G146" s="2"/>
      <c r="H146" s="2"/>
      <c r="I146" s="2"/>
      <c r="J146" s="2"/>
      <c r="K146" s="3"/>
    </row>
    <row r="147">
      <c r="C147" s="3"/>
      <c r="D147" s="3"/>
      <c r="G147" s="2"/>
      <c r="H147" s="2"/>
      <c r="I147" s="2"/>
      <c r="J147" s="2"/>
      <c r="K147" s="3"/>
    </row>
    <row r="148">
      <c r="C148" s="3"/>
      <c r="D148" s="3"/>
      <c r="G148" s="2"/>
      <c r="H148" s="2"/>
      <c r="I148" s="2"/>
      <c r="J148" s="2"/>
      <c r="K148" s="3"/>
    </row>
    <row r="149">
      <c r="C149" s="3"/>
      <c r="D149" s="3"/>
      <c r="G149" s="2"/>
      <c r="H149" s="2"/>
      <c r="I149" s="2"/>
      <c r="J149" s="2"/>
      <c r="K149" s="3"/>
    </row>
    <row r="150">
      <c r="C150" s="3"/>
      <c r="D150" s="3"/>
      <c r="G150" s="2"/>
      <c r="H150" s="2"/>
      <c r="I150" s="2"/>
      <c r="J150" s="2"/>
      <c r="K150" s="3"/>
    </row>
    <row r="151">
      <c r="C151" s="3"/>
      <c r="D151" s="3"/>
      <c r="G151" s="2"/>
      <c r="H151" s="2"/>
      <c r="I151" s="2"/>
      <c r="J151" s="2"/>
      <c r="K151" s="3"/>
    </row>
    <row r="152">
      <c r="C152" s="3"/>
      <c r="D152" s="3"/>
      <c r="G152" s="2"/>
      <c r="H152" s="2"/>
      <c r="I152" s="2"/>
      <c r="J152" s="2"/>
      <c r="K152" s="3"/>
    </row>
    <row r="153">
      <c r="C153" s="3"/>
      <c r="D153" s="3"/>
      <c r="G153" s="2"/>
      <c r="H153" s="2"/>
      <c r="I153" s="2"/>
      <c r="J153" s="2"/>
      <c r="K153" s="3"/>
    </row>
    <row r="154">
      <c r="C154" s="3"/>
      <c r="D154" s="3"/>
      <c r="G154" s="2"/>
      <c r="H154" s="2"/>
      <c r="I154" s="2"/>
      <c r="J154" s="2"/>
      <c r="K154" s="3"/>
    </row>
    <row r="155">
      <c r="C155" s="3"/>
      <c r="D155" s="3"/>
      <c r="G155" s="2"/>
      <c r="H155" s="2"/>
      <c r="I155" s="2"/>
      <c r="J155" s="2"/>
      <c r="K155" s="3"/>
    </row>
    <row r="156">
      <c r="C156" s="3"/>
      <c r="D156" s="3"/>
      <c r="G156" s="2"/>
      <c r="H156" s="2"/>
      <c r="I156" s="2"/>
      <c r="J156" s="2"/>
      <c r="K156" s="3"/>
    </row>
    <row r="157">
      <c r="C157" s="3"/>
      <c r="D157" s="3"/>
      <c r="G157" s="2"/>
      <c r="H157" s="2"/>
      <c r="I157" s="2"/>
      <c r="J157" s="2"/>
      <c r="K157" s="3"/>
    </row>
    <row r="158">
      <c r="C158" s="3"/>
      <c r="D158" s="3"/>
      <c r="G158" s="2"/>
      <c r="H158" s="2"/>
      <c r="I158" s="2"/>
      <c r="J158" s="2"/>
      <c r="K158" s="3"/>
    </row>
    <row r="159">
      <c r="C159" s="3"/>
      <c r="D159" s="3"/>
      <c r="G159" s="2"/>
      <c r="H159" s="2"/>
      <c r="I159" s="2"/>
      <c r="J159" s="2"/>
      <c r="K159" s="3"/>
    </row>
    <row r="160">
      <c r="C160" s="3"/>
      <c r="D160" s="3"/>
      <c r="G160" s="2"/>
      <c r="H160" s="2"/>
      <c r="I160" s="2"/>
      <c r="J160" s="2"/>
      <c r="K160" s="3"/>
    </row>
    <row r="161">
      <c r="C161" s="3"/>
      <c r="D161" s="3"/>
      <c r="G161" s="2"/>
      <c r="H161" s="2"/>
      <c r="I161" s="2"/>
      <c r="J161" s="2"/>
      <c r="K161" s="3"/>
    </row>
    <row r="162">
      <c r="C162" s="3"/>
      <c r="D162" s="3"/>
      <c r="G162" s="2"/>
      <c r="H162" s="2"/>
      <c r="I162" s="2"/>
      <c r="J162" s="2"/>
      <c r="K162" s="3"/>
    </row>
    <row r="163">
      <c r="C163" s="3"/>
      <c r="D163" s="3"/>
      <c r="G163" s="2"/>
      <c r="H163" s="2"/>
      <c r="I163" s="2"/>
      <c r="J163" s="2"/>
      <c r="K163" s="3"/>
    </row>
    <row r="164">
      <c r="C164" s="3"/>
      <c r="D164" s="3"/>
      <c r="G164" s="2"/>
      <c r="H164" s="2"/>
      <c r="I164" s="2"/>
      <c r="J164" s="2"/>
      <c r="K164" s="3"/>
    </row>
    <row r="165">
      <c r="C165" s="3"/>
      <c r="D165" s="3"/>
      <c r="G165" s="2"/>
      <c r="H165" s="2"/>
      <c r="I165" s="2"/>
      <c r="J165" s="2"/>
      <c r="K165" s="3"/>
    </row>
    <row r="166">
      <c r="C166" s="3"/>
      <c r="D166" s="3"/>
      <c r="G166" s="2"/>
      <c r="H166" s="2"/>
      <c r="I166" s="2"/>
      <c r="J166" s="2"/>
      <c r="K166" s="3"/>
    </row>
    <row r="167">
      <c r="C167" s="3"/>
      <c r="D167" s="3"/>
      <c r="G167" s="2"/>
      <c r="H167" s="2"/>
      <c r="I167" s="2"/>
      <c r="J167" s="2"/>
      <c r="K167" s="3"/>
    </row>
    <row r="168">
      <c r="C168" s="3"/>
      <c r="D168" s="3"/>
      <c r="G168" s="2"/>
      <c r="H168" s="2"/>
      <c r="I168" s="2"/>
      <c r="J168" s="2"/>
      <c r="K168" s="3"/>
    </row>
    <row r="169">
      <c r="C169" s="3"/>
      <c r="D169" s="3"/>
      <c r="G169" s="2"/>
      <c r="H169" s="2"/>
      <c r="I169" s="2"/>
      <c r="J169" s="2"/>
      <c r="K169" s="3"/>
    </row>
    <row r="170">
      <c r="C170" s="3"/>
      <c r="D170" s="3"/>
      <c r="G170" s="2"/>
      <c r="H170" s="2"/>
      <c r="I170" s="2"/>
      <c r="J170" s="2"/>
      <c r="K170" s="3"/>
    </row>
    <row r="171">
      <c r="C171" s="3"/>
      <c r="D171" s="3"/>
      <c r="G171" s="2"/>
      <c r="H171" s="2"/>
      <c r="I171" s="2"/>
      <c r="J171" s="2"/>
      <c r="K171" s="3"/>
    </row>
    <row r="172">
      <c r="C172" s="3"/>
      <c r="D172" s="3"/>
      <c r="G172" s="2"/>
      <c r="H172" s="2"/>
      <c r="I172" s="2"/>
      <c r="J172" s="2"/>
      <c r="K172" s="3"/>
    </row>
    <row r="173">
      <c r="C173" s="3"/>
      <c r="D173" s="3"/>
      <c r="G173" s="2"/>
      <c r="H173" s="2"/>
      <c r="I173" s="2"/>
      <c r="J173" s="2"/>
      <c r="K173" s="3"/>
    </row>
    <row r="174">
      <c r="C174" s="3"/>
      <c r="D174" s="3"/>
      <c r="G174" s="2"/>
      <c r="H174" s="2"/>
      <c r="I174" s="2"/>
      <c r="J174" s="2"/>
      <c r="K174" s="3"/>
    </row>
    <row r="175">
      <c r="C175" s="3"/>
      <c r="D175" s="3"/>
      <c r="G175" s="2"/>
      <c r="H175" s="2"/>
      <c r="I175" s="2"/>
      <c r="J175" s="2"/>
      <c r="K175" s="3"/>
    </row>
    <row r="176">
      <c r="C176" s="3"/>
      <c r="D176" s="3"/>
      <c r="G176" s="2"/>
      <c r="H176" s="2"/>
      <c r="I176" s="2"/>
      <c r="J176" s="2"/>
      <c r="K176" s="3"/>
    </row>
    <row r="177">
      <c r="C177" s="3"/>
      <c r="D177" s="3"/>
      <c r="G177" s="2"/>
      <c r="H177" s="2"/>
      <c r="I177" s="2"/>
      <c r="J177" s="2"/>
      <c r="K177" s="3"/>
    </row>
    <row r="178">
      <c r="C178" s="3"/>
      <c r="D178" s="3"/>
      <c r="G178" s="2"/>
      <c r="H178" s="2"/>
      <c r="I178" s="2"/>
      <c r="J178" s="2"/>
      <c r="K178" s="3"/>
    </row>
    <row r="179">
      <c r="C179" s="3"/>
      <c r="D179" s="3"/>
      <c r="G179" s="2"/>
      <c r="H179" s="2"/>
      <c r="I179" s="2"/>
      <c r="J179" s="2"/>
      <c r="K179" s="3"/>
    </row>
    <row r="180">
      <c r="C180" s="3"/>
      <c r="D180" s="3"/>
      <c r="G180" s="2"/>
      <c r="H180" s="2"/>
      <c r="I180" s="2"/>
      <c r="J180" s="2"/>
      <c r="K180" s="3"/>
    </row>
    <row r="181">
      <c r="C181" s="3"/>
      <c r="D181" s="3"/>
      <c r="G181" s="2"/>
      <c r="H181" s="2"/>
      <c r="I181" s="2"/>
      <c r="J181" s="2"/>
      <c r="K181" s="3"/>
    </row>
    <row r="182">
      <c r="C182" s="3"/>
      <c r="D182" s="3"/>
      <c r="G182" s="2"/>
      <c r="H182" s="2"/>
      <c r="I182" s="2"/>
      <c r="J182" s="2"/>
      <c r="K182" s="3"/>
    </row>
    <row r="183">
      <c r="C183" s="3"/>
      <c r="D183" s="3"/>
      <c r="G183" s="2"/>
      <c r="H183" s="2"/>
      <c r="I183" s="2"/>
      <c r="J183" s="2"/>
      <c r="K183" s="3"/>
    </row>
    <row r="184">
      <c r="C184" s="3"/>
      <c r="D184" s="3"/>
      <c r="G184" s="2"/>
      <c r="H184" s="2"/>
      <c r="I184" s="2"/>
      <c r="J184" s="2"/>
      <c r="K184" s="3"/>
    </row>
    <row r="185">
      <c r="C185" s="3"/>
      <c r="D185" s="3"/>
      <c r="G185" s="2"/>
      <c r="H185" s="2"/>
      <c r="I185" s="2"/>
      <c r="J185" s="2"/>
      <c r="K185" s="3"/>
    </row>
    <row r="186">
      <c r="C186" s="3"/>
      <c r="D186" s="3"/>
      <c r="G186" s="2"/>
      <c r="H186" s="2"/>
      <c r="I186" s="2"/>
      <c r="J186" s="2"/>
      <c r="K186" s="3"/>
    </row>
    <row r="187">
      <c r="C187" s="3"/>
      <c r="D187" s="3"/>
      <c r="G187" s="2"/>
      <c r="H187" s="2"/>
      <c r="I187" s="2"/>
      <c r="J187" s="2"/>
      <c r="K187" s="3"/>
    </row>
    <row r="188">
      <c r="C188" s="3"/>
      <c r="D188" s="3"/>
      <c r="G188" s="2"/>
      <c r="H188" s="2"/>
      <c r="I188" s="2"/>
      <c r="J188" s="2"/>
      <c r="K188" s="3"/>
    </row>
    <row r="189">
      <c r="C189" s="3"/>
      <c r="D189" s="3"/>
      <c r="G189" s="2"/>
      <c r="H189" s="2"/>
      <c r="I189" s="2"/>
      <c r="J189" s="2"/>
      <c r="K189" s="3"/>
    </row>
    <row r="190">
      <c r="C190" s="3"/>
      <c r="D190" s="3"/>
      <c r="G190" s="2"/>
      <c r="H190" s="2"/>
      <c r="I190" s="2"/>
      <c r="J190" s="2"/>
      <c r="K190" s="3"/>
    </row>
    <row r="191">
      <c r="C191" s="3"/>
      <c r="D191" s="3"/>
      <c r="G191" s="2"/>
      <c r="H191" s="2"/>
      <c r="I191" s="2"/>
      <c r="J191" s="2"/>
      <c r="K191" s="3"/>
    </row>
    <row r="192">
      <c r="C192" s="3"/>
      <c r="D192" s="3"/>
      <c r="G192" s="2"/>
      <c r="H192" s="2"/>
      <c r="I192" s="2"/>
      <c r="J192" s="2"/>
      <c r="K192" s="3"/>
    </row>
    <row r="193">
      <c r="C193" s="3"/>
      <c r="D193" s="3"/>
      <c r="G193" s="2"/>
      <c r="H193" s="2"/>
      <c r="I193" s="2"/>
      <c r="J193" s="2"/>
      <c r="K193" s="3"/>
    </row>
    <row r="194">
      <c r="C194" s="3"/>
      <c r="D194" s="3"/>
      <c r="G194" s="2"/>
      <c r="H194" s="2"/>
      <c r="I194" s="2"/>
      <c r="J194" s="2"/>
      <c r="K194" s="3"/>
    </row>
    <row r="195">
      <c r="C195" s="3"/>
      <c r="D195" s="3"/>
      <c r="G195" s="2"/>
      <c r="H195" s="2"/>
      <c r="I195" s="2"/>
      <c r="J195" s="2"/>
      <c r="K195" s="3"/>
    </row>
    <row r="196">
      <c r="C196" s="3"/>
      <c r="D196" s="3"/>
      <c r="G196" s="2"/>
      <c r="H196" s="2"/>
      <c r="I196" s="2"/>
      <c r="J196" s="2"/>
      <c r="K196" s="3"/>
    </row>
    <row r="197">
      <c r="C197" s="3"/>
      <c r="D197" s="3"/>
      <c r="G197" s="2"/>
      <c r="H197" s="2"/>
      <c r="I197" s="2"/>
      <c r="J197" s="2"/>
      <c r="K197" s="3"/>
    </row>
    <row r="198">
      <c r="C198" s="3"/>
      <c r="D198" s="3"/>
      <c r="G198" s="2"/>
      <c r="H198" s="2"/>
      <c r="I198" s="2"/>
      <c r="J198" s="2"/>
      <c r="K198" s="3"/>
    </row>
    <row r="199">
      <c r="C199" s="3"/>
      <c r="D199" s="3"/>
      <c r="G199" s="2"/>
      <c r="H199" s="2"/>
      <c r="I199" s="2"/>
      <c r="J199" s="2"/>
      <c r="K199" s="3"/>
    </row>
    <row r="200">
      <c r="C200" s="3"/>
      <c r="D200" s="3"/>
      <c r="G200" s="2"/>
      <c r="H200" s="2"/>
      <c r="I200" s="2"/>
      <c r="J200" s="2"/>
      <c r="K200" s="3"/>
    </row>
    <row r="201">
      <c r="C201" s="3"/>
      <c r="D201" s="3"/>
      <c r="G201" s="2"/>
      <c r="H201" s="2"/>
      <c r="I201" s="2"/>
      <c r="J201" s="2"/>
      <c r="K201" s="3"/>
    </row>
    <row r="202">
      <c r="C202" s="3"/>
      <c r="D202" s="3"/>
      <c r="G202" s="2"/>
      <c r="H202" s="2"/>
      <c r="I202" s="2"/>
      <c r="J202" s="2"/>
      <c r="K202" s="3"/>
    </row>
    <row r="203">
      <c r="C203" s="3"/>
      <c r="D203" s="3"/>
      <c r="G203" s="2"/>
      <c r="H203" s="2"/>
      <c r="I203" s="2"/>
      <c r="J203" s="2"/>
      <c r="K203" s="3"/>
    </row>
    <row r="204">
      <c r="C204" s="3"/>
      <c r="D204" s="3"/>
      <c r="G204" s="2"/>
      <c r="H204" s="2"/>
      <c r="I204" s="2"/>
      <c r="J204" s="2"/>
      <c r="K204" s="3"/>
    </row>
    <row r="205">
      <c r="C205" s="3"/>
      <c r="D205" s="3"/>
      <c r="G205" s="2"/>
      <c r="H205" s="2"/>
      <c r="I205" s="2"/>
      <c r="J205" s="2"/>
      <c r="K205" s="3"/>
    </row>
    <row r="206">
      <c r="C206" s="3"/>
      <c r="D206" s="3"/>
      <c r="G206" s="2"/>
      <c r="H206" s="2"/>
      <c r="I206" s="2"/>
      <c r="J206" s="2"/>
      <c r="K206" s="3"/>
    </row>
    <row r="207">
      <c r="C207" s="3"/>
      <c r="D207" s="3"/>
      <c r="G207" s="2"/>
      <c r="H207" s="2"/>
      <c r="I207" s="2"/>
      <c r="J207" s="2"/>
      <c r="K207" s="3"/>
    </row>
    <row r="208">
      <c r="C208" s="3"/>
      <c r="D208" s="3"/>
      <c r="G208" s="2"/>
      <c r="H208" s="2"/>
      <c r="I208" s="2"/>
      <c r="J208" s="2"/>
      <c r="K208" s="3"/>
    </row>
    <row r="209">
      <c r="C209" s="3"/>
      <c r="D209" s="3"/>
      <c r="G209" s="2"/>
      <c r="H209" s="2"/>
      <c r="I209" s="2"/>
      <c r="J209" s="2"/>
      <c r="K209" s="3"/>
    </row>
    <row r="210">
      <c r="C210" s="3"/>
      <c r="D210" s="3"/>
      <c r="G210" s="2"/>
      <c r="H210" s="2"/>
      <c r="I210" s="2"/>
      <c r="J210" s="2"/>
      <c r="K210" s="3"/>
    </row>
    <row r="211">
      <c r="C211" s="3"/>
      <c r="D211" s="3"/>
      <c r="G211" s="2"/>
      <c r="H211" s="2"/>
      <c r="I211" s="2"/>
      <c r="J211" s="2"/>
      <c r="K211" s="3"/>
    </row>
    <row r="212">
      <c r="C212" s="3"/>
      <c r="D212" s="3"/>
      <c r="G212" s="2"/>
      <c r="H212" s="2"/>
      <c r="I212" s="2"/>
      <c r="J212" s="2"/>
      <c r="K212" s="3"/>
    </row>
    <row r="213">
      <c r="C213" s="3"/>
      <c r="D213" s="3"/>
      <c r="G213" s="2"/>
      <c r="H213" s="2"/>
      <c r="I213" s="2"/>
      <c r="J213" s="2"/>
      <c r="K213" s="3"/>
    </row>
    <row r="214">
      <c r="C214" s="3"/>
      <c r="D214" s="3"/>
      <c r="G214" s="2"/>
      <c r="H214" s="2"/>
      <c r="I214" s="2"/>
      <c r="J214" s="2"/>
      <c r="K214" s="3"/>
    </row>
    <row r="215">
      <c r="C215" s="3"/>
      <c r="D215" s="3"/>
      <c r="G215" s="2"/>
      <c r="H215" s="2"/>
      <c r="I215" s="2"/>
      <c r="J215" s="2"/>
      <c r="K215" s="3"/>
    </row>
    <row r="216">
      <c r="C216" s="3"/>
      <c r="D216" s="3"/>
      <c r="G216" s="2"/>
      <c r="H216" s="2"/>
      <c r="I216" s="2"/>
      <c r="J216" s="2"/>
      <c r="K216" s="3"/>
    </row>
    <row r="217">
      <c r="C217" s="3"/>
      <c r="D217" s="3"/>
      <c r="G217" s="2"/>
      <c r="H217" s="2"/>
      <c r="I217" s="2"/>
      <c r="J217" s="2"/>
      <c r="K217" s="3"/>
    </row>
    <row r="218">
      <c r="C218" s="3"/>
      <c r="D218" s="3"/>
      <c r="G218" s="2"/>
      <c r="H218" s="2"/>
      <c r="I218" s="2"/>
      <c r="J218" s="2"/>
      <c r="K218" s="3"/>
    </row>
    <row r="219">
      <c r="C219" s="3"/>
      <c r="D219" s="3"/>
      <c r="G219" s="2"/>
      <c r="H219" s="2"/>
      <c r="I219" s="2"/>
      <c r="J219" s="2"/>
      <c r="K219" s="3"/>
    </row>
    <row r="220">
      <c r="C220" s="3"/>
      <c r="D220" s="3"/>
      <c r="G220" s="2"/>
      <c r="H220" s="2"/>
      <c r="I220" s="2"/>
      <c r="J220" s="2"/>
      <c r="K220" s="3"/>
    </row>
    <row r="221">
      <c r="C221" s="3"/>
      <c r="D221" s="3"/>
      <c r="G221" s="2"/>
      <c r="H221" s="2"/>
      <c r="I221" s="2"/>
      <c r="J221" s="2"/>
      <c r="K221" s="3"/>
    </row>
    <row r="222">
      <c r="C222" s="3"/>
      <c r="D222" s="3"/>
      <c r="G222" s="2"/>
      <c r="H222" s="2"/>
      <c r="I222" s="2"/>
      <c r="J222" s="2"/>
      <c r="K222" s="3"/>
    </row>
    <row r="223">
      <c r="C223" s="3"/>
      <c r="D223" s="3"/>
      <c r="G223" s="2"/>
      <c r="H223" s="2"/>
      <c r="I223" s="2"/>
      <c r="J223" s="2"/>
      <c r="K223" s="3"/>
    </row>
    <row r="224">
      <c r="C224" s="3"/>
      <c r="D224" s="3"/>
      <c r="G224" s="2"/>
      <c r="H224" s="2"/>
      <c r="I224" s="2"/>
      <c r="J224" s="2"/>
      <c r="K224" s="3"/>
    </row>
    <row r="225">
      <c r="C225" s="3"/>
      <c r="D225" s="3"/>
      <c r="G225" s="2"/>
      <c r="H225" s="2"/>
      <c r="I225" s="2"/>
      <c r="J225" s="2"/>
      <c r="K225" s="3"/>
    </row>
    <row r="226">
      <c r="C226" s="3"/>
      <c r="D226" s="3"/>
      <c r="G226" s="2"/>
      <c r="H226" s="2"/>
      <c r="I226" s="2"/>
      <c r="J226" s="2"/>
      <c r="K226" s="3"/>
    </row>
    <row r="227">
      <c r="C227" s="3"/>
      <c r="D227" s="3"/>
      <c r="G227" s="2"/>
      <c r="H227" s="2"/>
      <c r="I227" s="2"/>
      <c r="J227" s="2"/>
      <c r="K227" s="3"/>
    </row>
    <row r="228">
      <c r="C228" s="3"/>
      <c r="D228" s="3"/>
      <c r="G228" s="2"/>
      <c r="H228" s="2"/>
      <c r="I228" s="2"/>
      <c r="J228" s="2"/>
      <c r="K228" s="3"/>
    </row>
    <row r="229">
      <c r="C229" s="3"/>
      <c r="D229" s="3"/>
      <c r="G229" s="2"/>
      <c r="H229" s="2"/>
      <c r="I229" s="2"/>
      <c r="J229" s="2"/>
      <c r="K229" s="3"/>
    </row>
    <row r="230">
      <c r="C230" s="3"/>
      <c r="D230" s="3"/>
      <c r="G230" s="2"/>
      <c r="H230" s="2"/>
      <c r="I230" s="2"/>
      <c r="J230" s="2"/>
      <c r="K230" s="3"/>
    </row>
    <row r="231">
      <c r="C231" s="3"/>
      <c r="D231" s="3"/>
      <c r="G231" s="2"/>
      <c r="H231" s="2"/>
      <c r="I231" s="2"/>
      <c r="J231" s="2"/>
      <c r="K231" s="3"/>
    </row>
    <row r="232">
      <c r="C232" s="3"/>
      <c r="D232" s="3"/>
      <c r="G232" s="2"/>
      <c r="H232" s="2"/>
      <c r="I232" s="2"/>
      <c r="J232" s="2"/>
      <c r="K232" s="3"/>
    </row>
    <row r="233">
      <c r="C233" s="3"/>
      <c r="D233" s="3"/>
      <c r="G233" s="2"/>
      <c r="H233" s="2"/>
      <c r="I233" s="2"/>
      <c r="J233" s="2"/>
      <c r="K233" s="3"/>
    </row>
    <row r="234">
      <c r="C234" s="3"/>
      <c r="D234" s="3"/>
      <c r="G234" s="2"/>
      <c r="H234" s="2"/>
      <c r="I234" s="2"/>
      <c r="J234" s="2"/>
      <c r="K234" s="3"/>
    </row>
    <row r="235">
      <c r="C235" s="3"/>
      <c r="D235" s="3"/>
      <c r="G235" s="2"/>
      <c r="H235" s="2"/>
      <c r="I235" s="2"/>
      <c r="J235" s="2"/>
      <c r="K235" s="3"/>
    </row>
    <row r="236">
      <c r="C236" s="3"/>
      <c r="D236" s="3"/>
      <c r="G236" s="2"/>
      <c r="H236" s="2"/>
      <c r="I236" s="2"/>
      <c r="J236" s="2"/>
      <c r="K236" s="3"/>
    </row>
    <row r="237">
      <c r="C237" s="3"/>
      <c r="D237" s="3"/>
      <c r="G237" s="2"/>
      <c r="H237" s="2"/>
      <c r="I237" s="2"/>
      <c r="J237" s="2"/>
      <c r="K237" s="3"/>
    </row>
    <row r="238">
      <c r="C238" s="3"/>
      <c r="D238" s="3"/>
      <c r="G238" s="2"/>
      <c r="H238" s="2"/>
      <c r="I238" s="2"/>
      <c r="J238" s="2"/>
      <c r="K238" s="3"/>
    </row>
    <row r="239">
      <c r="C239" s="3"/>
      <c r="D239" s="3"/>
      <c r="G239" s="2"/>
      <c r="H239" s="2"/>
      <c r="I239" s="2"/>
      <c r="J239" s="2"/>
      <c r="K239" s="3"/>
    </row>
    <row r="240">
      <c r="C240" s="3"/>
      <c r="D240" s="3"/>
      <c r="G240" s="2"/>
      <c r="H240" s="2"/>
      <c r="I240" s="2"/>
      <c r="J240" s="2"/>
      <c r="K240" s="3"/>
    </row>
    <row r="241">
      <c r="C241" s="3"/>
      <c r="D241" s="3"/>
      <c r="G241" s="2"/>
      <c r="H241" s="2"/>
      <c r="I241" s="2"/>
      <c r="J241" s="2"/>
      <c r="K241" s="3"/>
    </row>
    <row r="242">
      <c r="C242" s="3"/>
      <c r="D242" s="3"/>
      <c r="G242" s="2"/>
      <c r="H242" s="2"/>
      <c r="I242" s="2"/>
      <c r="J242" s="2"/>
      <c r="K242" s="3"/>
    </row>
    <row r="243">
      <c r="C243" s="3"/>
      <c r="D243" s="3"/>
      <c r="G243" s="2"/>
      <c r="H243" s="2"/>
      <c r="I243" s="2"/>
      <c r="J243" s="2"/>
      <c r="K243" s="3"/>
    </row>
    <row r="244">
      <c r="C244" s="3"/>
      <c r="D244" s="3"/>
      <c r="G244" s="2"/>
      <c r="H244" s="2"/>
      <c r="I244" s="2"/>
      <c r="J244" s="2"/>
      <c r="K244" s="3"/>
    </row>
    <row r="245">
      <c r="C245" s="3"/>
      <c r="D245" s="3"/>
      <c r="G245" s="2"/>
      <c r="H245" s="2"/>
      <c r="I245" s="2"/>
      <c r="J245" s="2"/>
      <c r="K245" s="3"/>
    </row>
    <row r="246">
      <c r="C246" s="3"/>
      <c r="D246" s="3"/>
      <c r="G246" s="2"/>
      <c r="H246" s="2"/>
      <c r="I246" s="2"/>
      <c r="J246" s="2"/>
      <c r="K246" s="3"/>
    </row>
    <row r="247">
      <c r="C247" s="3"/>
      <c r="D247" s="3"/>
      <c r="G247" s="2"/>
      <c r="H247" s="2"/>
      <c r="I247" s="2"/>
      <c r="J247" s="2"/>
      <c r="K247" s="3"/>
    </row>
    <row r="248">
      <c r="C248" s="3"/>
      <c r="D248" s="3"/>
      <c r="G248" s="2"/>
      <c r="H248" s="2"/>
      <c r="I248" s="2"/>
      <c r="J248" s="2"/>
      <c r="K248" s="3"/>
    </row>
    <row r="249">
      <c r="C249" s="3"/>
      <c r="D249" s="3"/>
      <c r="G249" s="2"/>
      <c r="H249" s="2"/>
      <c r="I249" s="2"/>
      <c r="J249" s="2"/>
      <c r="K249" s="3"/>
    </row>
    <row r="250">
      <c r="C250" s="3"/>
      <c r="D250" s="3"/>
      <c r="G250" s="2"/>
      <c r="H250" s="2"/>
      <c r="I250" s="2"/>
      <c r="J250" s="2"/>
      <c r="K250" s="3"/>
    </row>
    <row r="251">
      <c r="C251" s="3"/>
      <c r="D251" s="3"/>
      <c r="G251" s="2"/>
      <c r="H251" s="2"/>
      <c r="I251" s="2"/>
      <c r="J251" s="2"/>
      <c r="K251" s="3"/>
    </row>
    <row r="252">
      <c r="C252" s="3"/>
      <c r="D252" s="3"/>
      <c r="G252" s="2"/>
      <c r="H252" s="2"/>
      <c r="I252" s="2"/>
      <c r="J252" s="2"/>
      <c r="K252" s="3"/>
    </row>
    <row r="253">
      <c r="C253" s="3"/>
      <c r="D253" s="3"/>
      <c r="G253" s="2"/>
      <c r="H253" s="2"/>
      <c r="I253" s="2"/>
      <c r="J253" s="2"/>
      <c r="K253" s="3"/>
    </row>
    <row r="254">
      <c r="C254" s="3"/>
      <c r="D254" s="3"/>
      <c r="G254" s="2"/>
      <c r="H254" s="2"/>
      <c r="I254" s="2"/>
      <c r="J254" s="2"/>
      <c r="K254" s="3"/>
    </row>
    <row r="255">
      <c r="C255" s="3"/>
      <c r="D255" s="3"/>
      <c r="G255" s="2"/>
      <c r="H255" s="2"/>
      <c r="I255" s="2"/>
      <c r="J255" s="2"/>
      <c r="K255" s="3"/>
    </row>
    <row r="256">
      <c r="C256" s="3"/>
      <c r="D256" s="3"/>
      <c r="G256" s="2"/>
      <c r="H256" s="2"/>
      <c r="I256" s="2"/>
      <c r="J256" s="2"/>
      <c r="K256" s="3"/>
    </row>
    <row r="257">
      <c r="C257" s="3"/>
      <c r="D257" s="3"/>
      <c r="G257" s="2"/>
      <c r="H257" s="2"/>
      <c r="I257" s="2"/>
      <c r="J257" s="2"/>
      <c r="K257" s="3"/>
    </row>
    <row r="258">
      <c r="C258" s="3"/>
      <c r="D258" s="3"/>
      <c r="G258" s="2"/>
      <c r="H258" s="2"/>
      <c r="I258" s="2"/>
      <c r="J258" s="2"/>
      <c r="K258" s="3"/>
    </row>
    <row r="259">
      <c r="C259" s="3"/>
      <c r="D259" s="3"/>
      <c r="G259" s="2"/>
      <c r="H259" s="2"/>
      <c r="I259" s="2"/>
      <c r="J259" s="2"/>
      <c r="K259" s="3"/>
    </row>
    <row r="260">
      <c r="C260" s="3"/>
      <c r="D260" s="3"/>
      <c r="G260" s="2"/>
      <c r="H260" s="2"/>
      <c r="I260" s="2"/>
      <c r="J260" s="2"/>
      <c r="K260" s="3"/>
    </row>
    <row r="261">
      <c r="C261" s="3"/>
      <c r="D261" s="3"/>
      <c r="G261" s="2"/>
      <c r="H261" s="2"/>
      <c r="I261" s="2"/>
      <c r="J261" s="2"/>
      <c r="K261" s="3"/>
    </row>
    <row r="262">
      <c r="C262" s="3"/>
      <c r="D262" s="3"/>
      <c r="G262" s="2"/>
      <c r="H262" s="2"/>
      <c r="I262" s="2"/>
      <c r="J262" s="2"/>
      <c r="K262" s="3"/>
    </row>
    <row r="263">
      <c r="C263" s="3"/>
      <c r="D263" s="3"/>
      <c r="G263" s="2"/>
      <c r="H263" s="2"/>
      <c r="I263" s="2"/>
      <c r="J263" s="2"/>
      <c r="K263" s="3"/>
    </row>
    <row r="264">
      <c r="C264" s="3"/>
      <c r="D264" s="3"/>
      <c r="G264" s="2"/>
      <c r="H264" s="2"/>
      <c r="I264" s="2"/>
      <c r="J264" s="2"/>
      <c r="K264" s="3"/>
    </row>
    <row r="265">
      <c r="C265" s="3"/>
      <c r="D265" s="3"/>
      <c r="G265" s="2"/>
      <c r="H265" s="2"/>
      <c r="I265" s="2"/>
      <c r="J265" s="2"/>
      <c r="K265" s="3"/>
    </row>
    <row r="266">
      <c r="C266" s="3"/>
      <c r="D266" s="3"/>
      <c r="G266" s="2"/>
      <c r="H266" s="2"/>
      <c r="I266" s="2"/>
      <c r="J266" s="2"/>
      <c r="K266" s="3"/>
    </row>
    <row r="267">
      <c r="C267" s="3"/>
      <c r="D267" s="3"/>
      <c r="G267" s="2"/>
      <c r="H267" s="2"/>
      <c r="I267" s="2"/>
      <c r="J267" s="2"/>
      <c r="K267" s="3"/>
    </row>
    <row r="268">
      <c r="C268" s="3"/>
      <c r="D268" s="3"/>
      <c r="G268" s="2"/>
      <c r="H268" s="2"/>
      <c r="I268" s="2"/>
      <c r="J268" s="2"/>
      <c r="K268" s="3"/>
    </row>
    <row r="269">
      <c r="C269" s="3"/>
      <c r="D269" s="3"/>
      <c r="G269" s="2"/>
      <c r="H269" s="2"/>
      <c r="I269" s="2"/>
      <c r="J269" s="2"/>
      <c r="K269" s="3"/>
    </row>
    <row r="270">
      <c r="C270" s="3"/>
      <c r="D270" s="3"/>
      <c r="G270" s="2"/>
      <c r="H270" s="2"/>
      <c r="I270" s="2"/>
      <c r="J270" s="2"/>
      <c r="K270" s="3"/>
    </row>
    <row r="271">
      <c r="C271" s="3"/>
      <c r="D271" s="3"/>
      <c r="G271" s="2"/>
      <c r="H271" s="2"/>
      <c r="I271" s="2"/>
      <c r="J271" s="2"/>
      <c r="K271" s="3"/>
    </row>
    <row r="272">
      <c r="C272" s="3"/>
      <c r="D272" s="3"/>
      <c r="G272" s="2"/>
      <c r="H272" s="2"/>
      <c r="I272" s="2"/>
      <c r="J272" s="2"/>
      <c r="K272" s="3"/>
    </row>
    <row r="273">
      <c r="C273" s="3"/>
      <c r="D273" s="3"/>
      <c r="G273" s="2"/>
      <c r="H273" s="2"/>
      <c r="I273" s="2"/>
      <c r="J273" s="2"/>
      <c r="K273" s="3"/>
    </row>
    <row r="274">
      <c r="C274" s="3"/>
      <c r="D274" s="3"/>
      <c r="G274" s="2"/>
      <c r="H274" s="2"/>
      <c r="I274" s="2"/>
      <c r="J274" s="2"/>
      <c r="K274" s="3"/>
    </row>
    <row r="275">
      <c r="C275" s="3"/>
      <c r="D275" s="3"/>
      <c r="G275" s="2"/>
      <c r="H275" s="2"/>
      <c r="I275" s="2"/>
      <c r="J275" s="2"/>
      <c r="K275" s="3"/>
    </row>
    <row r="276">
      <c r="C276" s="3"/>
      <c r="D276" s="3"/>
      <c r="G276" s="2"/>
      <c r="H276" s="2"/>
      <c r="I276" s="2"/>
      <c r="J276" s="2"/>
      <c r="K276" s="3"/>
    </row>
    <row r="277">
      <c r="C277" s="3"/>
      <c r="D277" s="3"/>
      <c r="G277" s="2"/>
      <c r="H277" s="2"/>
      <c r="I277" s="2"/>
      <c r="J277" s="2"/>
      <c r="K277" s="3"/>
    </row>
    <row r="278">
      <c r="C278" s="3"/>
      <c r="D278" s="3"/>
      <c r="G278" s="2"/>
      <c r="H278" s="2"/>
      <c r="I278" s="2"/>
      <c r="J278" s="2"/>
      <c r="K278" s="3"/>
    </row>
    <row r="279">
      <c r="C279" s="3"/>
      <c r="D279" s="3"/>
      <c r="G279" s="2"/>
      <c r="H279" s="2"/>
      <c r="I279" s="2"/>
      <c r="J279" s="2"/>
      <c r="K279" s="3"/>
    </row>
    <row r="280">
      <c r="C280" s="3"/>
      <c r="D280" s="3"/>
      <c r="G280" s="2"/>
      <c r="H280" s="2"/>
      <c r="I280" s="2"/>
      <c r="J280" s="2"/>
      <c r="K280" s="3"/>
    </row>
    <row r="281">
      <c r="C281" s="3"/>
      <c r="D281" s="3"/>
      <c r="G281" s="2"/>
      <c r="H281" s="2"/>
      <c r="I281" s="2"/>
      <c r="J281" s="2"/>
      <c r="K281" s="3"/>
    </row>
    <row r="282">
      <c r="C282" s="3"/>
      <c r="D282" s="3"/>
      <c r="G282" s="2"/>
      <c r="H282" s="2"/>
      <c r="I282" s="2"/>
      <c r="J282" s="2"/>
      <c r="K282" s="3"/>
    </row>
    <row r="283">
      <c r="C283" s="3"/>
      <c r="D283" s="3"/>
      <c r="G283" s="2"/>
      <c r="H283" s="2"/>
      <c r="I283" s="2"/>
      <c r="J283" s="2"/>
      <c r="K283" s="3"/>
    </row>
    <row r="284">
      <c r="C284" s="3"/>
      <c r="D284" s="3"/>
      <c r="G284" s="2"/>
      <c r="H284" s="2"/>
      <c r="I284" s="2"/>
      <c r="J284" s="2"/>
      <c r="K284" s="3"/>
    </row>
    <row r="285">
      <c r="C285" s="3"/>
      <c r="D285" s="3"/>
      <c r="G285" s="2"/>
      <c r="H285" s="2"/>
      <c r="I285" s="2"/>
      <c r="J285" s="2"/>
      <c r="K285" s="3"/>
    </row>
    <row r="286">
      <c r="C286" s="3"/>
      <c r="D286" s="3"/>
      <c r="G286" s="2"/>
      <c r="H286" s="2"/>
      <c r="I286" s="2"/>
      <c r="J286" s="2"/>
      <c r="K286" s="3"/>
    </row>
    <row r="287">
      <c r="C287" s="3"/>
      <c r="D287" s="3"/>
      <c r="G287" s="2"/>
      <c r="H287" s="2"/>
      <c r="I287" s="2"/>
      <c r="J287" s="2"/>
      <c r="K287" s="3"/>
    </row>
    <row r="288">
      <c r="C288" s="3"/>
      <c r="D288" s="3"/>
      <c r="G288" s="2"/>
      <c r="H288" s="2"/>
      <c r="I288" s="2"/>
      <c r="J288" s="2"/>
      <c r="K288" s="3"/>
    </row>
    <row r="289">
      <c r="C289" s="3"/>
      <c r="D289" s="3"/>
      <c r="G289" s="2"/>
      <c r="H289" s="2"/>
      <c r="I289" s="2"/>
      <c r="J289" s="2"/>
      <c r="K289" s="3"/>
    </row>
    <row r="290">
      <c r="C290" s="3"/>
      <c r="D290" s="3"/>
      <c r="G290" s="2"/>
      <c r="H290" s="2"/>
      <c r="I290" s="2"/>
      <c r="J290" s="2"/>
      <c r="K290" s="3"/>
    </row>
    <row r="291">
      <c r="C291" s="3"/>
      <c r="D291" s="3"/>
      <c r="G291" s="2"/>
      <c r="H291" s="2"/>
      <c r="I291" s="2"/>
      <c r="J291" s="2"/>
      <c r="K291" s="3"/>
    </row>
    <row r="292">
      <c r="C292" s="3"/>
      <c r="D292" s="3"/>
      <c r="G292" s="2"/>
      <c r="H292" s="2"/>
      <c r="I292" s="2"/>
      <c r="J292" s="2"/>
      <c r="K292" s="3"/>
    </row>
    <row r="293">
      <c r="C293" s="3"/>
      <c r="D293" s="3"/>
      <c r="G293" s="2"/>
      <c r="H293" s="2"/>
      <c r="I293" s="2"/>
      <c r="J293" s="2"/>
      <c r="K293" s="3"/>
    </row>
    <row r="294">
      <c r="C294" s="3"/>
      <c r="D294" s="3"/>
      <c r="G294" s="2"/>
      <c r="H294" s="2"/>
      <c r="I294" s="2"/>
      <c r="J294" s="2"/>
      <c r="K294" s="3"/>
    </row>
    <row r="295">
      <c r="C295" s="3"/>
      <c r="D295" s="3"/>
      <c r="G295" s="2"/>
      <c r="H295" s="2"/>
      <c r="I295" s="2"/>
      <c r="J295" s="2"/>
      <c r="K295" s="3"/>
    </row>
    <row r="296">
      <c r="C296" s="3"/>
      <c r="D296" s="3"/>
      <c r="G296" s="2"/>
      <c r="H296" s="2"/>
      <c r="I296" s="2"/>
      <c r="J296" s="2"/>
      <c r="K296" s="3"/>
    </row>
    <row r="297">
      <c r="C297" s="3"/>
      <c r="D297" s="3"/>
      <c r="G297" s="2"/>
      <c r="H297" s="2"/>
      <c r="I297" s="2"/>
      <c r="J297" s="2"/>
      <c r="K297" s="3"/>
    </row>
    <row r="298">
      <c r="C298" s="3"/>
      <c r="D298" s="3"/>
      <c r="G298" s="2"/>
      <c r="H298" s="2"/>
      <c r="I298" s="2"/>
      <c r="J298" s="2"/>
      <c r="K298" s="3"/>
    </row>
    <row r="299">
      <c r="C299" s="3"/>
      <c r="D299" s="3"/>
      <c r="G299" s="2"/>
      <c r="H299" s="2"/>
      <c r="I299" s="2"/>
      <c r="J299" s="2"/>
      <c r="K299" s="3"/>
    </row>
    <row r="300">
      <c r="C300" s="3"/>
      <c r="D300" s="3"/>
      <c r="G300" s="2"/>
      <c r="H300" s="2"/>
      <c r="I300" s="2"/>
      <c r="J300" s="2"/>
      <c r="K300" s="3"/>
    </row>
    <row r="301">
      <c r="C301" s="3"/>
      <c r="D301" s="3"/>
      <c r="G301" s="2"/>
      <c r="H301" s="2"/>
      <c r="I301" s="2"/>
      <c r="J301" s="2"/>
      <c r="K301" s="3"/>
    </row>
    <row r="302">
      <c r="C302" s="3"/>
      <c r="D302" s="3"/>
      <c r="G302" s="2"/>
      <c r="H302" s="2"/>
      <c r="I302" s="2"/>
      <c r="J302" s="2"/>
      <c r="K302" s="3"/>
    </row>
    <row r="303">
      <c r="C303" s="3"/>
      <c r="D303" s="3"/>
      <c r="G303" s="2"/>
      <c r="H303" s="2"/>
      <c r="I303" s="2"/>
      <c r="J303" s="2"/>
      <c r="K303" s="3"/>
    </row>
    <row r="304">
      <c r="C304" s="3"/>
      <c r="D304" s="3"/>
      <c r="G304" s="2"/>
      <c r="H304" s="2"/>
      <c r="I304" s="2"/>
      <c r="J304" s="2"/>
      <c r="K304" s="3"/>
    </row>
    <row r="305">
      <c r="C305" s="3"/>
      <c r="D305" s="3"/>
      <c r="G305" s="2"/>
      <c r="H305" s="2"/>
      <c r="I305" s="2"/>
      <c r="J305" s="2"/>
      <c r="K305" s="3"/>
    </row>
    <row r="306">
      <c r="C306" s="3"/>
      <c r="D306" s="3"/>
      <c r="G306" s="2"/>
      <c r="H306" s="2"/>
      <c r="I306" s="2"/>
      <c r="J306" s="2"/>
      <c r="K306" s="3"/>
    </row>
    <row r="307">
      <c r="C307" s="3"/>
      <c r="D307" s="3"/>
      <c r="G307" s="2"/>
      <c r="H307" s="2"/>
      <c r="I307" s="2"/>
      <c r="J307" s="2"/>
      <c r="K307" s="3"/>
    </row>
    <row r="308">
      <c r="C308" s="3"/>
      <c r="D308" s="3"/>
      <c r="G308" s="2"/>
      <c r="H308" s="2"/>
      <c r="I308" s="2"/>
      <c r="J308" s="2"/>
      <c r="K308" s="3"/>
    </row>
    <row r="309">
      <c r="C309" s="3"/>
      <c r="D309" s="3"/>
      <c r="G309" s="2"/>
      <c r="H309" s="2"/>
      <c r="I309" s="2"/>
      <c r="J309" s="2"/>
      <c r="K309" s="3"/>
    </row>
    <row r="310">
      <c r="C310" s="3"/>
      <c r="D310" s="3"/>
      <c r="G310" s="2"/>
      <c r="H310" s="2"/>
      <c r="I310" s="2"/>
      <c r="J310" s="2"/>
      <c r="K310" s="3"/>
    </row>
    <row r="311">
      <c r="C311" s="3"/>
      <c r="D311" s="3"/>
      <c r="G311" s="2"/>
      <c r="H311" s="2"/>
      <c r="I311" s="2"/>
      <c r="J311" s="2"/>
      <c r="K311" s="3"/>
    </row>
    <row r="312">
      <c r="C312" s="3"/>
      <c r="D312" s="3"/>
      <c r="G312" s="2"/>
      <c r="H312" s="2"/>
      <c r="I312" s="2"/>
      <c r="J312" s="2"/>
      <c r="K312" s="3"/>
    </row>
    <row r="313">
      <c r="C313" s="3"/>
      <c r="D313" s="3"/>
      <c r="G313" s="2"/>
      <c r="H313" s="2"/>
      <c r="I313" s="2"/>
      <c r="J313" s="2"/>
      <c r="K313" s="3"/>
    </row>
    <row r="314">
      <c r="C314" s="3"/>
      <c r="D314" s="3"/>
      <c r="G314" s="2"/>
      <c r="H314" s="2"/>
      <c r="I314" s="2"/>
      <c r="J314" s="2"/>
      <c r="K314" s="3"/>
    </row>
    <row r="315">
      <c r="C315" s="3"/>
      <c r="D315" s="3"/>
      <c r="G315" s="2"/>
      <c r="H315" s="2"/>
      <c r="I315" s="2"/>
      <c r="J315" s="2"/>
      <c r="K315" s="3"/>
    </row>
    <row r="316">
      <c r="C316" s="3"/>
      <c r="D316" s="3"/>
      <c r="G316" s="2"/>
      <c r="H316" s="2"/>
      <c r="I316" s="2"/>
      <c r="J316" s="2"/>
      <c r="K316" s="3"/>
    </row>
    <row r="317">
      <c r="C317" s="3"/>
      <c r="D317" s="3"/>
      <c r="G317" s="2"/>
      <c r="H317" s="2"/>
      <c r="I317" s="2"/>
      <c r="J317" s="2"/>
      <c r="K317" s="3"/>
    </row>
    <row r="318">
      <c r="C318" s="3"/>
      <c r="D318" s="3"/>
      <c r="G318" s="2"/>
      <c r="H318" s="2"/>
      <c r="I318" s="2"/>
      <c r="J318" s="2"/>
      <c r="K318" s="3"/>
    </row>
    <row r="319">
      <c r="C319" s="3"/>
      <c r="D319" s="3"/>
      <c r="G319" s="2"/>
      <c r="H319" s="2"/>
      <c r="I319" s="2"/>
      <c r="J319" s="2"/>
      <c r="K319" s="3"/>
    </row>
    <row r="320">
      <c r="C320" s="3"/>
      <c r="D320" s="3"/>
      <c r="G320" s="2"/>
      <c r="H320" s="2"/>
      <c r="I320" s="2"/>
      <c r="J320" s="2"/>
      <c r="K320" s="3"/>
    </row>
    <row r="321">
      <c r="C321" s="3"/>
      <c r="D321" s="3"/>
      <c r="G321" s="2"/>
      <c r="H321" s="2"/>
      <c r="I321" s="2"/>
      <c r="J321" s="2"/>
      <c r="K321" s="3"/>
    </row>
    <row r="322">
      <c r="C322" s="3"/>
      <c r="D322" s="3"/>
      <c r="G322" s="2"/>
      <c r="H322" s="2"/>
      <c r="I322" s="2"/>
      <c r="J322" s="2"/>
      <c r="K322" s="3"/>
    </row>
    <row r="323">
      <c r="C323" s="3"/>
      <c r="D323" s="3"/>
      <c r="G323" s="2"/>
      <c r="H323" s="2"/>
      <c r="I323" s="2"/>
      <c r="J323" s="2"/>
      <c r="K323" s="3"/>
    </row>
    <row r="324">
      <c r="C324" s="3"/>
      <c r="D324" s="3"/>
      <c r="G324" s="2"/>
      <c r="H324" s="2"/>
      <c r="I324" s="2"/>
      <c r="J324" s="2"/>
      <c r="K324" s="3"/>
    </row>
    <row r="325">
      <c r="C325" s="3"/>
      <c r="D325" s="3"/>
      <c r="G325" s="2"/>
      <c r="H325" s="2"/>
      <c r="I325" s="2"/>
      <c r="J325" s="2"/>
      <c r="K325" s="3"/>
    </row>
    <row r="326">
      <c r="C326" s="3"/>
      <c r="D326" s="3"/>
      <c r="G326" s="2"/>
      <c r="H326" s="2"/>
      <c r="I326" s="2"/>
      <c r="J326" s="2"/>
      <c r="K326" s="3"/>
    </row>
    <row r="327">
      <c r="C327" s="3"/>
      <c r="D327" s="3"/>
      <c r="G327" s="2"/>
      <c r="H327" s="2"/>
      <c r="I327" s="2"/>
      <c r="J327" s="2"/>
      <c r="K327" s="3"/>
    </row>
    <row r="328">
      <c r="C328" s="3"/>
      <c r="D328" s="3"/>
      <c r="G328" s="2"/>
      <c r="H328" s="2"/>
      <c r="I328" s="2"/>
      <c r="J328" s="2"/>
      <c r="K328" s="3"/>
    </row>
    <row r="329">
      <c r="C329" s="3"/>
      <c r="D329" s="3"/>
      <c r="G329" s="2"/>
      <c r="H329" s="2"/>
      <c r="I329" s="2"/>
      <c r="J329" s="2"/>
      <c r="K329" s="3"/>
    </row>
    <row r="330">
      <c r="C330" s="3"/>
      <c r="D330" s="3"/>
      <c r="G330" s="2"/>
      <c r="H330" s="2"/>
      <c r="I330" s="2"/>
      <c r="J330" s="2"/>
      <c r="K330" s="3"/>
    </row>
    <row r="331">
      <c r="C331" s="3"/>
      <c r="D331" s="3"/>
      <c r="G331" s="2"/>
      <c r="H331" s="2"/>
      <c r="I331" s="2"/>
      <c r="J331" s="2"/>
      <c r="K331" s="3"/>
    </row>
    <row r="332">
      <c r="C332" s="3"/>
      <c r="D332" s="3"/>
      <c r="G332" s="2"/>
      <c r="H332" s="2"/>
      <c r="I332" s="2"/>
      <c r="J332" s="2"/>
      <c r="K332" s="3"/>
    </row>
    <row r="333">
      <c r="C333" s="3"/>
      <c r="D333" s="3"/>
      <c r="G333" s="2"/>
      <c r="H333" s="2"/>
      <c r="I333" s="2"/>
      <c r="J333" s="2"/>
      <c r="K333" s="3"/>
    </row>
    <row r="334">
      <c r="C334" s="3"/>
      <c r="D334" s="3"/>
      <c r="G334" s="2"/>
      <c r="H334" s="2"/>
      <c r="I334" s="2"/>
      <c r="J334" s="2"/>
      <c r="K334" s="3"/>
    </row>
    <row r="335">
      <c r="C335" s="3"/>
      <c r="D335" s="3"/>
      <c r="G335" s="2"/>
      <c r="H335" s="2"/>
      <c r="I335" s="2"/>
      <c r="J335" s="2"/>
      <c r="K335" s="3"/>
    </row>
    <row r="336">
      <c r="C336" s="3"/>
      <c r="D336" s="3"/>
      <c r="G336" s="2"/>
      <c r="H336" s="2"/>
      <c r="I336" s="2"/>
      <c r="J336" s="2"/>
      <c r="K336" s="3"/>
    </row>
    <row r="337">
      <c r="C337" s="3"/>
      <c r="D337" s="3"/>
      <c r="G337" s="2"/>
      <c r="H337" s="2"/>
      <c r="I337" s="2"/>
      <c r="J337" s="2"/>
      <c r="K337" s="3"/>
    </row>
    <row r="338">
      <c r="C338" s="3"/>
      <c r="D338" s="3"/>
      <c r="G338" s="2"/>
      <c r="H338" s="2"/>
      <c r="I338" s="2"/>
      <c r="J338" s="2"/>
      <c r="K338" s="3"/>
    </row>
    <row r="339">
      <c r="C339" s="3"/>
      <c r="D339" s="3"/>
      <c r="G339" s="2"/>
      <c r="H339" s="2"/>
      <c r="I339" s="2"/>
      <c r="J339" s="2"/>
      <c r="K339" s="3"/>
    </row>
    <row r="340">
      <c r="C340" s="3"/>
      <c r="D340" s="3"/>
      <c r="G340" s="2"/>
      <c r="H340" s="2"/>
      <c r="I340" s="2"/>
      <c r="J340" s="2"/>
      <c r="K340" s="3"/>
    </row>
    <row r="341">
      <c r="C341" s="3"/>
      <c r="D341" s="3"/>
      <c r="G341" s="2"/>
      <c r="H341" s="2"/>
      <c r="I341" s="2"/>
      <c r="J341" s="2"/>
      <c r="K341" s="3"/>
    </row>
    <row r="342">
      <c r="C342" s="3"/>
      <c r="D342" s="3"/>
      <c r="G342" s="2"/>
      <c r="H342" s="2"/>
      <c r="I342" s="2"/>
      <c r="J342" s="2"/>
      <c r="K342" s="3"/>
    </row>
    <row r="343">
      <c r="C343" s="3"/>
      <c r="D343" s="3"/>
      <c r="G343" s="2"/>
      <c r="H343" s="2"/>
      <c r="I343" s="2"/>
      <c r="J343" s="2"/>
      <c r="K343" s="3"/>
    </row>
    <row r="344">
      <c r="C344" s="3"/>
      <c r="D344" s="3"/>
      <c r="G344" s="2"/>
      <c r="H344" s="2"/>
      <c r="I344" s="2"/>
      <c r="J344" s="2"/>
      <c r="K344" s="3"/>
    </row>
    <row r="345">
      <c r="C345" s="3"/>
      <c r="D345" s="3"/>
      <c r="G345" s="2"/>
      <c r="H345" s="2"/>
      <c r="I345" s="2"/>
      <c r="J345" s="2"/>
      <c r="K345" s="3"/>
    </row>
    <row r="346">
      <c r="C346" s="3"/>
      <c r="D346" s="3"/>
      <c r="G346" s="2"/>
      <c r="H346" s="2"/>
      <c r="I346" s="2"/>
      <c r="J346" s="2"/>
      <c r="K346" s="3"/>
    </row>
    <row r="347">
      <c r="C347" s="3"/>
      <c r="D347" s="3"/>
      <c r="G347" s="2"/>
      <c r="H347" s="2"/>
      <c r="I347" s="2"/>
      <c r="J347" s="2"/>
      <c r="K347" s="3"/>
    </row>
    <row r="348">
      <c r="C348" s="3"/>
      <c r="D348" s="3"/>
      <c r="G348" s="2"/>
      <c r="H348" s="2"/>
      <c r="I348" s="2"/>
      <c r="J348" s="2"/>
      <c r="K348" s="3"/>
    </row>
    <row r="349">
      <c r="C349" s="3"/>
      <c r="D349" s="3"/>
      <c r="G349" s="2"/>
      <c r="H349" s="2"/>
      <c r="I349" s="2"/>
      <c r="J349" s="2"/>
      <c r="K349" s="3"/>
    </row>
    <row r="350">
      <c r="C350" s="3"/>
      <c r="D350" s="3"/>
      <c r="G350" s="2"/>
      <c r="H350" s="2"/>
      <c r="I350" s="2"/>
      <c r="J350" s="2"/>
      <c r="K350" s="3"/>
    </row>
    <row r="351">
      <c r="C351" s="3"/>
      <c r="D351" s="3"/>
      <c r="G351" s="2"/>
      <c r="H351" s="2"/>
      <c r="I351" s="2"/>
      <c r="J351" s="2"/>
      <c r="K351" s="3"/>
    </row>
    <row r="352">
      <c r="C352" s="3"/>
      <c r="D352" s="3"/>
      <c r="G352" s="2"/>
      <c r="H352" s="2"/>
      <c r="I352" s="2"/>
      <c r="J352" s="2"/>
      <c r="K352" s="3"/>
    </row>
    <row r="353">
      <c r="C353" s="3"/>
      <c r="D353" s="3"/>
      <c r="G353" s="2"/>
      <c r="H353" s="2"/>
      <c r="I353" s="2"/>
      <c r="J353" s="2"/>
      <c r="K353" s="3"/>
    </row>
    <row r="354">
      <c r="C354" s="3"/>
      <c r="D354" s="3"/>
      <c r="G354" s="2"/>
      <c r="H354" s="2"/>
      <c r="I354" s="2"/>
      <c r="J354" s="2"/>
      <c r="K354" s="3"/>
    </row>
    <row r="355">
      <c r="C355" s="3"/>
      <c r="D355" s="3"/>
      <c r="G355" s="2"/>
      <c r="H355" s="2"/>
      <c r="I355" s="2"/>
      <c r="J355" s="2"/>
      <c r="K355" s="3"/>
    </row>
    <row r="356">
      <c r="C356" s="3"/>
      <c r="D356" s="3"/>
      <c r="G356" s="2"/>
      <c r="H356" s="2"/>
      <c r="I356" s="2"/>
      <c r="J356" s="2"/>
      <c r="K356" s="3"/>
    </row>
    <row r="357">
      <c r="C357" s="3"/>
      <c r="D357" s="3"/>
      <c r="G357" s="2"/>
      <c r="H357" s="2"/>
      <c r="I357" s="2"/>
      <c r="J357" s="2"/>
      <c r="K357" s="3"/>
    </row>
    <row r="358">
      <c r="C358" s="3"/>
      <c r="D358" s="3"/>
      <c r="G358" s="2"/>
      <c r="H358" s="2"/>
      <c r="I358" s="2"/>
      <c r="J358" s="2"/>
      <c r="K358" s="3"/>
    </row>
    <row r="359">
      <c r="C359" s="3"/>
      <c r="D359" s="3"/>
      <c r="G359" s="2"/>
      <c r="H359" s="2"/>
      <c r="I359" s="2"/>
      <c r="J359" s="2"/>
      <c r="K359" s="3"/>
    </row>
    <row r="360">
      <c r="C360" s="3"/>
      <c r="D360" s="3"/>
      <c r="G360" s="2"/>
      <c r="H360" s="2"/>
      <c r="I360" s="2"/>
      <c r="J360" s="2"/>
      <c r="K360" s="3"/>
    </row>
    <row r="361">
      <c r="C361" s="3"/>
      <c r="D361" s="3"/>
      <c r="G361" s="2"/>
      <c r="H361" s="2"/>
      <c r="I361" s="2"/>
      <c r="J361" s="2"/>
      <c r="K361" s="3"/>
    </row>
    <row r="362">
      <c r="C362" s="3"/>
      <c r="D362" s="3"/>
      <c r="G362" s="2"/>
      <c r="H362" s="2"/>
      <c r="I362" s="2"/>
      <c r="J362" s="2"/>
      <c r="K362" s="3"/>
    </row>
    <row r="363">
      <c r="C363" s="3"/>
      <c r="D363" s="3"/>
      <c r="G363" s="2"/>
      <c r="H363" s="2"/>
      <c r="I363" s="2"/>
      <c r="J363" s="2"/>
      <c r="K363" s="3"/>
    </row>
    <row r="364">
      <c r="C364" s="3"/>
      <c r="D364" s="3"/>
      <c r="G364" s="2"/>
      <c r="H364" s="2"/>
      <c r="I364" s="2"/>
      <c r="J364" s="2"/>
      <c r="K364" s="3"/>
    </row>
    <row r="365">
      <c r="C365" s="3"/>
      <c r="D365" s="3"/>
      <c r="G365" s="2"/>
      <c r="H365" s="2"/>
      <c r="I365" s="2"/>
      <c r="J365" s="2"/>
      <c r="K365" s="3"/>
    </row>
    <row r="366">
      <c r="C366" s="3"/>
      <c r="D366" s="3"/>
      <c r="G366" s="2"/>
      <c r="H366" s="2"/>
      <c r="I366" s="2"/>
      <c r="J366" s="2"/>
      <c r="K366" s="3"/>
    </row>
    <row r="367">
      <c r="C367" s="3"/>
      <c r="D367" s="3"/>
      <c r="G367" s="2"/>
      <c r="H367" s="2"/>
      <c r="I367" s="2"/>
      <c r="J367" s="2"/>
      <c r="K367" s="3"/>
    </row>
    <row r="368">
      <c r="C368" s="3"/>
      <c r="D368" s="3"/>
      <c r="G368" s="2"/>
      <c r="H368" s="2"/>
      <c r="I368" s="2"/>
      <c r="J368" s="2"/>
      <c r="K368" s="3"/>
    </row>
    <row r="369">
      <c r="C369" s="3"/>
      <c r="D369" s="3"/>
      <c r="G369" s="2"/>
      <c r="H369" s="2"/>
      <c r="I369" s="2"/>
      <c r="J369" s="2"/>
      <c r="K369" s="3"/>
    </row>
    <row r="370">
      <c r="C370" s="3"/>
      <c r="D370" s="3"/>
      <c r="G370" s="2"/>
      <c r="H370" s="2"/>
      <c r="I370" s="2"/>
      <c r="J370" s="2"/>
      <c r="K370" s="3"/>
    </row>
    <row r="371">
      <c r="C371" s="3"/>
      <c r="D371" s="3"/>
      <c r="G371" s="2"/>
      <c r="H371" s="2"/>
      <c r="I371" s="2"/>
      <c r="J371" s="2"/>
      <c r="K371" s="3"/>
    </row>
    <row r="372">
      <c r="C372" s="3"/>
      <c r="D372" s="3"/>
      <c r="G372" s="2"/>
      <c r="H372" s="2"/>
      <c r="I372" s="2"/>
      <c r="J372" s="2"/>
      <c r="K372" s="3"/>
    </row>
    <row r="373">
      <c r="C373" s="3"/>
      <c r="D373" s="3"/>
      <c r="G373" s="2"/>
      <c r="H373" s="2"/>
      <c r="I373" s="2"/>
      <c r="J373" s="2"/>
      <c r="K373" s="3"/>
    </row>
    <row r="374">
      <c r="C374" s="3"/>
      <c r="D374" s="3"/>
      <c r="G374" s="2"/>
      <c r="H374" s="2"/>
      <c r="I374" s="2"/>
      <c r="J374" s="2"/>
      <c r="K374" s="3"/>
    </row>
    <row r="375">
      <c r="C375" s="3"/>
      <c r="D375" s="3"/>
      <c r="G375" s="2"/>
      <c r="H375" s="2"/>
      <c r="I375" s="2"/>
      <c r="J375" s="2"/>
      <c r="K375" s="3"/>
    </row>
    <row r="376">
      <c r="C376" s="3"/>
      <c r="D376" s="3"/>
      <c r="G376" s="2"/>
      <c r="H376" s="2"/>
      <c r="I376" s="2"/>
      <c r="J376" s="2"/>
      <c r="K376" s="3"/>
    </row>
    <row r="377">
      <c r="C377" s="3"/>
      <c r="D377" s="3"/>
      <c r="G377" s="2"/>
      <c r="H377" s="2"/>
      <c r="I377" s="2"/>
      <c r="J377" s="2"/>
      <c r="K377" s="3"/>
    </row>
    <row r="378">
      <c r="C378" s="3"/>
      <c r="D378" s="3"/>
      <c r="G378" s="2"/>
      <c r="H378" s="2"/>
      <c r="I378" s="2"/>
      <c r="J378" s="2"/>
      <c r="K378" s="3"/>
    </row>
    <row r="379">
      <c r="C379" s="3"/>
      <c r="D379" s="3"/>
      <c r="G379" s="2"/>
      <c r="H379" s="2"/>
      <c r="I379" s="2"/>
      <c r="J379" s="2"/>
      <c r="K379" s="3"/>
    </row>
    <row r="380">
      <c r="C380" s="3"/>
      <c r="D380" s="3"/>
      <c r="G380" s="2"/>
      <c r="H380" s="2"/>
      <c r="I380" s="2"/>
      <c r="J380" s="2"/>
      <c r="K380" s="3"/>
    </row>
    <row r="381">
      <c r="C381" s="3"/>
      <c r="D381" s="3"/>
      <c r="G381" s="2"/>
      <c r="H381" s="2"/>
      <c r="I381" s="2"/>
      <c r="J381" s="2"/>
      <c r="K381" s="3"/>
    </row>
    <row r="382">
      <c r="C382" s="3"/>
      <c r="D382" s="3"/>
      <c r="G382" s="2"/>
      <c r="H382" s="2"/>
      <c r="I382" s="2"/>
      <c r="J382" s="2"/>
      <c r="K382" s="3"/>
    </row>
    <row r="383">
      <c r="C383" s="3"/>
      <c r="D383" s="3"/>
      <c r="G383" s="2"/>
      <c r="H383" s="2"/>
      <c r="I383" s="2"/>
      <c r="J383" s="2"/>
      <c r="K383" s="3"/>
    </row>
    <row r="384">
      <c r="C384" s="3"/>
      <c r="D384" s="3"/>
      <c r="G384" s="2"/>
      <c r="H384" s="2"/>
      <c r="I384" s="2"/>
      <c r="J384" s="2"/>
      <c r="K384" s="3"/>
    </row>
    <row r="385">
      <c r="C385" s="3"/>
      <c r="D385" s="3"/>
      <c r="G385" s="2"/>
      <c r="H385" s="2"/>
      <c r="I385" s="2"/>
      <c r="J385" s="2"/>
      <c r="K385" s="3"/>
    </row>
    <row r="386">
      <c r="C386" s="3"/>
      <c r="D386" s="3"/>
      <c r="G386" s="2"/>
      <c r="H386" s="2"/>
      <c r="I386" s="2"/>
      <c r="J386" s="2"/>
      <c r="K386" s="3"/>
    </row>
    <row r="387">
      <c r="C387" s="3"/>
      <c r="D387" s="3"/>
      <c r="G387" s="2"/>
      <c r="H387" s="2"/>
      <c r="I387" s="2"/>
      <c r="J387" s="2"/>
      <c r="K387" s="3"/>
    </row>
    <row r="388">
      <c r="C388" s="3"/>
      <c r="D388" s="3"/>
      <c r="G388" s="2"/>
      <c r="H388" s="2"/>
      <c r="I388" s="2"/>
      <c r="J388" s="2"/>
      <c r="K388" s="3"/>
    </row>
    <row r="389">
      <c r="C389" s="3"/>
      <c r="D389" s="3"/>
      <c r="G389" s="2"/>
      <c r="H389" s="2"/>
      <c r="I389" s="2"/>
      <c r="J389" s="2"/>
      <c r="K389" s="3"/>
    </row>
    <row r="390">
      <c r="C390" s="3"/>
      <c r="D390" s="3"/>
      <c r="G390" s="2"/>
      <c r="H390" s="2"/>
      <c r="I390" s="2"/>
      <c r="J390" s="2"/>
      <c r="K390" s="3"/>
    </row>
    <row r="391">
      <c r="C391" s="3"/>
      <c r="D391" s="3"/>
      <c r="G391" s="2"/>
      <c r="H391" s="2"/>
      <c r="I391" s="2"/>
      <c r="J391" s="2"/>
      <c r="K391" s="3"/>
    </row>
    <row r="392">
      <c r="C392" s="3"/>
      <c r="D392" s="3"/>
      <c r="G392" s="2"/>
      <c r="H392" s="2"/>
      <c r="I392" s="2"/>
      <c r="J392" s="2"/>
      <c r="K392" s="3"/>
    </row>
    <row r="393">
      <c r="C393" s="3"/>
      <c r="D393" s="3"/>
      <c r="G393" s="2"/>
      <c r="H393" s="2"/>
      <c r="I393" s="2"/>
      <c r="J393" s="2"/>
      <c r="K393" s="3"/>
    </row>
    <row r="394">
      <c r="C394" s="3"/>
      <c r="D394" s="3"/>
      <c r="G394" s="2"/>
      <c r="H394" s="2"/>
      <c r="I394" s="2"/>
      <c r="J394" s="2"/>
      <c r="K394" s="3"/>
    </row>
    <row r="395">
      <c r="C395" s="3"/>
      <c r="D395" s="3"/>
      <c r="G395" s="2"/>
      <c r="H395" s="2"/>
      <c r="I395" s="2"/>
      <c r="J395" s="2"/>
      <c r="K395" s="3"/>
    </row>
    <row r="396">
      <c r="C396" s="3"/>
      <c r="D396" s="3"/>
      <c r="G396" s="2"/>
      <c r="H396" s="2"/>
      <c r="I396" s="2"/>
      <c r="J396" s="2"/>
      <c r="K396" s="3"/>
    </row>
    <row r="397">
      <c r="C397" s="3"/>
      <c r="D397" s="3"/>
      <c r="G397" s="2"/>
      <c r="H397" s="2"/>
      <c r="I397" s="2"/>
      <c r="J397" s="2"/>
      <c r="K397" s="3"/>
    </row>
    <row r="398">
      <c r="C398" s="3"/>
      <c r="D398" s="3"/>
      <c r="G398" s="2"/>
      <c r="H398" s="2"/>
      <c r="I398" s="2"/>
      <c r="J398" s="2"/>
      <c r="K398" s="3"/>
    </row>
    <row r="399">
      <c r="C399" s="3"/>
      <c r="D399" s="3"/>
      <c r="G399" s="2"/>
      <c r="H399" s="2"/>
      <c r="I399" s="2"/>
      <c r="J399" s="2"/>
      <c r="K399" s="3"/>
    </row>
    <row r="400">
      <c r="C400" s="3"/>
      <c r="D400" s="3"/>
      <c r="G400" s="2"/>
      <c r="H400" s="2"/>
      <c r="I400" s="2"/>
      <c r="J400" s="2"/>
      <c r="K400" s="3"/>
    </row>
    <row r="401">
      <c r="C401" s="3"/>
      <c r="D401" s="3"/>
      <c r="G401" s="2"/>
      <c r="H401" s="2"/>
      <c r="I401" s="2"/>
      <c r="J401" s="2"/>
      <c r="K401" s="3"/>
    </row>
    <row r="402">
      <c r="C402" s="3"/>
      <c r="D402" s="3"/>
      <c r="G402" s="2"/>
      <c r="H402" s="2"/>
      <c r="I402" s="2"/>
      <c r="J402" s="2"/>
      <c r="K402" s="3"/>
    </row>
    <row r="403">
      <c r="C403" s="3"/>
      <c r="D403" s="3"/>
      <c r="G403" s="2"/>
      <c r="H403" s="2"/>
      <c r="I403" s="2"/>
      <c r="J403" s="2"/>
      <c r="K403" s="3"/>
    </row>
    <row r="404">
      <c r="C404" s="3"/>
      <c r="D404" s="3"/>
      <c r="G404" s="2"/>
      <c r="H404" s="2"/>
      <c r="I404" s="2"/>
      <c r="J404" s="2"/>
      <c r="K404" s="3"/>
    </row>
    <row r="405">
      <c r="C405" s="3"/>
      <c r="D405" s="3"/>
      <c r="G405" s="2"/>
      <c r="H405" s="2"/>
      <c r="I405" s="2"/>
      <c r="J405" s="2"/>
      <c r="K405" s="3"/>
    </row>
    <row r="406">
      <c r="C406" s="3"/>
      <c r="D406" s="3"/>
      <c r="G406" s="2"/>
      <c r="H406" s="2"/>
      <c r="I406" s="2"/>
      <c r="J406" s="2"/>
      <c r="K406" s="3"/>
    </row>
    <row r="407">
      <c r="C407" s="3"/>
      <c r="D407" s="3"/>
      <c r="G407" s="2"/>
      <c r="H407" s="2"/>
      <c r="I407" s="2"/>
      <c r="J407" s="2"/>
      <c r="K407" s="3"/>
    </row>
    <row r="408">
      <c r="C408" s="3"/>
      <c r="D408" s="3"/>
      <c r="G408" s="2"/>
      <c r="H408" s="2"/>
      <c r="I408" s="2"/>
      <c r="J408" s="2"/>
      <c r="K408" s="3"/>
    </row>
    <row r="409">
      <c r="C409" s="3"/>
      <c r="D409" s="3"/>
      <c r="G409" s="2"/>
      <c r="H409" s="2"/>
      <c r="I409" s="2"/>
      <c r="J409" s="2"/>
      <c r="K409" s="3"/>
    </row>
    <row r="410">
      <c r="C410" s="3"/>
      <c r="D410" s="3"/>
      <c r="G410" s="2"/>
      <c r="H410" s="2"/>
      <c r="I410" s="2"/>
      <c r="J410" s="2"/>
      <c r="K410" s="3"/>
    </row>
    <row r="411">
      <c r="C411" s="3"/>
      <c r="D411" s="3"/>
      <c r="G411" s="2"/>
      <c r="H411" s="2"/>
      <c r="I411" s="2"/>
      <c r="J411" s="2"/>
      <c r="K411" s="3"/>
    </row>
    <row r="412">
      <c r="C412" s="3"/>
      <c r="D412" s="3"/>
      <c r="G412" s="2"/>
      <c r="H412" s="2"/>
      <c r="I412" s="2"/>
      <c r="J412" s="2"/>
      <c r="K412" s="3"/>
    </row>
    <row r="413">
      <c r="C413" s="3"/>
      <c r="D413" s="3"/>
      <c r="G413" s="2"/>
      <c r="H413" s="2"/>
      <c r="I413" s="2"/>
      <c r="J413" s="2"/>
      <c r="K413" s="3"/>
    </row>
    <row r="414">
      <c r="C414" s="3"/>
      <c r="D414" s="3"/>
      <c r="G414" s="2"/>
      <c r="H414" s="2"/>
      <c r="I414" s="2"/>
      <c r="J414" s="2"/>
      <c r="K414" s="3"/>
    </row>
    <row r="415">
      <c r="C415" s="3"/>
      <c r="D415" s="3"/>
      <c r="G415" s="2"/>
      <c r="H415" s="2"/>
      <c r="I415" s="2"/>
      <c r="J415" s="2"/>
      <c r="K415" s="3"/>
    </row>
    <row r="416">
      <c r="C416" s="3"/>
      <c r="D416" s="3"/>
      <c r="G416" s="2"/>
      <c r="H416" s="2"/>
      <c r="I416" s="2"/>
      <c r="J416" s="2"/>
      <c r="K416" s="3"/>
    </row>
    <row r="417">
      <c r="C417" s="3"/>
      <c r="D417" s="3"/>
      <c r="G417" s="2"/>
      <c r="H417" s="2"/>
      <c r="I417" s="2"/>
      <c r="J417" s="2"/>
      <c r="K417" s="3"/>
    </row>
    <row r="418">
      <c r="C418" s="3"/>
      <c r="D418" s="3"/>
      <c r="G418" s="2"/>
      <c r="H418" s="2"/>
      <c r="I418" s="2"/>
      <c r="J418" s="2"/>
      <c r="K418" s="3"/>
    </row>
    <row r="419">
      <c r="C419" s="3"/>
      <c r="D419" s="3"/>
      <c r="G419" s="2"/>
      <c r="H419" s="2"/>
      <c r="I419" s="2"/>
      <c r="J419" s="2"/>
      <c r="K419" s="3"/>
    </row>
    <row r="420">
      <c r="C420" s="3"/>
      <c r="D420" s="3"/>
      <c r="G420" s="2"/>
      <c r="H420" s="2"/>
      <c r="I420" s="2"/>
      <c r="J420" s="2"/>
      <c r="K420" s="3"/>
    </row>
    <row r="421">
      <c r="C421" s="3"/>
      <c r="D421" s="3"/>
      <c r="G421" s="2"/>
      <c r="H421" s="2"/>
      <c r="I421" s="2"/>
      <c r="J421" s="2"/>
      <c r="K421" s="3"/>
    </row>
    <row r="422">
      <c r="C422" s="3"/>
      <c r="D422" s="3"/>
      <c r="G422" s="2"/>
      <c r="H422" s="2"/>
      <c r="I422" s="2"/>
      <c r="J422" s="2"/>
      <c r="K422" s="3"/>
    </row>
    <row r="423">
      <c r="C423" s="3"/>
      <c r="D423" s="3"/>
      <c r="G423" s="2"/>
      <c r="H423" s="2"/>
      <c r="I423" s="2"/>
      <c r="J423" s="2"/>
      <c r="K423" s="3"/>
    </row>
    <row r="424">
      <c r="C424" s="3"/>
      <c r="D424" s="3"/>
      <c r="G424" s="2"/>
      <c r="H424" s="2"/>
      <c r="I424" s="2"/>
      <c r="J424" s="2"/>
      <c r="K424" s="3"/>
    </row>
    <row r="425">
      <c r="C425" s="3"/>
      <c r="D425" s="3"/>
      <c r="G425" s="2"/>
      <c r="H425" s="2"/>
      <c r="I425" s="2"/>
      <c r="J425" s="2"/>
      <c r="K425" s="3"/>
    </row>
    <row r="426">
      <c r="C426" s="3"/>
      <c r="D426" s="3"/>
      <c r="G426" s="2"/>
      <c r="H426" s="2"/>
      <c r="I426" s="2"/>
      <c r="J426" s="2"/>
      <c r="K426" s="3"/>
    </row>
    <row r="427">
      <c r="C427" s="3"/>
      <c r="D427" s="3"/>
      <c r="G427" s="2"/>
      <c r="H427" s="2"/>
      <c r="I427" s="2"/>
      <c r="J427" s="2"/>
      <c r="K427" s="3"/>
    </row>
    <row r="428">
      <c r="C428" s="3"/>
      <c r="D428" s="3"/>
      <c r="G428" s="2"/>
      <c r="H428" s="2"/>
      <c r="I428" s="2"/>
      <c r="J428" s="2"/>
      <c r="K428" s="3"/>
    </row>
    <row r="429">
      <c r="C429" s="3"/>
      <c r="D429" s="3"/>
      <c r="G429" s="2"/>
      <c r="H429" s="2"/>
      <c r="I429" s="2"/>
      <c r="J429" s="2"/>
      <c r="K429" s="3"/>
    </row>
    <row r="430">
      <c r="C430" s="3"/>
      <c r="D430" s="3"/>
      <c r="G430" s="2"/>
      <c r="H430" s="2"/>
      <c r="I430" s="2"/>
      <c r="J430" s="2"/>
      <c r="K430" s="3"/>
    </row>
    <row r="431">
      <c r="C431" s="3"/>
      <c r="D431" s="3"/>
      <c r="G431" s="2"/>
      <c r="H431" s="2"/>
      <c r="I431" s="2"/>
      <c r="J431" s="2"/>
      <c r="K431" s="3"/>
    </row>
    <row r="432">
      <c r="C432" s="3"/>
      <c r="D432" s="3"/>
      <c r="G432" s="2"/>
      <c r="H432" s="2"/>
      <c r="I432" s="2"/>
      <c r="J432" s="2"/>
      <c r="K432" s="3"/>
    </row>
    <row r="433">
      <c r="C433" s="3"/>
      <c r="D433" s="3"/>
      <c r="G433" s="2"/>
      <c r="H433" s="2"/>
      <c r="I433" s="2"/>
      <c r="J433" s="2"/>
      <c r="K433" s="3"/>
    </row>
    <row r="434">
      <c r="C434" s="3"/>
      <c r="D434" s="3"/>
      <c r="G434" s="2"/>
      <c r="H434" s="2"/>
      <c r="I434" s="2"/>
      <c r="J434" s="2"/>
      <c r="K434" s="3"/>
    </row>
    <row r="435">
      <c r="C435" s="3"/>
      <c r="D435" s="3"/>
      <c r="G435" s="2"/>
      <c r="H435" s="2"/>
      <c r="I435" s="2"/>
      <c r="J435" s="2"/>
      <c r="K435" s="3"/>
    </row>
    <row r="436">
      <c r="C436" s="3"/>
      <c r="D436" s="3"/>
      <c r="G436" s="2"/>
      <c r="H436" s="2"/>
      <c r="I436" s="2"/>
      <c r="J436" s="2"/>
      <c r="K436" s="3"/>
    </row>
    <row r="437">
      <c r="C437" s="3"/>
      <c r="D437" s="3"/>
      <c r="G437" s="2"/>
      <c r="H437" s="2"/>
      <c r="I437" s="2"/>
      <c r="J437" s="2"/>
      <c r="K437" s="3"/>
    </row>
    <row r="438">
      <c r="C438" s="3"/>
      <c r="D438" s="3"/>
      <c r="G438" s="2"/>
      <c r="H438" s="2"/>
      <c r="I438" s="2"/>
      <c r="J438" s="2"/>
      <c r="K438" s="3"/>
    </row>
    <row r="439">
      <c r="C439" s="3"/>
      <c r="D439" s="3"/>
      <c r="G439" s="2"/>
      <c r="H439" s="2"/>
      <c r="I439" s="2"/>
      <c r="J439" s="2"/>
      <c r="K439" s="3"/>
    </row>
    <row r="440">
      <c r="C440" s="3"/>
      <c r="D440" s="3"/>
      <c r="G440" s="2"/>
      <c r="H440" s="2"/>
      <c r="I440" s="2"/>
      <c r="J440" s="2"/>
      <c r="K440" s="3"/>
    </row>
    <row r="441">
      <c r="C441" s="3"/>
      <c r="D441" s="3"/>
      <c r="G441" s="2"/>
      <c r="H441" s="2"/>
      <c r="I441" s="2"/>
      <c r="J441" s="2"/>
      <c r="K441" s="3"/>
    </row>
    <row r="442">
      <c r="C442" s="3"/>
      <c r="D442" s="3"/>
      <c r="G442" s="2"/>
      <c r="H442" s="2"/>
      <c r="I442" s="2"/>
      <c r="J442" s="2"/>
      <c r="K442" s="3"/>
    </row>
    <row r="443">
      <c r="C443" s="3"/>
      <c r="D443" s="3"/>
      <c r="G443" s="2"/>
      <c r="H443" s="2"/>
      <c r="I443" s="2"/>
      <c r="J443" s="2"/>
      <c r="K443" s="3"/>
    </row>
    <row r="444">
      <c r="C444" s="3"/>
      <c r="D444" s="3"/>
      <c r="G444" s="2"/>
      <c r="H444" s="2"/>
      <c r="I444" s="2"/>
      <c r="J444" s="2"/>
      <c r="K444" s="3"/>
    </row>
    <row r="445">
      <c r="C445" s="3"/>
      <c r="D445" s="3"/>
      <c r="G445" s="2"/>
      <c r="H445" s="2"/>
      <c r="I445" s="2"/>
      <c r="J445" s="2"/>
      <c r="K445" s="3"/>
    </row>
    <row r="446">
      <c r="C446" s="3"/>
      <c r="D446" s="3"/>
      <c r="G446" s="2"/>
      <c r="H446" s="2"/>
      <c r="I446" s="2"/>
      <c r="J446" s="2"/>
      <c r="K446" s="3"/>
    </row>
    <row r="447">
      <c r="C447" s="3"/>
      <c r="D447" s="3"/>
      <c r="G447" s="2"/>
      <c r="H447" s="2"/>
      <c r="I447" s="2"/>
      <c r="J447" s="2"/>
      <c r="K447" s="3"/>
    </row>
    <row r="448">
      <c r="C448" s="3"/>
      <c r="D448" s="3"/>
      <c r="G448" s="2"/>
      <c r="H448" s="2"/>
      <c r="I448" s="2"/>
      <c r="J448" s="2"/>
      <c r="K448" s="3"/>
    </row>
    <row r="449">
      <c r="C449" s="3"/>
      <c r="D449" s="3"/>
      <c r="G449" s="2"/>
      <c r="H449" s="2"/>
      <c r="I449" s="2"/>
      <c r="J449" s="2"/>
      <c r="K449" s="3"/>
    </row>
    <row r="450">
      <c r="C450" s="3"/>
      <c r="D450" s="3"/>
      <c r="G450" s="2"/>
      <c r="H450" s="2"/>
      <c r="I450" s="2"/>
      <c r="J450" s="2"/>
      <c r="K450" s="3"/>
    </row>
    <row r="451">
      <c r="C451" s="3"/>
      <c r="D451" s="3"/>
      <c r="G451" s="2"/>
      <c r="H451" s="2"/>
      <c r="I451" s="2"/>
      <c r="J451" s="2"/>
      <c r="K451" s="3"/>
    </row>
    <row r="452">
      <c r="C452" s="3"/>
      <c r="D452" s="3"/>
      <c r="G452" s="2"/>
      <c r="H452" s="2"/>
      <c r="I452" s="2"/>
      <c r="J452" s="2"/>
      <c r="K452" s="3"/>
    </row>
    <row r="453">
      <c r="C453" s="3"/>
      <c r="D453" s="3"/>
      <c r="G453" s="2"/>
      <c r="H453" s="2"/>
      <c r="I453" s="2"/>
      <c r="J453" s="2"/>
      <c r="K453" s="3"/>
    </row>
    <row r="454">
      <c r="C454" s="3"/>
      <c r="D454" s="3"/>
      <c r="G454" s="2"/>
      <c r="H454" s="2"/>
      <c r="I454" s="2"/>
      <c r="J454" s="2"/>
      <c r="K454" s="3"/>
    </row>
    <row r="455">
      <c r="C455" s="3"/>
      <c r="D455" s="3"/>
      <c r="G455" s="2"/>
      <c r="H455" s="2"/>
      <c r="I455" s="2"/>
      <c r="J455" s="2"/>
      <c r="K455" s="3"/>
    </row>
    <row r="456">
      <c r="C456" s="3"/>
      <c r="D456" s="3"/>
      <c r="G456" s="2"/>
      <c r="H456" s="2"/>
      <c r="I456" s="2"/>
      <c r="J456" s="2"/>
      <c r="K456" s="3"/>
    </row>
    <row r="457">
      <c r="C457" s="3"/>
      <c r="D457" s="3"/>
      <c r="G457" s="2"/>
      <c r="H457" s="2"/>
      <c r="I457" s="2"/>
      <c r="J457" s="2"/>
      <c r="K457" s="3"/>
    </row>
    <row r="458">
      <c r="C458" s="3"/>
      <c r="D458" s="3"/>
      <c r="G458" s="2"/>
      <c r="H458" s="2"/>
      <c r="I458" s="2"/>
      <c r="J458" s="2"/>
      <c r="K458" s="3"/>
    </row>
    <row r="459">
      <c r="C459" s="3"/>
      <c r="D459" s="3"/>
      <c r="G459" s="2"/>
      <c r="H459" s="2"/>
      <c r="I459" s="2"/>
      <c r="J459" s="2"/>
      <c r="K459" s="3"/>
    </row>
    <row r="460">
      <c r="C460" s="3"/>
      <c r="D460" s="3"/>
      <c r="G460" s="2"/>
      <c r="H460" s="2"/>
      <c r="I460" s="2"/>
      <c r="J460" s="2"/>
      <c r="K460" s="3"/>
    </row>
    <row r="461">
      <c r="C461" s="3"/>
      <c r="D461" s="3"/>
      <c r="G461" s="2"/>
      <c r="H461" s="2"/>
      <c r="I461" s="2"/>
      <c r="J461" s="2"/>
      <c r="K461" s="3"/>
    </row>
    <row r="462">
      <c r="C462" s="3"/>
      <c r="D462" s="3"/>
      <c r="G462" s="2"/>
      <c r="H462" s="2"/>
      <c r="I462" s="2"/>
      <c r="J462" s="2"/>
      <c r="K462" s="3"/>
    </row>
    <row r="463">
      <c r="C463" s="3"/>
      <c r="D463" s="3"/>
      <c r="G463" s="2"/>
      <c r="H463" s="2"/>
      <c r="I463" s="2"/>
      <c r="J463" s="2"/>
      <c r="K463" s="3"/>
    </row>
    <row r="464">
      <c r="C464" s="3"/>
      <c r="D464" s="3"/>
      <c r="G464" s="2"/>
      <c r="H464" s="2"/>
      <c r="I464" s="2"/>
      <c r="J464" s="2"/>
      <c r="K464" s="3"/>
    </row>
    <row r="465">
      <c r="C465" s="3"/>
      <c r="D465" s="3"/>
      <c r="G465" s="2"/>
      <c r="H465" s="2"/>
      <c r="I465" s="2"/>
      <c r="J465" s="2"/>
      <c r="K465" s="3"/>
    </row>
    <row r="466">
      <c r="C466" s="3"/>
      <c r="D466" s="3"/>
      <c r="G466" s="2"/>
      <c r="H466" s="2"/>
      <c r="I466" s="2"/>
      <c r="J466" s="2"/>
      <c r="K466" s="3"/>
    </row>
    <row r="467">
      <c r="C467" s="3"/>
      <c r="D467" s="3"/>
      <c r="G467" s="2"/>
      <c r="H467" s="2"/>
      <c r="I467" s="2"/>
      <c r="J467" s="2"/>
      <c r="K467" s="3"/>
    </row>
    <row r="468">
      <c r="C468" s="3"/>
      <c r="D468" s="3"/>
      <c r="G468" s="2"/>
      <c r="H468" s="2"/>
      <c r="I468" s="2"/>
      <c r="J468" s="2"/>
      <c r="K468" s="3"/>
    </row>
    <row r="469">
      <c r="C469" s="3"/>
      <c r="D469" s="3"/>
      <c r="G469" s="2"/>
      <c r="H469" s="2"/>
      <c r="I469" s="2"/>
      <c r="J469" s="2"/>
      <c r="K469" s="3"/>
    </row>
    <row r="470">
      <c r="C470" s="3"/>
      <c r="D470" s="3"/>
      <c r="G470" s="2"/>
      <c r="H470" s="2"/>
      <c r="I470" s="2"/>
      <c r="J470" s="2"/>
      <c r="K470" s="3"/>
    </row>
    <row r="471">
      <c r="C471" s="3"/>
      <c r="D471" s="3"/>
      <c r="G471" s="2"/>
      <c r="H471" s="2"/>
      <c r="I471" s="2"/>
      <c r="J471" s="2"/>
      <c r="K471" s="3"/>
    </row>
    <row r="472">
      <c r="C472" s="3"/>
      <c r="D472" s="3"/>
      <c r="G472" s="2"/>
      <c r="H472" s="2"/>
      <c r="I472" s="2"/>
      <c r="J472" s="2"/>
      <c r="K472" s="3"/>
    </row>
    <row r="473">
      <c r="C473" s="3"/>
      <c r="D473" s="3"/>
      <c r="G473" s="2"/>
      <c r="H473" s="2"/>
      <c r="I473" s="2"/>
      <c r="J473" s="2"/>
      <c r="K473" s="3"/>
    </row>
    <row r="474">
      <c r="C474" s="3"/>
      <c r="D474" s="3"/>
      <c r="G474" s="2"/>
      <c r="H474" s="2"/>
      <c r="I474" s="2"/>
      <c r="J474" s="2"/>
      <c r="K474" s="3"/>
    </row>
    <row r="475">
      <c r="C475" s="3"/>
      <c r="D475" s="3"/>
      <c r="G475" s="2"/>
      <c r="H475" s="2"/>
      <c r="I475" s="2"/>
      <c r="J475" s="2"/>
      <c r="K475" s="3"/>
    </row>
    <row r="476">
      <c r="C476" s="3"/>
      <c r="D476" s="3"/>
      <c r="G476" s="2"/>
      <c r="H476" s="2"/>
      <c r="I476" s="2"/>
      <c r="J476" s="2"/>
      <c r="K476" s="3"/>
    </row>
    <row r="477">
      <c r="C477" s="3"/>
      <c r="D477" s="3"/>
      <c r="G477" s="2"/>
      <c r="H477" s="2"/>
      <c r="I477" s="2"/>
      <c r="J477" s="2"/>
      <c r="K477" s="3"/>
    </row>
    <row r="478">
      <c r="C478" s="3"/>
      <c r="D478" s="3"/>
      <c r="G478" s="2"/>
      <c r="H478" s="2"/>
      <c r="I478" s="2"/>
      <c r="J478" s="2"/>
      <c r="K478" s="3"/>
    </row>
    <row r="479">
      <c r="C479" s="3"/>
      <c r="D479" s="3"/>
      <c r="G479" s="2"/>
      <c r="H479" s="2"/>
      <c r="I479" s="2"/>
      <c r="J479" s="2"/>
      <c r="K479" s="3"/>
    </row>
    <row r="480">
      <c r="C480" s="3"/>
      <c r="D480" s="3"/>
      <c r="G480" s="2"/>
      <c r="H480" s="2"/>
      <c r="I480" s="2"/>
      <c r="J480" s="2"/>
      <c r="K480" s="3"/>
    </row>
    <row r="481">
      <c r="C481" s="3"/>
      <c r="D481" s="3"/>
      <c r="G481" s="2"/>
      <c r="H481" s="2"/>
      <c r="I481" s="2"/>
      <c r="J481" s="2"/>
      <c r="K481" s="3"/>
    </row>
    <row r="482">
      <c r="C482" s="3"/>
      <c r="D482" s="3"/>
      <c r="G482" s="2"/>
      <c r="H482" s="2"/>
      <c r="I482" s="2"/>
      <c r="J482" s="2"/>
      <c r="K482" s="3"/>
    </row>
    <row r="483">
      <c r="C483" s="3"/>
      <c r="D483" s="3"/>
      <c r="G483" s="2"/>
      <c r="H483" s="2"/>
      <c r="I483" s="2"/>
      <c r="J483" s="2"/>
      <c r="K483" s="3"/>
    </row>
    <row r="484">
      <c r="C484" s="3"/>
      <c r="D484" s="3"/>
      <c r="G484" s="2"/>
      <c r="H484" s="2"/>
      <c r="I484" s="2"/>
      <c r="J484" s="2"/>
      <c r="K484" s="3"/>
    </row>
    <row r="485">
      <c r="C485" s="3"/>
      <c r="D485" s="3"/>
      <c r="G485" s="2"/>
      <c r="H485" s="2"/>
      <c r="I485" s="2"/>
      <c r="J485" s="2"/>
      <c r="K485" s="3"/>
    </row>
    <row r="486">
      <c r="C486" s="3"/>
      <c r="D486" s="3"/>
      <c r="G486" s="2"/>
      <c r="H486" s="2"/>
      <c r="I486" s="2"/>
      <c r="J486" s="2"/>
      <c r="K486" s="3"/>
    </row>
    <row r="487">
      <c r="C487" s="3"/>
      <c r="D487" s="3"/>
      <c r="G487" s="2"/>
      <c r="H487" s="2"/>
      <c r="I487" s="2"/>
      <c r="J487" s="2"/>
      <c r="K487" s="3"/>
    </row>
    <row r="488">
      <c r="C488" s="3"/>
      <c r="D488" s="3"/>
      <c r="G488" s="2"/>
      <c r="H488" s="2"/>
      <c r="I488" s="2"/>
      <c r="J488" s="2"/>
      <c r="K488" s="3"/>
    </row>
    <row r="489">
      <c r="C489" s="3"/>
      <c r="D489" s="3"/>
      <c r="G489" s="2"/>
      <c r="H489" s="2"/>
      <c r="I489" s="2"/>
      <c r="J489" s="2"/>
      <c r="K489" s="3"/>
    </row>
    <row r="490">
      <c r="C490" s="3"/>
      <c r="D490" s="3"/>
      <c r="G490" s="2"/>
      <c r="H490" s="2"/>
      <c r="I490" s="2"/>
      <c r="J490" s="2"/>
      <c r="K490" s="3"/>
    </row>
    <row r="491">
      <c r="C491" s="3"/>
      <c r="D491" s="3"/>
      <c r="G491" s="2"/>
      <c r="H491" s="2"/>
      <c r="I491" s="2"/>
      <c r="J491" s="2"/>
      <c r="K491" s="3"/>
    </row>
    <row r="492">
      <c r="C492" s="3"/>
      <c r="D492" s="3"/>
      <c r="G492" s="2"/>
      <c r="H492" s="2"/>
      <c r="I492" s="2"/>
      <c r="J492" s="2"/>
      <c r="K492" s="3"/>
    </row>
    <row r="493">
      <c r="C493" s="3"/>
      <c r="D493" s="3"/>
      <c r="G493" s="2"/>
      <c r="H493" s="2"/>
      <c r="I493" s="2"/>
      <c r="J493" s="2"/>
      <c r="K493" s="3"/>
    </row>
    <row r="494">
      <c r="C494" s="3"/>
      <c r="D494" s="3"/>
      <c r="G494" s="2"/>
      <c r="H494" s="2"/>
      <c r="I494" s="2"/>
      <c r="J494" s="2"/>
      <c r="K494" s="3"/>
    </row>
    <row r="495">
      <c r="C495" s="3"/>
      <c r="D495" s="3"/>
      <c r="G495" s="2"/>
      <c r="H495" s="2"/>
      <c r="I495" s="2"/>
      <c r="J495" s="2"/>
      <c r="K495" s="3"/>
    </row>
    <row r="496">
      <c r="C496" s="3"/>
      <c r="D496" s="3"/>
      <c r="G496" s="2"/>
      <c r="H496" s="2"/>
      <c r="I496" s="2"/>
      <c r="J496" s="2"/>
      <c r="K496" s="3"/>
    </row>
    <row r="497">
      <c r="C497" s="3"/>
      <c r="D497" s="3"/>
      <c r="G497" s="2"/>
      <c r="H497" s="2"/>
      <c r="I497" s="2"/>
      <c r="J497" s="2"/>
      <c r="K497" s="3"/>
    </row>
    <row r="498">
      <c r="C498" s="3"/>
      <c r="D498" s="3"/>
      <c r="G498" s="2"/>
      <c r="H498" s="2"/>
      <c r="I498" s="2"/>
      <c r="J498" s="2"/>
      <c r="K498" s="3"/>
    </row>
    <row r="499">
      <c r="C499" s="3"/>
      <c r="D499" s="3"/>
      <c r="G499" s="2"/>
      <c r="H499" s="2"/>
      <c r="I499" s="2"/>
      <c r="J499" s="2"/>
      <c r="K499" s="3"/>
    </row>
    <row r="500">
      <c r="C500" s="3"/>
      <c r="D500" s="3"/>
      <c r="G500" s="2"/>
      <c r="H500" s="2"/>
      <c r="I500" s="2"/>
      <c r="J500" s="2"/>
      <c r="K500" s="3"/>
    </row>
    <row r="501">
      <c r="C501" s="3"/>
      <c r="D501" s="3"/>
      <c r="G501" s="2"/>
      <c r="H501" s="2"/>
      <c r="I501" s="2"/>
      <c r="J501" s="2"/>
      <c r="K501" s="3"/>
    </row>
    <row r="502">
      <c r="C502" s="3"/>
      <c r="D502" s="3"/>
      <c r="G502" s="2"/>
      <c r="H502" s="2"/>
      <c r="I502" s="2"/>
      <c r="J502" s="2"/>
      <c r="K502" s="3"/>
    </row>
    <row r="503">
      <c r="C503" s="3"/>
      <c r="D503" s="3"/>
      <c r="G503" s="2"/>
      <c r="H503" s="2"/>
      <c r="I503" s="2"/>
      <c r="J503" s="2"/>
      <c r="K503" s="3"/>
    </row>
    <row r="504">
      <c r="C504" s="3"/>
      <c r="D504" s="3"/>
      <c r="G504" s="2"/>
      <c r="H504" s="2"/>
      <c r="I504" s="2"/>
      <c r="J504" s="2"/>
      <c r="K504" s="3"/>
    </row>
    <row r="505">
      <c r="C505" s="3"/>
      <c r="D505" s="3"/>
      <c r="G505" s="2"/>
      <c r="H505" s="2"/>
      <c r="I505" s="2"/>
      <c r="J505" s="2"/>
      <c r="K505" s="3"/>
    </row>
    <row r="506">
      <c r="C506" s="3"/>
      <c r="D506" s="3"/>
      <c r="G506" s="2"/>
      <c r="H506" s="2"/>
      <c r="I506" s="2"/>
      <c r="J506" s="2"/>
      <c r="K506" s="3"/>
    </row>
    <row r="507">
      <c r="C507" s="3"/>
      <c r="D507" s="3"/>
      <c r="G507" s="2"/>
      <c r="H507" s="2"/>
      <c r="I507" s="2"/>
      <c r="J507" s="2"/>
      <c r="K507" s="3"/>
    </row>
    <row r="508">
      <c r="C508" s="3"/>
      <c r="D508" s="3"/>
      <c r="G508" s="2"/>
      <c r="H508" s="2"/>
      <c r="I508" s="2"/>
      <c r="J508" s="2"/>
      <c r="K508" s="3"/>
    </row>
    <row r="509">
      <c r="C509" s="3"/>
      <c r="D509" s="3"/>
      <c r="G509" s="2"/>
      <c r="H509" s="2"/>
      <c r="I509" s="2"/>
      <c r="J509" s="2"/>
      <c r="K509" s="3"/>
    </row>
    <row r="510">
      <c r="C510" s="3"/>
      <c r="D510" s="3"/>
      <c r="G510" s="2"/>
      <c r="H510" s="2"/>
      <c r="I510" s="2"/>
      <c r="J510" s="2"/>
      <c r="K510" s="3"/>
    </row>
    <row r="511">
      <c r="C511" s="3"/>
      <c r="D511" s="3"/>
      <c r="G511" s="2"/>
      <c r="H511" s="2"/>
      <c r="I511" s="2"/>
      <c r="J511" s="2"/>
      <c r="K511" s="3"/>
    </row>
    <row r="512">
      <c r="C512" s="3"/>
      <c r="D512" s="3"/>
      <c r="G512" s="2"/>
      <c r="H512" s="2"/>
      <c r="I512" s="2"/>
      <c r="J512" s="2"/>
      <c r="K512" s="3"/>
    </row>
    <row r="513">
      <c r="C513" s="3"/>
      <c r="D513" s="3"/>
      <c r="G513" s="2"/>
      <c r="H513" s="2"/>
      <c r="I513" s="2"/>
      <c r="J513" s="2"/>
      <c r="K513" s="3"/>
    </row>
    <row r="514">
      <c r="C514" s="3"/>
      <c r="D514" s="3"/>
      <c r="G514" s="2"/>
      <c r="H514" s="2"/>
      <c r="I514" s="2"/>
      <c r="J514" s="2"/>
      <c r="K514" s="3"/>
    </row>
    <row r="515">
      <c r="C515" s="3"/>
      <c r="D515" s="3"/>
      <c r="G515" s="2"/>
      <c r="H515" s="2"/>
      <c r="I515" s="2"/>
      <c r="J515" s="2"/>
      <c r="K515" s="3"/>
    </row>
    <row r="516">
      <c r="C516" s="3"/>
      <c r="D516" s="3"/>
      <c r="G516" s="2"/>
      <c r="H516" s="2"/>
      <c r="I516" s="2"/>
      <c r="J516" s="2"/>
      <c r="K516" s="3"/>
    </row>
    <row r="517">
      <c r="C517" s="3"/>
      <c r="D517" s="3"/>
      <c r="G517" s="2"/>
      <c r="H517" s="2"/>
      <c r="I517" s="2"/>
      <c r="J517" s="2"/>
      <c r="K517" s="3"/>
    </row>
    <row r="518">
      <c r="C518" s="3"/>
      <c r="D518" s="3"/>
      <c r="G518" s="2"/>
      <c r="H518" s="2"/>
      <c r="I518" s="2"/>
      <c r="J518" s="2"/>
      <c r="K518" s="3"/>
    </row>
    <row r="519">
      <c r="C519" s="3"/>
      <c r="D519" s="3"/>
      <c r="G519" s="2"/>
      <c r="H519" s="2"/>
      <c r="I519" s="2"/>
      <c r="J519" s="2"/>
      <c r="K519" s="3"/>
    </row>
    <row r="520">
      <c r="C520" s="3"/>
      <c r="D520" s="3"/>
      <c r="G520" s="2"/>
      <c r="H520" s="2"/>
      <c r="I520" s="2"/>
      <c r="J520" s="2"/>
      <c r="K520" s="3"/>
    </row>
    <row r="521">
      <c r="C521" s="3"/>
      <c r="D521" s="3"/>
      <c r="G521" s="2"/>
      <c r="H521" s="2"/>
      <c r="I521" s="2"/>
      <c r="J521" s="2"/>
      <c r="K521" s="3"/>
    </row>
    <row r="522">
      <c r="C522" s="3"/>
      <c r="D522" s="3"/>
      <c r="G522" s="2"/>
      <c r="H522" s="2"/>
      <c r="I522" s="2"/>
      <c r="J522" s="2"/>
      <c r="K522" s="3"/>
    </row>
    <row r="523">
      <c r="C523" s="3"/>
      <c r="D523" s="3"/>
      <c r="G523" s="2"/>
      <c r="H523" s="2"/>
      <c r="I523" s="2"/>
      <c r="J523" s="2"/>
      <c r="K523" s="3"/>
    </row>
    <row r="524">
      <c r="C524" s="3"/>
      <c r="D524" s="3"/>
      <c r="G524" s="2"/>
      <c r="H524" s="2"/>
      <c r="I524" s="2"/>
      <c r="J524" s="2"/>
      <c r="K524" s="3"/>
    </row>
    <row r="525">
      <c r="C525" s="3"/>
      <c r="D525" s="3"/>
      <c r="G525" s="2"/>
      <c r="H525" s="2"/>
      <c r="I525" s="2"/>
      <c r="J525" s="2"/>
      <c r="K525" s="3"/>
    </row>
    <row r="526">
      <c r="C526" s="3"/>
      <c r="D526" s="3"/>
      <c r="G526" s="2"/>
      <c r="H526" s="2"/>
      <c r="I526" s="2"/>
      <c r="J526" s="2"/>
      <c r="K526" s="3"/>
    </row>
    <row r="527">
      <c r="C527" s="3"/>
      <c r="D527" s="3"/>
      <c r="G527" s="2"/>
      <c r="H527" s="2"/>
      <c r="I527" s="2"/>
      <c r="J527" s="2"/>
      <c r="K527" s="3"/>
    </row>
    <row r="528">
      <c r="C528" s="3"/>
      <c r="D528" s="3"/>
      <c r="G528" s="2"/>
      <c r="H528" s="2"/>
      <c r="I528" s="2"/>
      <c r="J528" s="2"/>
      <c r="K528" s="3"/>
    </row>
    <row r="529">
      <c r="C529" s="3"/>
      <c r="D529" s="3"/>
      <c r="G529" s="2"/>
      <c r="H529" s="2"/>
      <c r="I529" s="2"/>
      <c r="J529" s="2"/>
      <c r="K529" s="3"/>
    </row>
    <row r="530">
      <c r="C530" s="3"/>
      <c r="D530" s="3"/>
      <c r="G530" s="2"/>
      <c r="H530" s="2"/>
      <c r="I530" s="2"/>
      <c r="J530" s="2"/>
      <c r="K530" s="3"/>
    </row>
    <row r="531">
      <c r="C531" s="3"/>
      <c r="D531" s="3"/>
      <c r="G531" s="2"/>
      <c r="H531" s="2"/>
      <c r="I531" s="2"/>
      <c r="J531" s="2"/>
      <c r="K531" s="3"/>
    </row>
    <row r="532">
      <c r="C532" s="3"/>
      <c r="D532" s="3"/>
      <c r="G532" s="2"/>
      <c r="H532" s="2"/>
      <c r="I532" s="2"/>
      <c r="J532" s="2"/>
      <c r="K532" s="3"/>
    </row>
    <row r="533">
      <c r="C533" s="3"/>
      <c r="D533" s="3"/>
      <c r="G533" s="2"/>
      <c r="H533" s="2"/>
      <c r="I533" s="2"/>
      <c r="J533" s="2"/>
      <c r="K533" s="3"/>
    </row>
    <row r="534">
      <c r="C534" s="3"/>
      <c r="D534" s="3"/>
      <c r="G534" s="2"/>
      <c r="H534" s="2"/>
      <c r="I534" s="2"/>
      <c r="J534" s="2"/>
      <c r="K534" s="3"/>
    </row>
    <row r="535">
      <c r="C535" s="3"/>
      <c r="D535" s="3"/>
      <c r="G535" s="2"/>
      <c r="H535" s="2"/>
      <c r="I535" s="2"/>
      <c r="J535" s="2"/>
      <c r="K535" s="3"/>
    </row>
    <row r="536">
      <c r="C536" s="3"/>
      <c r="D536" s="3"/>
      <c r="G536" s="2"/>
      <c r="H536" s="2"/>
      <c r="I536" s="2"/>
      <c r="J536" s="2"/>
      <c r="K536" s="3"/>
    </row>
    <row r="537">
      <c r="C537" s="3"/>
      <c r="D537" s="3"/>
      <c r="G537" s="2"/>
      <c r="H537" s="2"/>
      <c r="I537" s="2"/>
      <c r="J537" s="2"/>
      <c r="K537" s="3"/>
    </row>
    <row r="538">
      <c r="C538" s="3"/>
      <c r="D538" s="3"/>
      <c r="G538" s="2"/>
      <c r="H538" s="2"/>
      <c r="I538" s="2"/>
      <c r="J538" s="2"/>
      <c r="K538" s="3"/>
    </row>
    <row r="539">
      <c r="C539" s="3"/>
      <c r="D539" s="3"/>
      <c r="G539" s="2"/>
      <c r="H539" s="2"/>
      <c r="I539" s="2"/>
      <c r="J539" s="2"/>
      <c r="K539" s="3"/>
    </row>
    <row r="540">
      <c r="C540" s="3"/>
      <c r="D540" s="3"/>
      <c r="G540" s="2"/>
      <c r="H540" s="2"/>
      <c r="I540" s="2"/>
      <c r="J540" s="2"/>
      <c r="K540" s="3"/>
    </row>
    <row r="541">
      <c r="C541" s="3"/>
      <c r="D541" s="3"/>
      <c r="G541" s="2"/>
      <c r="H541" s="2"/>
      <c r="I541" s="2"/>
      <c r="J541" s="2"/>
      <c r="K541" s="3"/>
    </row>
    <row r="542">
      <c r="C542" s="3"/>
      <c r="D542" s="3"/>
      <c r="G542" s="2"/>
      <c r="H542" s="2"/>
      <c r="I542" s="2"/>
      <c r="J542" s="2"/>
      <c r="K542" s="3"/>
    </row>
    <row r="543">
      <c r="C543" s="3"/>
      <c r="D543" s="3"/>
      <c r="G543" s="2"/>
      <c r="H543" s="2"/>
      <c r="I543" s="2"/>
      <c r="J543" s="2"/>
      <c r="K543" s="3"/>
    </row>
    <row r="544">
      <c r="C544" s="3"/>
      <c r="D544" s="3"/>
      <c r="G544" s="2"/>
      <c r="H544" s="2"/>
      <c r="I544" s="2"/>
      <c r="J544" s="2"/>
      <c r="K544" s="3"/>
    </row>
    <row r="545">
      <c r="C545" s="3"/>
      <c r="D545" s="3"/>
      <c r="G545" s="2"/>
      <c r="H545" s="2"/>
      <c r="I545" s="2"/>
      <c r="J545" s="2"/>
      <c r="K545" s="3"/>
    </row>
    <row r="546">
      <c r="C546" s="3"/>
      <c r="D546" s="3"/>
      <c r="G546" s="2"/>
      <c r="H546" s="2"/>
      <c r="I546" s="2"/>
      <c r="J546" s="2"/>
      <c r="K546" s="3"/>
    </row>
    <row r="547">
      <c r="C547" s="3"/>
      <c r="D547" s="3"/>
      <c r="G547" s="2"/>
      <c r="H547" s="2"/>
      <c r="I547" s="2"/>
      <c r="J547" s="2"/>
      <c r="K547" s="3"/>
    </row>
    <row r="548">
      <c r="C548" s="3"/>
      <c r="D548" s="3"/>
      <c r="G548" s="2"/>
      <c r="H548" s="2"/>
      <c r="I548" s="2"/>
      <c r="J548" s="2"/>
      <c r="K548" s="3"/>
    </row>
    <row r="549">
      <c r="C549" s="3"/>
      <c r="D549" s="3"/>
      <c r="G549" s="2"/>
      <c r="H549" s="2"/>
      <c r="I549" s="2"/>
      <c r="J549" s="2"/>
      <c r="K549" s="3"/>
    </row>
    <row r="550">
      <c r="C550" s="3"/>
      <c r="D550" s="3"/>
      <c r="G550" s="2"/>
      <c r="H550" s="2"/>
      <c r="I550" s="2"/>
      <c r="J550" s="2"/>
      <c r="K550" s="3"/>
    </row>
    <row r="551">
      <c r="C551" s="3"/>
      <c r="D551" s="3"/>
      <c r="G551" s="2"/>
      <c r="H551" s="2"/>
      <c r="I551" s="2"/>
      <c r="J551" s="2"/>
      <c r="K551" s="3"/>
    </row>
    <row r="552">
      <c r="C552" s="3"/>
      <c r="D552" s="3"/>
      <c r="G552" s="2"/>
      <c r="H552" s="2"/>
      <c r="I552" s="2"/>
      <c r="J552" s="2"/>
      <c r="K552" s="3"/>
    </row>
    <row r="553">
      <c r="C553" s="3"/>
      <c r="D553" s="3"/>
      <c r="G553" s="2"/>
      <c r="H553" s="2"/>
      <c r="I553" s="2"/>
      <c r="J553" s="2"/>
      <c r="K553" s="3"/>
    </row>
    <row r="554">
      <c r="C554" s="3"/>
      <c r="D554" s="3"/>
      <c r="G554" s="2"/>
      <c r="H554" s="2"/>
      <c r="I554" s="2"/>
      <c r="J554" s="2"/>
      <c r="K554" s="3"/>
    </row>
    <row r="555">
      <c r="C555" s="3"/>
      <c r="D555" s="3"/>
      <c r="G555" s="2"/>
      <c r="H555" s="2"/>
      <c r="I555" s="2"/>
      <c r="J555" s="2"/>
      <c r="K555" s="3"/>
    </row>
    <row r="556">
      <c r="C556" s="3"/>
      <c r="D556" s="3"/>
      <c r="G556" s="2"/>
      <c r="H556" s="2"/>
      <c r="I556" s="2"/>
      <c r="J556" s="2"/>
      <c r="K556" s="3"/>
    </row>
    <row r="557">
      <c r="C557" s="3"/>
      <c r="D557" s="3"/>
      <c r="G557" s="2"/>
      <c r="H557" s="2"/>
      <c r="I557" s="2"/>
      <c r="J557" s="2"/>
      <c r="K557" s="3"/>
    </row>
    <row r="558">
      <c r="C558" s="3"/>
      <c r="D558" s="3"/>
      <c r="G558" s="2"/>
      <c r="H558" s="2"/>
      <c r="I558" s="2"/>
      <c r="J558" s="2"/>
      <c r="K558" s="3"/>
    </row>
    <row r="559">
      <c r="C559" s="3"/>
      <c r="D559" s="3"/>
      <c r="G559" s="2"/>
      <c r="H559" s="2"/>
      <c r="I559" s="2"/>
      <c r="J559" s="2"/>
      <c r="K559" s="3"/>
    </row>
    <row r="560">
      <c r="C560" s="3"/>
      <c r="D560" s="3"/>
      <c r="G560" s="2"/>
      <c r="H560" s="2"/>
      <c r="I560" s="2"/>
      <c r="J560" s="2"/>
      <c r="K560" s="3"/>
    </row>
    <row r="561">
      <c r="C561" s="3"/>
      <c r="D561" s="3"/>
      <c r="G561" s="2"/>
      <c r="H561" s="2"/>
      <c r="I561" s="2"/>
      <c r="J561" s="2"/>
      <c r="K561" s="3"/>
    </row>
    <row r="562">
      <c r="C562" s="3"/>
      <c r="D562" s="3"/>
      <c r="G562" s="2"/>
      <c r="H562" s="2"/>
      <c r="I562" s="2"/>
      <c r="J562" s="2"/>
      <c r="K562" s="3"/>
    </row>
    <row r="563">
      <c r="C563" s="3"/>
      <c r="D563" s="3"/>
      <c r="G563" s="2"/>
      <c r="H563" s="2"/>
      <c r="I563" s="2"/>
      <c r="J563" s="2"/>
      <c r="K563" s="3"/>
    </row>
    <row r="564">
      <c r="C564" s="3"/>
      <c r="D564" s="3"/>
      <c r="G564" s="2"/>
      <c r="H564" s="2"/>
      <c r="I564" s="2"/>
      <c r="J564" s="2"/>
      <c r="K564" s="3"/>
    </row>
    <row r="565">
      <c r="C565" s="3"/>
      <c r="D565" s="3"/>
      <c r="G565" s="2"/>
      <c r="H565" s="2"/>
      <c r="I565" s="2"/>
      <c r="J565" s="2"/>
      <c r="K565" s="3"/>
    </row>
    <row r="566">
      <c r="C566" s="3"/>
      <c r="D566" s="3"/>
      <c r="G566" s="2"/>
      <c r="H566" s="2"/>
      <c r="I566" s="2"/>
      <c r="J566" s="2"/>
      <c r="K566" s="3"/>
    </row>
    <row r="567">
      <c r="C567" s="3"/>
      <c r="D567" s="3"/>
      <c r="G567" s="2"/>
      <c r="H567" s="2"/>
      <c r="I567" s="2"/>
      <c r="J567" s="2"/>
      <c r="K567" s="3"/>
    </row>
    <row r="568">
      <c r="C568" s="3"/>
      <c r="D568" s="3"/>
      <c r="G568" s="2"/>
      <c r="H568" s="2"/>
      <c r="I568" s="2"/>
      <c r="J568" s="2"/>
      <c r="K568" s="3"/>
    </row>
    <row r="569">
      <c r="C569" s="3"/>
      <c r="D569" s="3"/>
      <c r="G569" s="2"/>
      <c r="H569" s="2"/>
      <c r="I569" s="2"/>
      <c r="J569" s="2"/>
      <c r="K569" s="3"/>
    </row>
    <row r="570">
      <c r="C570" s="3"/>
      <c r="D570" s="3"/>
      <c r="G570" s="2"/>
      <c r="H570" s="2"/>
      <c r="I570" s="2"/>
      <c r="J570" s="2"/>
      <c r="K570" s="3"/>
    </row>
    <row r="571">
      <c r="C571" s="3"/>
      <c r="D571" s="3"/>
      <c r="G571" s="2"/>
      <c r="H571" s="2"/>
      <c r="I571" s="2"/>
      <c r="J571" s="2"/>
      <c r="K571" s="3"/>
    </row>
    <row r="572">
      <c r="C572" s="3"/>
      <c r="D572" s="3"/>
      <c r="G572" s="2"/>
      <c r="H572" s="2"/>
      <c r="I572" s="2"/>
      <c r="J572" s="2"/>
      <c r="K572" s="3"/>
    </row>
    <row r="573">
      <c r="C573" s="3"/>
      <c r="D573" s="3"/>
      <c r="G573" s="2"/>
      <c r="H573" s="2"/>
      <c r="I573" s="2"/>
      <c r="J573" s="2"/>
      <c r="K573" s="3"/>
    </row>
    <row r="574">
      <c r="C574" s="3"/>
      <c r="D574" s="3"/>
      <c r="G574" s="2"/>
      <c r="H574" s="2"/>
      <c r="I574" s="2"/>
      <c r="J574" s="2"/>
      <c r="K574" s="3"/>
    </row>
    <row r="575">
      <c r="C575" s="3"/>
      <c r="D575" s="3"/>
      <c r="G575" s="2"/>
      <c r="H575" s="2"/>
      <c r="I575" s="2"/>
      <c r="J575" s="2"/>
      <c r="K575" s="3"/>
    </row>
    <row r="576">
      <c r="C576" s="3"/>
      <c r="D576" s="3"/>
      <c r="G576" s="2"/>
      <c r="H576" s="2"/>
      <c r="I576" s="2"/>
      <c r="J576" s="2"/>
      <c r="K576" s="3"/>
    </row>
    <row r="577">
      <c r="C577" s="3"/>
      <c r="D577" s="3"/>
      <c r="G577" s="2"/>
      <c r="H577" s="2"/>
      <c r="I577" s="2"/>
      <c r="J577" s="2"/>
      <c r="K577" s="3"/>
    </row>
    <row r="578">
      <c r="C578" s="3"/>
      <c r="D578" s="3"/>
      <c r="G578" s="2"/>
      <c r="H578" s="2"/>
      <c r="I578" s="2"/>
      <c r="J578" s="2"/>
      <c r="K578" s="3"/>
    </row>
    <row r="579">
      <c r="C579" s="3"/>
      <c r="D579" s="3"/>
      <c r="G579" s="2"/>
      <c r="H579" s="2"/>
      <c r="I579" s="2"/>
      <c r="J579" s="2"/>
      <c r="K579" s="3"/>
    </row>
    <row r="580">
      <c r="C580" s="3"/>
      <c r="D580" s="3"/>
      <c r="G580" s="2"/>
      <c r="H580" s="2"/>
      <c r="I580" s="2"/>
      <c r="J580" s="2"/>
      <c r="K580" s="3"/>
    </row>
    <row r="581">
      <c r="C581" s="3"/>
      <c r="D581" s="3"/>
      <c r="G581" s="2"/>
      <c r="H581" s="2"/>
      <c r="I581" s="2"/>
      <c r="J581" s="2"/>
      <c r="K581" s="3"/>
    </row>
    <row r="582">
      <c r="C582" s="3"/>
      <c r="D582" s="3"/>
      <c r="G582" s="2"/>
      <c r="H582" s="2"/>
      <c r="I582" s="2"/>
      <c r="J582" s="2"/>
      <c r="K582" s="3"/>
    </row>
    <row r="583">
      <c r="C583" s="3"/>
      <c r="D583" s="3"/>
      <c r="G583" s="2"/>
      <c r="H583" s="2"/>
      <c r="I583" s="2"/>
      <c r="J583" s="2"/>
      <c r="K583" s="3"/>
    </row>
    <row r="584">
      <c r="C584" s="3"/>
      <c r="D584" s="3"/>
      <c r="G584" s="2"/>
      <c r="H584" s="2"/>
      <c r="I584" s="2"/>
      <c r="J584" s="2"/>
      <c r="K584" s="3"/>
    </row>
    <row r="585">
      <c r="C585" s="3"/>
      <c r="D585" s="3"/>
      <c r="G585" s="2"/>
      <c r="H585" s="2"/>
      <c r="I585" s="2"/>
      <c r="J585" s="2"/>
      <c r="K585" s="3"/>
    </row>
    <row r="586">
      <c r="C586" s="3"/>
      <c r="D586" s="3"/>
      <c r="G586" s="2"/>
      <c r="H586" s="2"/>
      <c r="I586" s="2"/>
      <c r="J586" s="2"/>
      <c r="K586" s="3"/>
    </row>
    <row r="587">
      <c r="C587" s="3"/>
      <c r="D587" s="3"/>
      <c r="G587" s="2"/>
      <c r="H587" s="2"/>
      <c r="I587" s="2"/>
      <c r="J587" s="2"/>
      <c r="K587" s="3"/>
    </row>
    <row r="588">
      <c r="C588" s="3"/>
      <c r="D588" s="3"/>
      <c r="G588" s="2"/>
      <c r="H588" s="2"/>
      <c r="I588" s="2"/>
      <c r="J588" s="2"/>
      <c r="K588" s="3"/>
    </row>
    <row r="589">
      <c r="C589" s="3"/>
      <c r="D589" s="3"/>
      <c r="G589" s="2"/>
      <c r="H589" s="2"/>
      <c r="I589" s="2"/>
      <c r="J589" s="2"/>
      <c r="K589" s="3"/>
    </row>
    <row r="590">
      <c r="C590" s="3"/>
      <c r="D590" s="3"/>
      <c r="G590" s="2"/>
      <c r="H590" s="2"/>
      <c r="I590" s="2"/>
      <c r="J590" s="2"/>
      <c r="K590" s="3"/>
    </row>
    <row r="591">
      <c r="C591" s="3"/>
      <c r="D591" s="3"/>
      <c r="G591" s="2"/>
      <c r="H591" s="2"/>
      <c r="I591" s="2"/>
      <c r="J591" s="2"/>
      <c r="K591" s="3"/>
    </row>
    <row r="592">
      <c r="C592" s="3"/>
      <c r="D592" s="3"/>
      <c r="G592" s="2"/>
      <c r="H592" s="2"/>
      <c r="I592" s="2"/>
      <c r="J592" s="2"/>
      <c r="K592" s="3"/>
    </row>
    <row r="593">
      <c r="C593" s="3"/>
      <c r="D593" s="3"/>
      <c r="G593" s="2"/>
      <c r="H593" s="2"/>
      <c r="I593" s="2"/>
      <c r="J593" s="2"/>
      <c r="K593" s="3"/>
    </row>
    <row r="594">
      <c r="C594" s="3"/>
      <c r="D594" s="3"/>
      <c r="G594" s="2"/>
      <c r="H594" s="2"/>
      <c r="I594" s="2"/>
      <c r="J594" s="2"/>
      <c r="K594" s="3"/>
    </row>
    <row r="595">
      <c r="C595" s="3"/>
      <c r="D595" s="3"/>
      <c r="G595" s="2"/>
      <c r="H595" s="2"/>
      <c r="I595" s="2"/>
      <c r="J595" s="2"/>
      <c r="K595" s="3"/>
    </row>
    <row r="596">
      <c r="C596" s="3"/>
      <c r="D596" s="3"/>
      <c r="G596" s="2"/>
      <c r="H596" s="2"/>
      <c r="I596" s="2"/>
      <c r="J596" s="2"/>
      <c r="K596" s="3"/>
    </row>
    <row r="597">
      <c r="C597" s="3"/>
      <c r="D597" s="3"/>
      <c r="G597" s="2"/>
      <c r="H597" s="2"/>
      <c r="I597" s="2"/>
      <c r="J597" s="2"/>
      <c r="K597" s="3"/>
    </row>
    <row r="598">
      <c r="C598" s="3"/>
      <c r="D598" s="3"/>
      <c r="G598" s="2"/>
      <c r="H598" s="2"/>
      <c r="I598" s="2"/>
      <c r="J598" s="2"/>
      <c r="K598" s="3"/>
    </row>
    <row r="599">
      <c r="C599" s="3"/>
      <c r="D599" s="3"/>
      <c r="G599" s="2"/>
      <c r="H599" s="2"/>
      <c r="I599" s="2"/>
      <c r="J599" s="2"/>
      <c r="K599" s="3"/>
    </row>
    <row r="600">
      <c r="C600" s="3"/>
      <c r="D600" s="3"/>
      <c r="G600" s="2"/>
      <c r="H600" s="2"/>
      <c r="I600" s="2"/>
      <c r="J600" s="2"/>
      <c r="K600" s="3"/>
    </row>
    <row r="601">
      <c r="C601" s="3"/>
      <c r="D601" s="3"/>
      <c r="G601" s="2"/>
      <c r="H601" s="2"/>
      <c r="I601" s="2"/>
      <c r="J601" s="2"/>
      <c r="K601" s="3"/>
    </row>
    <row r="602">
      <c r="C602" s="3"/>
      <c r="D602" s="3"/>
      <c r="G602" s="2"/>
      <c r="H602" s="2"/>
      <c r="I602" s="2"/>
      <c r="J602" s="2"/>
      <c r="K602" s="3"/>
    </row>
    <row r="603">
      <c r="C603" s="3"/>
      <c r="D603" s="3"/>
      <c r="G603" s="2"/>
      <c r="H603" s="2"/>
      <c r="I603" s="2"/>
      <c r="J603" s="2"/>
      <c r="K603" s="3"/>
    </row>
    <row r="604">
      <c r="C604" s="3"/>
      <c r="D604" s="3"/>
      <c r="G604" s="2"/>
      <c r="H604" s="2"/>
      <c r="I604" s="2"/>
      <c r="J604" s="2"/>
      <c r="K604" s="3"/>
    </row>
    <row r="605">
      <c r="C605" s="3"/>
      <c r="D605" s="3"/>
      <c r="G605" s="2"/>
      <c r="H605" s="2"/>
      <c r="I605" s="2"/>
      <c r="J605" s="2"/>
      <c r="K605" s="3"/>
    </row>
    <row r="606">
      <c r="C606" s="3"/>
      <c r="D606" s="3"/>
      <c r="G606" s="2"/>
      <c r="H606" s="2"/>
      <c r="I606" s="2"/>
      <c r="J606" s="2"/>
      <c r="K606" s="3"/>
    </row>
    <row r="607">
      <c r="C607" s="3"/>
      <c r="D607" s="3"/>
      <c r="G607" s="2"/>
      <c r="H607" s="2"/>
      <c r="I607" s="2"/>
      <c r="J607" s="2"/>
      <c r="K607" s="3"/>
    </row>
    <row r="608">
      <c r="C608" s="3"/>
      <c r="D608" s="3"/>
      <c r="G608" s="2"/>
      <c r="H608" s="2"/>
      <c r="I608" s="2"/>
      <c r="J608" s="2"/>
      <c r="K608" s="3"/>
    </row>
    <row r="609">
      <c r="C609" s="3"/>
      <c r="D609" s="3"/>
      <c r="G609" s="2"/>
      <c r="H609" s="2"/>
      <c r="I609" s="2"/>
      <c r="J609" s="2"/>
      <c r="K609" s="3"/>
    </row>
    <row r="610">
      <c r="C610" s="3"/>
      <c r="D610" s="3"/>
      <c r="G610" s="2"/>
      <c r="H610" s="2"/>
      <c r="I610" s="2"/>
      <c r="J610" s="2"/>
      <c r="K610" s="3"/>
    </row>
    <row r="611">
      <c r="C611" s="3"/>
      <c r="D611" s="3"/>
      <c r="G611" s="2"/>
      <c r="H611" s="2"/>
      <c r="I611" s="2"/>
      <c r="J611" s="2"/>
      <c r="K611" s="3"/>
    </row>
    <row r="612">
      <c r="C612" s="3"/>
      <c r="D612" s="3"/>
      <c r="G612" s="2"/>
      <c r="H612" s="2"/>
      <c r="I612" s="2"/>
      <c r="J612" s="2"/>
      <c r="K612" s="3"/>
    </row>
    <row r="613">
      <c r="C613" s="3"/>
      <c r="D613" s="3"/>
      <c r="G613" s="2"/>
      <c r="H613" s="2"/>
      <c r="I613" s="2"/>
      <c r="J613" s="2"/>
      <c r="K613" s="3"/>
    </row>
    <row r="614">
      <c r="C614" s="3"/>
      <c r="D614" s="3"/>
      <c r="G614" s="2"/>
      <c r="H614" s="2"/>
      <c r="I614" s="2"/>
      <c r="J614" s="2"/>
      <c r="K614" s="3"/>
    </row>
    <row r="615">
      <c r="C615" s="3"/>
      <c r="D615" s="3"/>
      <c r="G615" s="2"/>
      <c r="H615" s="2"/>
      <c r="I615" s="2"/>
      <c r="J615" s="2"/>
      <c r="K615" s="3"/>
    </row>
    <row r="616">
      <c r="C616" s="3"/>
      <c r="D616" s="3"/>
      <c r="G616" s="2"/>
      <c r="H616" s="2"/>
      <c r="I616" s="2"/>
      <c r="J616" s="2"/>
      <c r="K616" s="3"/>
    </row>
    <row r="617">
      <c r="C617" s="3"/>
      <c r="D617" s="3"/>
      <c r="G617" s="2"/>
      <c r="H617" s="2"/>
      <c r="I617" s="2"/>
      <c r="J617" s="2"/>
      <c r="K617" s="3"/>
    </row>
    <row r="618">
      <c r="C618" s="3"/>
      <c r="D618" s="3"/>
      <c r="G618" s="2"/>
      <c r="H618" s="2"/>
      <c r="I618" s="2"/>
      <c r="J618" s="2"/>
      <c r="K618" s="3"/>
    </row>
    <row r="619">
      <c r="C619" s="3"/>
      <c r="D619" s="3"/>
      <c r="G619" s="2"/>
      <c r="H619" s="2"/>
      <c r="I619" s="2"/>
      <c r="J619" s="2"/>
      <c r="K619" s="3"/>
    </row>
    <row r="620">
      <c r="C620" s="3"/>
      <c r="D620" s="3"/>
      <c r="G620" s="2"/>
      <c r="H620" s="2"/>
      <c r="I620" s="2"/>
      <c r="J620" s="2"/>
      <c r="K620" s="3"/>
    </row>
    <row r="621">
      <c r="C621" s="3"/>
      <c r="D621" s="3"/>
      <c r="G621" s="2"/>
      <c r="H621" s="2"/>
      <c r="I621" s="2"/>
      <c r="J621" s="2"/>
      <c r="K621" s="3"/>
    </row>
    <row r="622">
      <c r="C622" s="3"/>
      <c r="D622" s="3"/>
      <c r="G622" s="2"/>
      <c r="H622" s="2"/>
      <c r="I622" s="2"/>
      <c r="J622" s="2"/>
      <c r="K622" s="3"/>
    </row>
    <row r="623">
      <c r="C623" s="3"/>
      <c r="D623" s="3"/>
      <c r="G623" s="2"/>
      <c r="H623" s="2"/>
      <c r="I623" s="2"/>
      <c r="J623" s="2"/>
      <c r="K623" s="3"/>
    </row>
    <row r="624">
      <c r="C624" s="3"/>
      <c r="D624" s="3"/>
      <c r="G624" s="2"/>
      <c r="H624" s="2"/>
      <c r="I624" s="2"/>
      <c r="J624" s="2"/>
      <c r="K624" s="3"/>
    </row>
    <row r="625">
      <c r="C625" s="3"/>
      <c r="D625" s="3"/>
      <c r="G625" s="2"/>
      <c r="H625" s="2"/>
      <c r="I625" s="2"/>
      <c r="J625" s="2"/>
      <c r="K625" s="3"/>
    </row>
    <row r="626">
      <c r="C626" s="3"/>
      <c r="D626" s="3"/>
      <c r="G626" s="2"/>
      <c r="H626" s="2"/>
      <c r="I626" s="2"/>
      <c r="J626" s="2"/>
      <c r="K626" s="3"/>
    </row>
    <row r="627">
      <c r="C627" s="3"/>
      <c r="D627" s="3"/>
      <c r="G627" s="2"/>
      <c r="H627" s="2"/>
      <c r="I627" s="2"/>
      <c r="J627" s="2"/>
      <c r="K627" s="3"/>
    </row>
    <row r="628">
      <c r="C628" s="3"/>
      <c r="D628" s="3"/>
      <c r="G628" s="2"/>
      <c r="H628" s="2"/>
      <c r="I628" s="2"/>
      <c r="J628" s="2"/>
      <c r="K628" s="3"/>
    </row>
    <row r="629">
      <c r="C629" s="3"/>
      <c r="D629" s="3"/>
      <c r="G629" s="2"/>
      <c r="H629" s="2"/>
      <c r="I629" s="2"/>
      <c r="J629" s="2"/>
      <c r="K629" s="3"/>
    </row>
    <row r="630">
      <c r="C630" s="3"/>
      <c r="D630" s="3"/>
      <c r="G630" s="2"/>
      <c r="H630" s="2"/>
      <c r="I630" s="2"/>
      <c r="J630" s="2"/>
      <c r="K630" s="3"/>
    </row>
    <row r="631">
      <c r="C631" s="3"/>
      <c r="D631" s="3"/>
      <c r="G631" s="2"/>
      <c r="H631" s="2"/>
      <c r="I631" s="2"/>
      <c r="J631" s="2"/>
      <c r="K631" s="3"/>
    </row>
    <row r="632">
      <c r="C632" s="3"/>
      <c r="D632" s="3"/>
      <c r="G632" s="2"/>
      <c r="H632" s="2"/>
      <c r="I632" s="2"/>
      <c r="J632" s="2"/>
      <c r="K632" s="3"/>
    </row>
    <row r="633">
      <c r="C633" s="3"/>
      <c r="D633" s="3"/>
      <c r="G633" s="2"/>
      <c r="H633" s="2"/>
      <c r="I633" s="2"/>
      <c r="J633" s="2"/>
      <c r="K633" s="3"/>
    </row>
    <row r="634">
      <c r="C634" s="3"/>
      <c r="D634" s="3"/>
      <c r="G634" s="2"/>
      <c r="H634" s="2"/>
      <c r="I634" s="2"/>
      <c r="J634" s="2"/>
      <c r="K634" s="3"/>
    </row>
    <row r="635">
      <c r="C635" s="3"/>
      <c r="D635" s="3"/>
      <c r="G635" s="2"/>
      <c r="H635" s="2"/>
      <c r="I635" s="2"/>
      <c r="J635" s="2"/>
      <c r="K635" s="3"/>
    </row>
    <row r="636">
      <c r="C636" s="3"/>
      <c r="D636" s="3"/>
      <c r="G636" s="2"/>
      <c r="H636" s="2"/>
      <c r="I636" s="2"/>
      <c r="J636" s="2"/>
      <c r="K636" s="3"/>
    </row>
    <row r="637">
      <c r="C637" s="3"/>
      <c r="D637" s="3"/>
      <c r="G637" s="2"/>
      <c r="H637" s="2"/>
      <c r="I637" s="2"/>
      <c r="J637" s="2"/>
      <c r="K637" s="3"/>
    </row>
    <row r="638">
      <c r="C638" s="3"/>
      <c r="D638" s="3"/>
      <c r="G638" s="2"/>
      <c r="H638" s="2"/>
      <c r="I638" s="2"/>
      <c r="J638" s="2"/>
      <c r="K638" s="3"/>
    </row>
    <row r="639">
      <c r="C639" s="3"/>
      <c r="D639" s="3"/>
      <c r="G639" s="2"/>
      <c r="H639" s="2"/>
      <c r="I639" s="2"/>
      <c r="J639" s="2"/>
      <c r="K639" s="3"/>
    </row>
    <row r="640">
      <c r="C640" s="3"/>
      <c r="D640" s="3"/>
      <c r="G640" s="2"/>
      <c r="H640" s="2"/>
      <c r="I640" s="2"/>
      <c r="J640" s="2"/>
      <c r="K640" s="3"/>
    </row>
    <row r="641">
      <c r="C641" s="3"/>
      <c r="D641" s="3"/>
      <c r="G641" s="2"/>
      <c r="H641" s="2"/>
      <c r="I641" s="2"/>
      <c r="J641" s="2"/>
      <c r="K641" s="3"/>
    </row>
    <row r="642">
      <c r="C642" s="3"/>
      <c r="D642" s="3"/>
      <c r="G642" s="2"/>
      <c r="H642" s="2"/>
      <c r="I642" s="2"/>
      <c r="J642" s="2"/>
      <c r="K642" s="3"/>
    </row>
    <row r="643">
      <c r="C643" s="3"/>
      <c r="D643" s="3"/>
      <c r="G643" s="2"/>
      <c r="H643" s="2"/>
      <c r="I643" s="2"/>
      <c r="J643" s="2"/>
      <c r="K643" s="3"/>
    </row>
    <row r="644">
      <c r="C644" s="3"/>
      <c r="D644" s="3"/>
      <c r="G644" s="2"/>
      <c r="H644" s="2"/>
      <c r="I644" s="2"/>
      <c r="J644" s="2"/>
      <c r="K644" s="3"/>
    </row>
    <row r="645">
      <c r="C645" s="3"/>
      <c r="D645" s="3"/>
      <c r="G645" s="2"/>
      <c r="H645" s="2"/>
      <c r="I645" s="2"/>
      <c r="J645" s="2"/>
      <c r="K645" s="3"/>
    </row>
    <row r="646">
      <c r="C646" s="3"/>
      <c r="D646" s="3"/>
      <c r="G646" s="2"/>
      <c r="H646" s="2"/>
      <c r="I646" s="2"/>
      <c r="J646" s="2"/>
      <c r="K646" s="3"/>
    </row>
    <row r="647">
      <c r="C647" s="3"/>
      <c r="D647" s="3"/>
      <c r="G647" s="2"/>
      <c r="H647" s="2"/>
      <c r="I647" s="2"/>
      <c r="J647" s="2"/>
      <c r="K647" s="3"/>
    </row>
    <row r="648">
      <c r="C648" s="3"/>
      <c r="D648" s="3"/>
      <c r="G648" s="2"/>
      <c r="H648" s="2"/>
      <c r="I648" s="2"/>
      <c r="J648" s="2"/>
      <c r="K648" s="3"/>
    </row>
    <row r="649">
      <c r="C649" s="3"/>
      <c r="D649" s="3"/>
      <c r="G649" s="2"/>
      <c r="H649" s="2"/>
      <c r="I649" s="2"/>
      <c r="J649" s="2"/>
      <c r="K649" s="3"/>
    </row>
    <row r="650">
      <c r="C650" s="3"/>
      <c r="D650" s="3"/>
      <c r="G650" s="2"/>
      <c r="H650" s="2"/>
      <c r="I650" s="2"/>
      <c r="J650" s="2"/>
      <c r="K650" s="3"/>
    </row>
    <row r="651">
      <c r="C651" s="3"/>
      <c r="D651" s="3"/>
      <c r="G651" s="2"/>
      <c r="H651" s="2"/>
      <c r="I651" s="2"/>
      <c r="J651" s="2"/>
      <c r="K651" s="3"/>
    </row>
    <row r="652">
      <c r="C652" s="3"/>
      <c r="D652" s="3"/>
      <c r="G652" s="2"/>
      <c r="H652" s="2"/>
      <c r="I652" s="2"/>
      <c r="J652" s="2"/>
      <c r="K652" s="3"/>
    </row>
    <row r="653">
      <c r="C653" s="3"/>
      <c r="D653" s="3"/>
      <c r="G653" s="2"/>
      <c r="H653" s="2"/>
      <c r="I653" s="2"/>
      <c r="J653" s="2"/>
      <c r="K653" s="3"/>
    </row>
    <row r="654">
      <c r="C654" s="3"/>
      <c r="D654" s="3"/>
      <c r="G654" s="2"/>
      <c r="H654" s="2"/>
      <c r="I654" s="2"/>
      <c r="J654" s="2"/>
      <c r="K654" s="3"/>
    </row>
    <row r="655">
      <c r="C655" s="3"/>
      <c r="D655" s="3"/>
      <c r="G655" s="2"/>
      <c r="H655" s="2"/>
      <c r="I655" s="2"/>
      <c r="J655" s="2"/>
      <c r="K655" s="3"/>
    </row>
    <row r="656">
      <c r="C656" s="3"/>
      <c r="D656" s="3"/>
      <c r="G656" s="2"/>
      <c r="H656" s="2"/>
      <c r="I656" s="2"/>
      <c r="J656" s="2"/>
      <c r="K656" s="3"/>
    </row>
    <row r="657">
      <c r="C657" s="3"/>
      <c r="D657" s="3"/>
      <c r="G657" s="2"/>
      <c r="H657" s="2"/>
      <c r="I657" s="2"/>
      <c r="J657" s="2"/>
      <c r="K657" s="3"/>
    </row>
    <row r="658">
      <c r="C658" s="3"/>
      <c r="D658" s="3"/>
      <c r="G658" s="2"/>
      <c r="H658" s="2"/>
      <c r="I658" s="2"/>
      <c r="J658" s="2"/>
      <c r="K658" s="3"/>
    </row>
    <row r="659">
      <c r="C659" s="3"/>
      <c r="D659" s="3"/>
      <c r="G659" s="2"/>
      <c r="H659" s="2"/>
      <c r="I659" s="2"/>
      <c r="J659" s="2"/>
      <c r="K659" s="3"/>
    </row>
    <row r="660">
      <c r="C660" s="3"/>
      <c r="D660" s="3"/>
      <c r="G660" s="2"/>
      <c r="H660" s="2"/>
      <c r="I660" s="2"/>
      <c r="J660" s="2"/>
      <c r="K660" s="3"/>
    </row>
    <row r="661">
      <c r="C661" s="3"/>
      <c r="D661" s="3"/>
      <c r="G661" s="2"/>
      <c r="H661" s="2"/>
      <c r="I661" s="2"/>
      <c r="J661" s="2"/>
      <c r="K661" s="3"/>
    </row>
    <row r="662">
      <c r="C662" s="3"/>
      <c r="D662" s="3"/>
      <c r="G662" s="2"/>
      <c r="H662" s="2"/>
      <c r="I662" s="2"/>
      <c r="J662" s="2"/>
      <c r="K662" s="3"/>
    </row>
    <row r="663">
      <c r="C663" s="3"/>
      <c r="D663" s="3"/>
      <c r="G663" s="2"/>
      <c r="H663" s="2"/>
      <c r="I663" s="2"/>
      <c r="J663" s="2"/>
      <c r="K663" s="3"/>
    </row>
    <row r="664">
      <c r="C664" s="3"/>
      <c r="D664" s="3"/>
      <c r="G664" s="2"/>
      <c r="H664" s="2"/>
      <c r="I664" s="2"/>
      <c r="J664" s="2"/>
      <c r="K664" s="3"/>
    </row>
    <row r="665">
      <c r="C665" s="3"/>
      <c r="D665" s="3"/>
      <c r="G665" s="2"/>
      <c r="H665" s="2"/>
      <c r="I665" s="2"/>
      <c r="J665" s="2"/>
      <c r="K665" s="3"/>
    </row>
    <row r="666">
      <c r="C666" s="3"/>
      <c r="D666" s="3"/>
      <c r="G666" s="2"/>
      <c r="H666" s="2"/>
      <c r="I666" s="2"/>
      <c r="J666" s="2"/>
      <c r="K666" s="3"/>
    </row>
    <row r="667">
      <c r="C667" s="3"/>
      <c r="D667" s="3"/>
      <c r="G667" s="2"/>
      <c r="H667" s="2"/>
      <c r="I667" s="2"/>
      <c r="J667" s="2"/>
      <c r="K667" s="3"/>
    </row>
    <row r="668">
      <c r="C668" s="3"/>
      <c r="D668" s="3"/>
      <c r="G668" s="2"/>
      <c r="H668" s="2"/>
      <c r="I668" s="2"/>
      <c r="J668" s="2"/>
      <c r="K668" s="3"/>
    </row>
    <row r="669">
      <c r="C669" s="3"/>
      <c r="D669" s="3"/>
      <c r="G669" s="2"/>
      <c r="H669" s="2"/>
      <c r="I669" s="2"/>
      <c r="J669" s="2"/>
      <c r="K669" s="3"/>
    </row>
    <row r="670">
      <c r="C670" s="3"/>
      <c r="D670" s="3"/>
      <c r="G670" s="2"/>
      <c r="H670" s="2"/>
      <c r="I670" s="2"/>
      <c r="J670" s="2"/>
      <c r="K670" s="3"/>
    </row>
    <row r="671">
      <c r="C671" s="3"/>
      <c r="D671" s="3"/>
      <c r="G671" s="2"/>
      <c r="H671" s="2"/>
      <c r="I671" s="2"/>
      <c r="J671" s="2"/>
      <c r="K671" s="3"/>
    </row>
    <row r="672">
      <c r="C672" s="3"/>
      <c r="D672" s="3"/>
      <c r="G672" s="2"/>
      <c r="H672" s="2"/>
      <c r="I672" s="2"/>
      <c r="J672" s="2"/>
      <c r="K672" s="3"/>
    </row>
    <row r="673">
      <c r="C673" s="3"/>
      <c r="D673" s="3"/>
      <c r="G673" s="2"/>
      <c r="H673" s="2"/>
      <c r="I673" s="2"/>
      <c r="J673" s="2"/>
      <c r="K673" s="3"/>
    </row>
    <row r="674">
      <c r="C674" s="3"/>
      <c r="D674" s="3"/>
      <c r="G674" s="2"/>
      <c r="H674" s="2"/>
      <c r="I674" s="2"/>
      <c r="J674" s="2"/>
      <c r="K674" s="3"/>
    </row>
    <row r="675">
      <c r="C675" s="3"/>
      <c r="D675" s="3"/>
      <c r="G675" s="2"/>
      <c r="H675" s="2"/>
      <c r="I675" s="2"/>
      <c r="J675" s="2"/>
      <c r="K675" s="3"/>
    </row>
    <row r="676">
      <c r="C676" s="3"/>
      <c r="D676" s="3"/>
      <c r="G676" s="2"/>
      <c r="H676" s="2"/>
      <c r="I676" s="2"/>
      <c r="J676" s="2"/>
      <c r="K676" s="3"/>
    </row>
    <row r="677">
      <c r="C677" s="3"/>
      <c r="D677" s="3"/>
      <c r="G677" s="2"/>
      <c r="H677" s="2"/>
      <c r="I677" s="2"/>
      <c r="J677" s="2"/>
      <c r="K677" s="3"/>
    </row>
    <row r="678">
      <c r="C678" s="3"/>
      <c r="D678" s="3"/>
      <c r="G678" s="2"/>
      <c r="H678" s="2"/>
      <c r="I678" s="2"/>
      <c r="J678" s="2"/>
      <c r="K678" s="3"/>
    </row>
    <row r="679">
      <c r="C679" s="3"/>
      <c r="D679" s="3"/>
      <c r="G679" s="2"/>
      <c r="H679" s="2"/>
      <c r="I679" s="2"/>
      <c r="J679" s="2"/>
      <c r="K679" s="3"/>
    </row>
    <row r="680">
      <c r="C680" s="3"/>
      <c r="D680" s="3"/>
      <c r="G680" s="2"/>
      <c r="H680" s="2"/>
      <c r="I680" s="2"/>
      <c r="J680" s="2"/>
      <c r="K680" s="3"/>
    </row>
    <row r="681">
      <c r="C681" s="3"/>
      <c r="D681" s="3"/>
      <c r="G681" s="2"/>
      <c r="H681" s="2"/>
      <c r="I681" s="2"/>
      <c r="J681" s="2"/>
      <c r="K681" s="3"/>
    </row>
    <row r="682">
      <c r="C682" s="3"/>
      <c r="D682" s="3"/>
      <c r="G682" s="2"/>
      <c r="H682" s="2"/>
      <c r="I682" s="2"/>
      <c r="J682" s="2"/>
      <c r="K682" s="3"/>
    </row>
    <row r="683">
      <c r="C683" s="3"/>
      <c r="D683" s="3"/>
      <c r="G683" s="2"/>
      <c r="H683" s="2"/>
      <c r="I683" s="2"/>
      <c r="J683" s="2"/>
      <c r="K683" s="3"/>
    </row>
    <row r="684">
      <c r="C684" s="3"/>
      <c r="D684" s="3"/>
      <c r="G684" s="2"/>
      <c r="H684" s="2"/>
      <c r="I684" s="2"/>
      <c r="J684" s="2"/>
      <c r="K684" s="3"/>
    </row>
    <row r="685">
      <c r="C685" s="3"/>
      <c r="D685" s="3"/>
      <c r="G685" s="2"/>
      <c r="H685" s="2"/>
      <c r="I685" s="2"/>
      <c r="J685" s="2"/>
      <c r="K685" s="3"/>
    </row>
    <row r="686">
      <c r="C686" s="3"/>
      <c r="D686" s="3"/>
      <c r="G686" s="2"/>
      <c r="H686" s="2"/>
      <c r="I686" s="2"/>
      <c r="J686" s="2"/>
      <c r="K686" s="3"/>
    </row>
    <row r="687">
      <c r="C687" s="3"/>
      <c r="D687" s="3"/>
      <c r="G687" s="2"/>
      <c r="H687" s="2"/>
      <c r="I687" s="2"/>
      <c r="J687" s="2"/>
      <c r="K687" s="3"/>
    </row>
    <row r="688">
      <c r="C688" s="3"/>
      <c r="D688" s="3"/>
      <c r="G688" s="2"/>
      <c r="H688" s="2"/>
      <c r="I688" s="2"/>
      <c r="J688" s="2"/>
      <c r="K688" s="3"/>
    </row>
    <row r="689">
      <c r="C689" s="3"/>
      <c r="D689" s="3"/>
      <c r="G689" s="2"/>
      <c r="H689" s="2"/>
      <c r="I689" s="2"/>
      <c r="J689" s="2"/>
      <c r="K689" s="3"/>
    </row>
    <row r="690">
      <c r="C690" s="3"/>
      <c r="D690" s="3"/>
      <c r="G690" s="2"/>
      <c r="H690" s="2"/>
      <c r="I690" s="2"/>
      <c r="J690" s="2"/>
      <c r="K690" s="3"/>
    </row>
    <row r="691">
      <c r="C691" s="3"/>
      <c r="D691" s="3"/>
      <c r="G691" s="2"/>
      <c r="H691" s="2"/>
      <c r="I691" s="2"/>
      <c r="J691" s="2"/>
      <c r="K691" s="3"/>
    </row>
    <row r="692">
      <c r="C692" s="3"/>
      <c r="D692" s="3"/>
      <c r="G692" s="2"/>
      <c r="H692" s="2"/>
      <c r="I692" s="2"/>
      <c r="J692" s="2"/>
      <c r="K692" s="3"/>
    </row>
    <row r="693">
      <c r="C693" s="3"/>
      <c r="D693" s="3"/>
      <c r="G693" s="2"/>
      <c r="H693" s="2"/>
      <c r="I693" s="2"/>
      <c r="J693" s="2"/>
      <c r="K693" s="3"/>
    </row>
    <row r="694">
      <c r="C694" s="3"/>
      <c r="D694" s="3"/>
      <c r="G694" s="2"/>
      <c r="H694" s="2"/>
      <c r="I694" s="2"/>
      <c r="J694" s="2"/>
      <c r="K694" s="3"/>
    </row>
    <row r="695">
      <c r="C695" s="3"/>
      <c r="D695" s="3"/>
      <c r="G695" s="2"/>
      <c r="H695" s="2"/>
      <c r="I695" s="2"/>
      <c r="J695" s="2"/>
      <c r="K695" s="3"/>
    </row>
    <row r="696">
      <c r="C696" s="3"/>
      <c r="D696" s="3"/>
      <c r="G696" s="2"/>
      <c r="H696" s="2"/>
      <c r="I696" s="2"/>
      <c r="J696" s="2"/>
      <c r="K696" s="3"/>
    </row>
    <row r="697">
      <c r="C697" s="3"/>
      <c r="D697" s="3"/>
      <c r="G697" s="2"/>
      <c r="H697" s="2"/>
      <c r="I697" s="2"/>
      <c r="J697" s="2"/>
      <c r="K697" s="3"/>
    </row>
    <row r="698">
      <c r="C698" s="3"/>
      <c r="D698" s="3"/>
      <c r="G698" s="2"/>
      <c r="H698" s="2"/>
      <c r="I698" s="2"/>
      <c r="J698" s="2"/>
      <c r="K698" s="3"/>
    </row>
    <row r="699">
      <c r="C699" s="3"/>
      <c r="D699" s="3"/>
      <c r="G699" s="2"/>
      <c r="H699" s="2"/>
      <c r="I699" s="2"/>
      <c r="J699" s="2"/>
      <c r="K699" s="3"/>
    </row>
    <row r="700">
      <c r="C700" s="3"/>
      <c r="D700" s="3"/>
      <c r="G700" s="2"/>
      <c r="H700" s="2"/>
      <c r="I700" s="2"/>
      <c r="J700" s="2"/>
      <c r="K700" s="3"/>
    </row>
    <row r="701">
      <c r="C701" s="3"/>
      <c r="D701" s="3"/>
      <c r="G701" s="2"/>
      <c r="H701" s="2"/>
      <c r="I701" s="2"/>
      <c r="J701" s="2"/>
      <c r="K701" s="3"/>
    </row>
    <row r="702">
      <c r="C702" s="3"/>
      <c r="D702" s="3"/>
      <c r="G702" s="2"/>
      <c r="H702" s="2"/>
      <c r="I702" s="2"/>
      <c r="J702" s="2"/>
      <c r="K702" s="3"/>
    </row>
    <row r="703">
      <c r="C703" s="3"/>
      <c r="D703" s="3"/>
      <c r="G703" s="2"/>
      <c r="H703" s="2"/>
      <c r="I703" s="2"/>
      <c r="J703" s="2"/>
      <c r="K703" s="3"/>
    </row>
    <row r="704">
      <c r="C704" s="3"/>
      <c r="D704" s="3"/>
      <c r="G704" s="2"/>
      <c r="H704" s="2"/>
      <c r="I704" s="2"/>
      <c r="J704" s="2"/>
      <c r="K704" s="3"/>
    </row>
    <row r="705">
      <c r="C705" s="3"/>
      <c r="D705" s="3"/>
      <c r="G705" s="2"/>
      <c r="H705" s="2"/>
      <c r="I705" s="2"/>
      <c r="J705" s="2"/>
      <c r="K705" s="3"/>
    </row>
    <row r="706">
      <c r="C706" s="3"/>
      <c r="D706" s="3"/>
      <c r="G706" s="2"/>
      <c r="H706" s="2"/>
      <c r="I706" s="2"/>
      <c r="J706" s="2"/>
      <c r="K706" s="3"/>
    </row>
    <row r="707">
      <c r="C707" s="3"/>
      <c r="D707" s="3"/>
      <c r="G707" s="2"/>
      <c r="H707" s="2"/>
      <c r="I707" s="2"/>
      <c r="J707" s="2"/>
      <c r="K707" s="3"/>
    </row>
    <row r="708">
      <c r="C708" s="3"/>
      <c r="D708" s="3"/>
      <c r="G708" s="2"/>
      <c r="H708" s="2"/>
      <c r="I708" s="2"/>
      <c r="J708" s="2"/>
      <c r="K708" s="3"/>
    </row>
    <row r="709">
      <c r="C709" s="3"/>
      <c r="D709" s="3"/>
      <c r="G709" s="2"/>
      <c r="H709" s="2"/>
      <c r="I709" s="2"/>
      <c r="J709" s="2"/>
      <c r="K709" s="3"/>
    </row>
    <row r="710">
      <c r="C710" s="3"/>
      <c r="D710" s="3"/>
      <c r="G710" s="2"/>
      <c r="H710" s="2"/>
      <c r="I710" s="2"/>
      <c r="J710" s="2"/>
      <c r="K710" s="3"/>
    </row>
    <row r="711">
      <c r="C711" s="3"/>
      <c r="D711" s="3"/>
      <c r="G711" s="2"/>
      <c r="H711" s="2"/>
      <c r="I711" s="2"/>
      <c r="J711" s="2"/>
      <c r="K711" s="3"/>
    </row>
    <row r="712">
      <c r="C712" s="3"/>
      <c r="D712" s="3"/>
      <c r="G712" s="2"/>
      <c r="H712" s="2"/>
      <c r="I712" s="2"/>
      <c r="J712" s="2"/>
      <c r="K712" s="3"/>
    </row>
    <row r="713">
      <c r="C713" s="3"/>
      <c r="D713" s="3"/>
      <c r="G713" s="2"/>
      <c r="H713" s="2"/>
      <c r="I713" s="2"/>
      <c r="J713" s="2"/>
      <c r="K713" s="3"/>
    </row>
    <row r="714">
      <c r="C714" s="3"/>
      <c r="D714" s="3"/>
      <c r="G714" s="2"/>
      <c r="H714" s="2"/>
      <c r="I714" s="2"/>
      <c r="J714" s="2"/>
      <c r="K714" s="3"/>
    </row>
    <row r="715">
      <c r="C715" s="3"/>
      <c r="D715" s="3"/>
      <c r="G715" s="2"/>
      <c r="H715" s="2"/>
      <c r="I715" s="2"/>
      <c r="J715" s="2"/>
      <c r="K715" s="3"/>
    </row>
    <row r="716">
      <c r="C716" s="3"/>
      <c r="D716" s="3"/>
      <c r="G716" s="2"/>
      <c r="H716" s="2"/>
      <c r="I716" s="2"/>
      <c r="J716" s="2"/>
      <c r="K716" s="3"/>
    </row>
    <row r="717">
      <c r="C717" s="3"/>
      <c r="D717" s="3"/>
      <c r="G717" s="2"/>
      <c r="H717" s="2"/>
      <c r="I717" s="2"/>
      <c r="J717" s="2"/>
      <c r="K717" s="3"/>
    </row>
    <row r="718">
      <c r="C718" s="3"/>
      <c r="D718" s="3"/>
      <c r="G718" s="2"/>
      <c r="H718" s="2"/>
      <c r="I718" s="2"/>
      <c r="J718" s="2"/>
      <c r="K718" s="3"/>
    </row>
    <row r="719">
      <c r="C719" s="3"/>
      <c r="D719" s="3"/>
      <c r="G719" s="2"/>
      <c r="H719" s="2"/>
      <c r="I719" s="2"/>
      <c r="J719" s="2"/>
      <c r="K719" s="3"/>
    </row>
    <row r="720">
      <c r="C720" s="3"/>
      <c r="D720" s="3"/>
      <c r="G720" s="2"/>
      <c r="H720" s="2"/>
      <c r="I720" s="2"/>
      <c r="J720" s="2"/>
      <c r="K720" s="3"/>
    </row>
    <row r="721">
      <c r="C721" s="3"/>
      <c r="D721" s="3"/>
      <c r="G721" s="2"/>
      <c r="H721" s="2"/>
      <c r="I721" s="2"/>
      <c r="J721" s="2"/>
      <c r="K721" s="3"/>
    </row>
    <row r="722">
      <c r="C722" s="3"/>
      <c r="D722" s="3"/>
      <c r="G722" s="2"/>
      <c r="H722" s="2"/>
      <c r="I722" s="2"/>
      <c r="J722" s="2"/>
      <c r="K722" s="3"/>
    </row>
    <row r="723">
      <c r="C723" s="3"/>
      <c r="D723" s="3"/>
      <c r="G723" s="2"/>
      <c r="H723" s="2"/>
      <c r="I723" s="2"/>
      <c r="J723" s="2"/>
      <c r="K723" s="3"/>
    </row>
    <row r="724">
      <c r="C724" s="3"/>
      <c r="D724" s="3"/>
      <c r="G724" s="2"/>
      <c r="H724" s="2"/>
      <c r="I724" s="2"/>
      <c r="J724" s="2"/>
      <c r="K724" s="3"/>
    </row>
    <row r="725">
      <c r="C725" s="3"/>
      <c r="D725" s="3"/>
      <c r="G725" s="2"/>
      <c r="H725" s="2"/>
      <c r="I725" s="2"/>
      <c r="J725" s="2"/>
      <c r="K725" s="3"/>
    </row>
    <row r="726">
      <c r="C726" s="3"/>
      <c r="D726" s="3"/>
      <c r="G726" s="2"/>
      <c r="H726" s="2"/>
      <c r="I726" s="2"/>
      <c r="J726" s="2"/>
      <c r="K726" s="3"/>
    </row>
    <row r="727">
      <c r="C727" s="3"/>
      <c r="D727" s="3"/>
      <c r="G727" s="2"/>
      <c r="H727" s="2"/>
      <c r="I727" s="2"/>
      <c r="J727" s="2"/>
      <c r="K727" s="3"/>
    </row>
    <row r="728">
      <c r="C728" s="3"/>
      <c r="D728" s="3"/>
      <c r="G728" s="2"/>
      <c r="H728" s="2"/>
      <c r="I728" s="2"/>
      <c r="J728" s="2"/>
      <c r="K728" s="3"/>
    </row>
    <row r="729">
      <c r="C729" s="3"/>
      <c r="D729" s="3"/>
      <c r="G729" s="2"/>
      <c r="H729" s="2"/>
      <c r="I729" s="2"/>
      <c r="J729" s="2"/>
      <c r="K729" s="3"/>
    </row>
    <row r="730">
      <c r="C730" s="3"/>
      <c r="D730" s="3"/>
      <c r="G730" s="2"/>
      <c r="H730" s="2"/>
      <c r="I730" s="2"/>
      <c r="J730" s="2"/>
      <c r="K730" s="3"/>
    </row>
    <row r="731">
      <c r="C731" s="3"/>
      <c r="D731" s="3"/>
      <c r="G731" s="2"/>
      <c r="H731" s="2"/>
      <c r="I731" s="2"/>
      <c r="J731" s="2"/>
      <c r="K731" s="3"/>
    </row>
    <row r="732">
      <c r="C732" s="3"/>
      <c r="D732" s="3"/>
      <c r="G732" s="2"/>
      <c r="H732" s="2"/>
      <c r="I732" s="2"/>
      <c r="J732" s="2"/>
      <c r="K732" s="3"/>
    </row>
    <row r="733">
      <c r="C733" s="3"/>
      <c r="D733" s="3"/>
      <c r="G733" s="2"/>
      <c r="H733" s="2"/>
      <c r="I733" s="2"/>
      <c r="J733" s="2"/>
      <c r="K733" s="3"/>
    </row>
    <row r="734">
      <c r="C734" s="3"/>
      <c r="D734" s="3"/>
      <c r="G734" s="2"/>
      <c r="H734" s="2"/>
      <c r="I734" s="2"/>
      <c r="J734" s="2"/>
      <c r="K734" s="3"/>
    </row>
    <row r="735">
      <c r="C735" s="3"/>
      <c r="D735" s="3"/>
      <c r="G735" s="2"/>
      <c r="H735" s="2"/>
      <c r="I735" s="2"/>
      <c r="J735" s="2"/>
      <c r="K735" s="3"/>
    </row>
    <row r="736">
      <c r="C736" s="3"/>
      <c r="D736" s="3"/>
      <c r="G736" s="2"/>
      <c r="H736" s="2"/>
      <c r="I736" s="2"/>
      <c r="J736" s="2"/>
      <c r="K736" s="3"/>
    </row>
    <row r="737">
      <c r="C737" s="3"/>
      <c r="D737" s="3"/>
      <c r="G737" s="2"/>
      <c r="H737" s="2"/>
      <c r="I737" s="2"/>
      <c r="J737" s="2"/>
      <c r="K737" s="3"/>
    </row>
    <row r="738">
      <c r="C738" s="3"/>
      <c r="D738" s="3"/>
      <c r="G738" s="2"/>
      <c r="H738" s="2"/>
      <c r="I738" s="2"/>
      <c r="J738" s="2"/>
      <c r="K738" s="3"/>
    </row>
    <row r="739">
      <c r="C739" s="3"/>
      <c r="D739" s="3"/>
      <c r="G739" s="2"/>
      <c r="H739" s="2"/>
      <c r="I739" s="2"/>
      <c r="J739" s="2"/>
      <c r="K739" s="3"/>
    </row>
    <row r="740">
      <c r="C740" s="3"/>
      <c r="D740" s="3"/>
      <c r="G740" s="2"/>
      <c r="H740" s="2"/>
      <c r="I740" s="2"/>
      <c r="J740" s="2"/>
      <c r="K740" s="3"/>
    </row>
    <row r="741">
      <c r="C741" s="3"/>
      <c r="D741" s="3"/>
      <c r="G741" s="2"/>
      <c r="H741" s="2"/>
      <c r="I741" s="2"/>
      <c r="J741" s="2"/>
      <c r="K741" s="3"/>
    </row>
    <row r="742">
      <c r="C742" s="3"/>
      <c r="D742" s="3"/>
      <c r="G742" s="2"/>
      <c r="H742" s="2"/>
      <c r="I742" s="2"/>
      <c r="J742" s="2"/>
      <c r="K742" s="3"/>
    </row>
    <row r="743">
      <c r="C743" s="3"/>
      <c r="D743" s="3"/>
      <c r="G743" s="2"/>
      <c r="H743" s="2"/>
      <c r="I743" s="2"/>
      <c r="J743" s="2"/>
      <c r="K743" s="3"/>
    </row>
    <row r="744">
      <c r="C744" s="3"/>
      <c r="D744" s="3"/>
      <c r="G744" s="2"/>
      <c r="H744" s="2"/>
      <c r="I744" s="2"/>
      <c r="J744" s="2"/>
      <c r="K744" s="3"/>
    </row>
    <row r="745">
      <c r="C745" s="3"/>
      <c r="D745" s="3"/>
      <c r="G745" s="2"/>
      <c r="H745" s="2"/>
      <c r="I745" s="2"/>
      <c r="J745" s="2"/>
      <c r="K745" s="3"/>
    </row>
    <row r="746">
      <c r="C746" s="3"/>
      <c r="D746" s="3"/>
      <c r="G746" s="2"/>
      <c r="H746" s="2"/>
      <c r="I746" s="2"/>
      <c r="J746" s="2"/>
      <c r="K746" s="3"/>
    </row>
    <row r="747">
      <c r="C747" s="3"/>
      <c r="D747" s="3"/>
      <c r="G747" s="2"/>
      <c r="H747" s="2"/>
      <c r="I747" s="2"/>
      <c r="J747" s="2"/>
      <c r="K747" s="3"/>
    </row>
    <row r="748">
      <c r="C748" s="3"/>
      <c r="D748" s="3"/>
      <c r="G748" s="2"/>
      <c r="H748" s="2"/>
      <c r="I748" s="2"/>
      <c r="J748" s="2"/>
      <c r="K748" s="3"/>
    </row>
    <row r="749">
      <c r="C749" s="3"/>
      <c r="D749" s="3"/>
      <c r="G749" s="2"/>
      <c r="H749" s="2"/>
      <c r="I749" s="2"/>
      <c r="J749" s="2"/>
      <c r="K749" s="3"/>
    </row>
    <row r="750">
      <c r="C750" s="3"/>
      <c r="D750" s="3"/>
      <c r="G750" s="2"/>
      <c r="H750" s="2"/>
      <c r="I750" s="2"/>
      <c r="J750" s="2"/>
      <c r="K750" s="3"/>
    </row>
    <row r="751">
      <c r="C751" s="3"/>
      <c r="D751" s="3"/>
      <c r="G751" s="2"/>
      <c r="H751" s="2"/>
      <c r="I751" s="2"/>
      <c r="J751" s="2"/>
      <c r="K751" s="3"/>
    </row>
    <row r="752">
      <c r="C752" s="3"/>
      <c r="D752" s="3"/>
      <c r="G752" s="2"/>
      <c r="H752" s="2"/>
      <c r="I752" s="2"/>
      <c r="J752" s="2"/>
      <c r="K752" s="3"/>
    </row>
    <row r="753">
      <c r="C753" s="3"/>
      <c r="D753" s="3"/>
      <c r="G753" s="2"/>
      <c r="H753" s="2"/>
      <c r="I753" s="2"/>
      <c r="J753" s="2"/>
      <c r="K753" s="3"/>
    </row>
    <row r="754">
      <c r="C754" s="3"/>
      <c r="D754" s="3"/>
      <c r="G754" s="2"/>
      <c r="H754" s="2"/>
      <c r="I754" s="2"/>
      <c r="J754" s="2"/>
      <c r="K754" s="3"/>
    </row>
    <row r="755">
      <c r="C755" s="3"/>
      <c r="D755" s="3"/>
      <c r="G755" s="2"/>
      <c r="H755" s="2"/>
      <c r="I755" s="2"/>
      <c r="J755" s="2"/>
      <c r="K755" s="3"/>
    </row>
    <row r="756">
      <c r="C756" s="3"/>
      <c r="D756" s="3"/>
      <c r="G756" s="2"/>
      <c r="H756" s="2"/>
      <c r="I756" s="2"/>
      <c r="J756" s="2"/>
      <c r="K756" s="3"/>
    </row>
    <row r="757">
      <c r="C757" s="3"/>
      <c r="D757" s="3"/>
      <c r="G757" s="2"/>
      <c r="H757" s="2"/>
      <c r="I757" s="2"/>
      <c r="J757" s="2"/>
      <c r="K757" s="3"/>
    </row>
    <row r="758">
      <c r="C758" s="3"/>
      <c r="D758" s="3"/>
      <c r="G758" s="2"/>
      <c r="H758" s="2"/>
      <c r="I758" s="2"/>
      <c r="J758" s="2"/>
      <c r="K758" s="3"/>
    </row>
    <row r="759">
      <c r="C759" s="3"/>
      <c r="D759" s="3"/>
      <c r="G759" s="2"/>
      <c r="H759" s="2"/>
      <c r="I759" s="2"/>
      <c r="J759" s="2"/>
      <c r="K759" s="3"/>
    </row>
    <row r="760">
      <c r="C760" s="3"/>
      <c r="D760" s="3"/>
      <c r="G760" s="2"/>
      <c r="H760" s="2"/>
      <c r="I760" s="2"/>
      <c r="J760" s="2"/>
      <c r="K760" s="3"/>
    </row>
    <row r="761">
      <c r="C761" s="3"/>
      <c r="D761" s="3"/>
      <c r="G761" s="2"/>
      <c r="H761" s="2"/>
      <c r="I761" s="2"/>
      <c r="J761" s="2"/>
      <c r="K761" s="3"/>
    </row>
    <row r="762">
      <c r="C762" s="3"/>
      <c r="D762" s="3"/>
      <c r="G762" s="2"/>
      <c r="H762" s="2"/>
      <c r="I762" s="2"/>
      <c r="J762" s="2"/>
      <c r="K762" s="3"/>
    </row>
    <row r="763">
      <c r="C763" s="3"/>
      <c r="D763" s="3"/>
      <c r="G763" s="2"/>
      <c r="H763" s="2"/>
      <c r="I763" s="2"/>
      <c r="J763" s="2"/>
      <c r="K763" s="3"/>
    </row>
    <row r="764">
      <c r="C764" s="3"/>
      <c r="D764" s="3"/>
      <c r="G764" s="2"/>
      <c r="H764" s="2"/>
      <c r="I764" s="2"/>
      <c r="J764" s="2"/>
      <c r="K764" s="3"/>
    </row>
    <row r="765">
      <c r="C765" s="3"/>
      <c r="D765" s="3"/>
      <c r="G765" s="2"/>
      <c r="H765" s="2"/>
      <c r="I765" s="2"/>
      <c r="J765" s="2"/>
      <c r="K765" s="3"/>
    </row>
    <row r="766">
      <c r="C766" s="3"/>
      <c r="D766" s="3"/>
      <c r="G766" s="2"/>
      <c r="H766" s="2"/>
      <c r="I766" s="2"/>
      <c r="J766" s="2"/>
      <c r="K766" s="3"/>
    </row>
    <row r="767">
      <c r="C767" s="3"/>
      <c r="D767" s="3"/>
      <c r="G767" s="2"/>
      <c r="H767" s="2"/>
      <c r="I767" s="2"/>
      <c r="J767" s="2"/>
      <c r="K767" s="3"/>
    </row>
    <row r="768">
      <c r="C768" s="3"/>
      <c r="D768" s="3"/>
      <c r="G768" s="2"/>
      <c r="H768" s="2"/>
      <c r="I768" s="2"/>
      <c r="J768" s="2"/>
      <c r="K768" s="3"/>
    </row>
    <row r="769">
      <c r="C769" s="3"/>
      <c r="D769" s="3"/>
      <c r="G769" s="2"/>
      <c r="H769" s="2"/>
      <c r="I769" s="2"/>
      <c r="J769" s="2"/>
      <c r="K769" s="3"/>
    </row>
    <row r="770">
      <c r="C770" s="3"/>
      <c r="D770" s="3"/>
      <c r="G770" s="2"/>
      <c r="H770" s="2"/>
      <c r="I770" s="2"/>
      <c r="J770" s="2"/>
      <c r="K770" s="3"/>
    </row>
    <row r="771">
      <c r="C771" s="3"/>
      <c r="D771" s="3"/>
      <c r="G771" s="2"/>
      <c r="H771" s="2"/>
      <c r="I771" s="2"/>
      <c r="J771" s="2"/>
      <c r="K771" s="3"/>
    </row>
    <row r="772">
      <c r="C772" s="3"/>
      <c r="D772" s="3"/>
      <c r="G772" s="2"/>
      <c r="H772" s="2"/>
      <c r="I772" s="2"/>
      <c r="J772" s="2"/>
      <c r="K772" s="3"/>
    </row>
    <row r="773">
      <c r="C773" s="3"/>
      <c r="D773" s="3"/>
      <c r="G773" s="2"/>
      <c r="H773" s="2"/>
      <c r="I773" s="2"/>
      <c r="J773" s="2"/>
      <c r="K773" s="3"/>
    </row>
    <row r="774">
      <c r="C774" s="3"/>
      <c r="D774" s="3"/>
      <c r="G774" s="2"/>
      <c r="H774" s="2"/>
      <c r="I774" s="2"/>
      <c r="J774" s="2"/>
      <c r="K774" s="3"/>
    </row>
    <row r="775">
      <c r="C775" s="3"/>
      <c r="D775" s="3"/>
      <c r="G775" s="2"/>
      <c r="H775" s="2"/>
      <c r="I775" s="2"/>
      <c r="J775" s="2"/>
      <c r="K775" s="3"/>
    </row>
    <row r="776">
      <c r="C776" s="3"/>
      <c r="D776" s="3"/>
      <c r="G776" s="2"/>
      <c r="H776" s="2"/>
      <c r="I776" s="2"/>
      <c r="J776" s="2"/>
      <c r="K776" s="3"/>
    </row>
    <row r="777">
      <c r="C777" s="3"/>
      <c r="D777" s="3"/>
      <c r="G777" s="2"/>
      <c r="H777" s="2"/>
      <c r="I777" s="2"/>
      <c r="J777" s="2"/>
      <c r="K777" s="3"/>
    </row>
    <row r="778">
      <c r="C778" s="3"/>
      <c r="D778" s="3"/>
      <c r="G778" s="2"/>
      <c r="H778" s="2"/>
      <c r="I778" s="2"/>
      <c r="J778" s="2"/>
      <c r="K778" s="3"/>
    </row>
    <row r="779">
      <c r="C779" s="3"/>
      <c r="D779" s="3"/>
      <c r="G779" s="2"/>
      <c r="H779" s="2"/>
      <c r="I779" s="2"/>
      <c r="J779" s="2"/>
      <c r="K779" s="3"/>
    </row>
    <row r="780">
      <c r="C780" s="3"/>
      <c r="D780" s="3"/>
      <c r="G780" s="2"/>
      <c r="H780" s="2"/>
      <c r="I780" s="2"/>
      <c r="J780" s="2"/>
      <c r="K780" s="3"/>
    </row>
    <row r="781">
      <c r="C781" s="3"/>
      <c r="D781" s="3"/>
      <c r="G781" s="2"/>
      <c r="H781" s="2"/>
      <c r="I781" s="2"/>
      <c r="J781" s="2"/>
      <c r="K781" s="3"/>
    </row>
    <row r="782">
      <c r="C782" s="3"/>
      <c r="D782" s="3"/>
      <c r="G782" s="2"/>
      <c r="H782" s="2"/>
      <c r="I782" s="2"/>
      <c r="J782" s="2"/>
      <c r="K782" s="3"/>
    </row>
    <row r="783">
      <c r="C783" s="3"/>
      <c r="D783" s="3"/>
      <c r="G783" s="2"/>
      <c r="H783" s="2"/>
      <c r="I783" s="2"/>
      <c r="J783" s="2"/>
      <c r="K783" s="3"/>
    </row>
    <row r="784">
      <c r="C784" s="3"/>
      <c r="D784" s="3"/>
      <c r="G784" s="2"/>
      <c r="H784" s="2"/>
      <c r="I784" s="2"/>
      <c r="J784" s="2"/>
      <c r="K784" s="3"/>
    </row>
    <row r="785">
      <c r="C785" s="3"/>
      <c r="D785" s="3"/>
      <c r="G785" s="2"/>
      <c r="H785" s="2"/>
      <c r="I785" s="2"/>
      <c r="J785" s="2"/>
      <c r="K785" s="3"/>
    </row>
    <row r="786">
      <c r="C786" s="3"/>
      <c r="D786" s="3"/>
      <c r="G786" s="2"/>
      <c r="H786" s="2"/>
      <c r="I786" s="2"/>
      <c r="J786" s="2"/>
      <c r="K786" s="3"/>
    </row>
    <row r="787">
      <c r="C787" s="3"/>
      <c r="D787" s="3"/>
      <c r="G787" s="2"/>
      <c r="H787" s="2"/>
      <c r="I787" s="2"/>
      <c r="J787" s="2"/>
      <c r="K787" s="3"/>
    </row>
    <row r="788">
      <c r="C788" s="3"/>
      <c r="D788" s="3"/>
      <c r="G788" s="2"/>
      <c r="H788" s="2"/>
      <c r="I788" s="2"/>
      <c r="J788" s="2"/>
      <c r="K788" s="3"/>
    </row>
    <row r="789">
      <c r="C789" s="3"/>
      <c r="D789" s="3"/>
      <c r="G789" s="2"/>
      <c r="H789" s="2"/>
      <c r="I789" s="2"/>
      <c r="J789" s="2"/>
      <c r="K789" s="3"/>
    </row>
    <row r="790">
      <c r="C790" s="3"/>
      <c r="D790" s="3"/>
      <c r="G790" s="2"/>
      <c r="H790" s="2"/>
      <c r="I790" s="2"/>
      <c r="J790" s="2"/>
      <c r="K790" s="3"/>
    </row>
    <row r="791">
      <c r="C791" s="3"/>
      <c r="D791" s="3"/>
      <c r="G791" s="2"/>
      <c r="H791" s="2"/>
      <c r="I791" s="2"/>
      <c r="J791" s="2"/>
      <c r="K791" s="3"/>
    </row>
    <row r="792">
      <c r="C792" s="3"/>
      <c r="D792" s="3"/>
      <c r="G792" s="2"/>
      <c r="H792" s="2"/>
      <c r="I792" s="2"/>
      <c r="J792" s="2"/>
      <c r="K792" s="3"/>
    </row>
    <row r="793">
      <c r="C793" s="3"/>
      <c r="D793" s="3"/>
      <c r="G793" s="2"/>
      <c r="H793" s="2"/>
      <c r="I793" s="2"/>
      <c r="J793" s="2"/>
      <c r="K793" s="3"/>
    </row>
    <row r="794">
      <c r="C794" s="3"/>
      <c r="D794" s="3"/>
      <c r="G794" s="2"/>
      <c r="H794" s="2"/>
      <c r="I794" s="2"/>
      <c r="J794" s="2"/>
      <c r="K794" s="3"/>
    </row>
    <row r="795">
      <c r="C795" s="3"/>
      <c r="D795" s="3"/>
      <c r="G795" s="2"/>
      <c r="H795" s="2"/>
      <c r="I795" s="2"/>
      <c r="J795" s="2"/>
      <c r="K795" s="3"/>
    </row>
    <row r="796">
      <c r="C796" s="3"/>
      <c r="D796" s="3"/>
      <c r="G796" s="2"/>
      <c r="H796" s="2"/>
      <c r="I796" s="2"/>
      <c r="J796" s="2"/>
      <c r="K796" s="3"/>
    </row>
    <row r="797">
      <c r="C797" s="3"/>
      <c r="D797" s="3"/>
      <c r="G797" s="2"/>
      <c r="H797" s="2"/>
      <c r="I797" s="2"/>
      <c r="J797" s="2"/>
      <c r="K797" s="3"/>
    </row>
    <row r="798">
      <c r="C798" s="3"/>
      <c r="D798" s="3"/>
      <c r="G798" s="2"/>
      <c r="H798" s="2"/>
      <c r="I798" s="2"/>
      <c r="J798" s="2"/>
      <c r="K798" s="3"/>
    </row>
    <row r="799">
      <c r="C799" s="3"/>
      <c r="D799" s="3"/>
      <c r="G799" s="2"/>
      <c r="H799" s="2"/>
      <c r="I799" s="2"/>
      <c r="J799" s="2"/>
      <c r="K799" s="3"/>
    </row>
    <row r="800">
      <c r="C800" s="3"/>
      <c r="D800" s="3"/>
      <c r="G800" s="2"/>
      <c r="H800" s="2"/>
      <c r="I800" s="2"/>
      <c r="J800" s="2"/>
      <c r="K800" s="3"/>
    </row>
    <row r="801">
      <c r="C801" s="3"/>
      <c r="D801" s="3"/>
      <c r="G801" s="2"/>
      <c r="H801" s="2"/>
      <c r="I801" s="2"/>
      <c r="J801" s="2"/>
      <c r="K801" s="3"/>
    </row>
    <row r="802">
      <c r="C802" s="3"/>
      <c r="D802" s="3"/>
      <c r="G802" s="2"/>
      <c r="H802" s="2"/>
      <c r="I802" s="2"/>
      <c r="J802" s="2"/>
      <c r="K802" s="3"/>
    </row>
    <row r="803">
      <c r="C803" s="3"/>
      <c r="D803" s="3"/>
      <c r="G803" s="2"/>
      <c r="H803" s="2"/>
      <c r="I803" s="2"/>
      <c r="J803" s="2"/>
      <c r="K803" s="3"/>
    </row>
    <row r="804">
      <c r="C804" s="3"/>
      <c r="D804" s="3"/>
      <c r="G804" s="2"/>
      <c r="H804" s="2"/>
      <c r="I804" s="2"/>
      <c r="J804" s="2"/>
      <c r="K804" s="3"/>
    </row>
    <row r="805">
      <c r="C805" s="3"/>
      <c r="D805" s="3"/>
      <c r="G805" s="2"/>
      <c r="H805" s="2"/>
      <c r="I805" s="2"/>
      <c r="J805" s="2"/>
      <c r="K805" s="3"/>
    </row>
    <row r="806">
      <c r="C806" s="3"/>
      <c r="D806" s="3"/>
      <c r="G806" s="2"/>
      <c r="H806" s="2"/>
      <c r="I806" s="2"/>
      <c r="J806" s="2"/>
      <c r="K806" s="3"/>
    </row>
    <row r="807">
      <c r="C807" s="3"/>
      <c r="D807" s="3"/>
      <c r="G807" s="2"/>
      <c r="H807" s="2"/>
      <c r="I807" s="2"/>
      <c r="J807" s="2"/>
      <c r="K807" s="3"/>
    </row>
    <row r="808">
      <c r="C808" s="3"/>
      <c r="D808" s="3"/>
      <c r="G808" s="2"/>
      <c r="H808" s="2"/>
      <c r="I808" s="2"/>
      <c r="J808" s="2"/>
      <c r="K808" s="3"/>
    </row>
    <row r="809">
      <c r="C809" s="3"/>
      <c r="D809" s="3"/>
      <c r="G809" s="2"/>
      <c r="H809" s="2"/>
      <c r="I809" s="2"/>
      <c r="J809" s="2"/>
      <c r="K809" s="3"/>
    </row>
    <row r="810">
      <c r="C810" s="3"/>
      <c r="D810" s="3"/>
      <c r="G810" s="2"/>
      <c r="H810" s="2"/>
      <c r="I810" s="2"/>
      <c r="J810" s="2"/>
      <c r="K810" s="3"/>
    </row>
    <row r="811">
      <c r="C811" s="3"/>
      <c r="D811" s="3"/>
      <c r="G811" s="2"/>
      <c r="H811" s="2"/>
      <c r="I811" s="2"/>
      <c r="J811" s="2"/>
      <c r="K811" s="3"/>
    </row>
    <row r="812">
      <c r="C812" s="3"/>
      <c r="D812" s="3"/>
      <c r="G812" s="2"/>
      <c r="H812" s="2"/>
      <c r="I812" s="2"/>
      <c r="J812" s="2"/>
      <c r="K812" s="3"/>
    </row>
    <row r="813">
      <c r="C813" s="3"/>
      <c r="D813" s="3"/>
      <c r="G813" s="2"/>
      <c r="H813" s="2"/>
      <c r="I813" s="2"/>
      <c r="J813" s="2"/>
      <c r="K813" s="3"/>
    </row>
    <row r="814">
      <c r="C814" s="3"/>
      <c r="D814" s="3"/>
      <c r="G814" s="2"/>
      <c r="H814" s="2"/>
      <c r="I814" s="2"/>
      <c r="J814" s="2"/>
      <c r="K814" s="3"/>
    </row>
    <row r="815">
      <c r="C815" s="3"/>
      <c r="D815" s="3"/>
      <c r="G815" s="2"/>
      <c r="H815" s="2"/>
      <c r="I815" s="2"/>
      <c r="J815" s="2"/>
      <c r="K815" s="3"/>
    </row>
    <row r="816">
      <c r="C816" s="3"/>
      <c r="D816" s="3"/>
      <c r="G816" s="2"/>
      <c r="H816" s="2"/>
      <c r="I816" s="2"/>
      <c r="J816" s="2"/>
      <c r="K816" s="3"/>
    </row>
    <row r="817">
      <c r="C817" s="3"/>
      <c r="D817" s="3"/>
      <c r="G817" s="2"/>
      <c r="H817" s="2"/>
      <c r="I817" s="2"/>
      <c r="J817" s="2"/>
      <c r="K817" s="3"/>
    </row>
    <row r="818">
      <c r="C818" s="3"/>
      <c r="D818" s="3"/>
      <c r="G818" s="2"/>
      <c r="H818" s="2"/>
      <c r="I818" s="2"/>
      <c r="J818" s="2"/>
      <c r="K818" s="3"/>
    </row>
    <row r="819">
      <c r="C819" s="3"/>
      <c r="D819" s="3"/>
      <c r="G819" s="2"/>
      <c r="H819" s="2"/>
      <c r="I819" s="2"/>
      <c r="J819" s="2"/>
      <c r="K819" s="3"/>
    </row>
    <row r="820">
      <c r="C820" s="3"/>
      <c r="D820" s="3"/>
      <c r="G820" s="2"/>
      <c r="H820" s="2"/>
      <c r="I820" s="2"/>
      <c r="J820" s="2"/>
      <c r="K820" s="3"/>
    </row>
    <row r="821">
      <c r="C821" s="3"/>
      <c r="D821" s="3"/>
      <c r="G821" s="2"/>
      <c r="H821" s="2"/>
      <c r="I821" s="2"/>
      <c r="J821" s="2"/>
      <c r="K821" s="3"/>
    </row>
    <row r="822">
      <c r="C822" s="3"/>
      <c r="D822" s="3"/>
      <c r="G822" s="2"/>
      <c r="H822" s="2"/>
      <c r="I822" s="2"/>
      <c r="J822" s="2"/>
      <c r="K822" s="3"/>
    </row>
    <row r="823">
      <c r="C823" s="3"/>
      <c r="D823" s="3"/>
      <c r="G823" s="2"/>
      <c r="H823" s="2"/>
      <c r="I823" s="2"/>
      <c r="J823" s="2"/>
      <c r="K823" s="3"/>
    </row>
    <row r="824">
      <c r="C824" s="3"/>
      <c r="D824" s="3"/>
      <c r="G824" s="2"/>
      <c r="H824" s="2"/>
      <c r="I824" s="2"/>
      <c r="J824" s="2"/>
      <c r="K824" s="3"/>
    </row>
    <row r="825">
      <c r="C825" s="3"/>
      <c r="D825" s="3"/>
      <c r="G825" s="2"/>
      <c r="H825" s="2"/>
      <c r="I825" s="2"/>
      <c r="J825" s="2"/>
      <c r="K825" s="3"/>
    </row>
    <row r="826">
      <c r="C826" s="3"/>
      <c r="D826" s="3"/>
      <c r="G826" s="2"/>
      <c r="H826" s="2"/>
      <c r="I826" s="2"/>
      <c r="J826" s="2"/>
      <c r="K826" s="3"/>
    </row>
    <row r="827">
      <c r="C827" s="3"/>
      <c r="D827" s="3"/>
      <c r="G827" s="2"/>
      <c r="H827" s="2"/>
      <c r="I827" s="2"/>
      <c r="J827" s="2"/>
      <c r="K827" s="3"/>
    </row>
    <row r="828">
      <c r="C828" s="3"/>
      <c r="D828" s="3"/>
      <c r="G828" s="2"/>
      <c r="H828" s="2"/>
      <c r="I828" s="2"/>
      <c r="J828" s="2"/>
      <c r="K828" s="3"/>
    </row>
    <row r="829">
      <c r="C829" s="3"/>
      <c r="D829" s="3"/>
      <c r="G829" s="2"/>
      <c r="H829" s="2"/>
      <c r="I829" s="2"/>
      <c r="J829" s="2"/>
      <c r="K829" s="3"/>
    </row>
    <row r="830">
      <c r="C830" s="3"/>
      <c r="D830" s="3"/>
      <c r="G830" s="2"/>
      <c r="H830" s="2"/>
      <c r="I830" s="2"/>
      <c r="J830" s="2"/>
      <c r="K830" s="3"/>
    </row>
    <row r="831">
      <c r="C831" s="3"/>
      <c r="D831" s="3"/>
      <c r="G831" s="2"/>
      <c r="H831" s="2"/>
      <c r="I831" s="2"/>
      <c r="J831" s="2"/>
      <c r="K831" s="3"/>
    </row>
    <row r="832">
      <c r="C832" s="3"/>
      <c r="D832" s="3"/>
      <c r="G832" s="2"/>
      <c r="H832" s="2"/>
      <c r="I832" s="2"/>
      <c r="J832" s="2"/>
      <c r="K832" s="3"/>
    </row>
    <row r="833">
      <c r="C833" s="3"/>
      <c r="D833" s="3"/>
      <c r="G833" s="2"/>
      <c r="H833" s="2"/>
      <c r="I833" s="2"/>
      <c r="J833" s="2"/>
      <c r="K833" s="3"/>
    </row>
    <row r="834">
      <c r="C834" s="3"/>
      <c r="D834" s="3"/>
      <c r="G834" s="2"/>
      <c r="H834" s="2"/>
      <c r="I834" s="2"/>
      <c r="J834" s="2"/>
      <c r="K834" s="3"/>
    </row>
    <row r="835">
      <c r="C835" s="3"/>
      <c r="D835" s="3"/>
      <c r="G835" s="2"/>
      <c r="H835" s="2"/>
      <c r="I835" s="2"/>
      <c r="J835" s="2"/>
      <c r="K835" s="3"/>
    </row>
    <row r="836">
      <c r="C836" s="3"/>
      <c r="D836" s="3"/>
      <c r="G836" s="2"/>
      <c r="H836" s="2"/>
      <c r="I836" s="2"/>
      <c r="J836" s="2"/>
      <c r="K836" s="3"/>
    </row>
    <row r="837">
      <c r="C837" s="3"/>
      <c r="D837" s="3"/>
      <c r="G837" s="2"/>
      <c r="H837" s="2"/>
      <c r="I837" s="2"/>
      <c r="J837" s="2"/>
      <c r="K837" s="3"/>
    </row>
    <row r="838">
      <c r="C838" s="3"/>
      <c r="D838" s="3"/>
      <c r="G838" s="2"/>
      <c r="H838" s="2"/>
      <c r="I838" s="2"/>
      <c r="J838" s="2"/>
      <c r="K838" s="3"/>
    </row>
    <row r="839">
      <c r="C839" s="3"/>
      <c r="D839" s="3"/>
      <c r="G839" s="2"/>
      <c r="H839" s="2"/>
      <c r="I839" s="2"/>
      <c r="J839" s="2"/>
      <c r="K839" s="3"/>
    </row>
    <row r="840">
      <c r="C840" s="3"/>
      <c r="D840" s="3"/>
      <c r="G840" s="2"/>
      <c r="H840" s="2"/>
      <c r="I840" s="2"/>
      <c r="J840" s="2"/>
      <c r="K840" s="3"/>
    </row>
    <row r="841">
      <c r="C841" s="3"/>
      <c r="D841" s="3"/>
      <c r="G841" s="2"/>
      <c r="H841" s="2"/>
      <c r="I841" s="2"/>
      <c r="J841" s="2"/>
      <c r="K841" s="3"/>
    </row>
    <row r="842">
      <c r="C842" s="3"/>
      <c r="D842" s="3"/>
      <c r="G842" s="2"/>
      <c r="H842" s="2"/>
      <c r="I842" s="2"/>
      <c r="J842" s="2"/>
      <c r="K842" s="3"/>
    </row>
    <row r="843">
      <c r="C843" s="3"/>
      <c r="D843" s="3"/>
      <c r="G843" s="2"/>
      <c r="H843" s="2"/>
      <c r="I843" s="2"/>
      <c r="J843" s="2"/>
      <c r="K843" s="3"/>
    </row>
    <row r="844">
      <c r="C844" s="3"/>
      <c r="D844" s="3"/>
      <c r="G844" s="2"/>
      <c r="H844" s="2"/>
      <c r="I844" s="2"/>
      <c r="J844" s="2"/>
      <c r="K844" s="3"/>
    </row>
    <row r="845">
      <c r="C845" s="3"/>
      <c r="D845" s="3"/>
      <c r="G845" s="2"/>
      <c r="H845" s="2"/>
      <c r="I845" s="2"/>
      <c r="J845" s="2"/>
      <c r="K845" s="3"/>
    </row>
    <row r="846">
      <c r="C846" s="3"/>
      <c r="D846" s="3"/>
      <c r="G846" s="2"/>
      <c r="H846" s="2"/>
      <c r="I846" s="2"/>
      <c r="J846" s="2"/>
      <c r="K846" s="3"/>
    </row>
    <row r="847">
      <c r="C847" s="3"/>
      <c r="D847" s="3"/>
      <c r="G847" s="2"/>
      <c r="H847" s="2"/>
      <c r="I847" s="2"/>
      <c r="J847" s="2"/>
      <c r="K847" s="3"/>
    </row>
    <row r="848">
      <c r="C848" s="3"/>
      <c r="D848" s="3"/>
      <c r="G848" s="2"/>
      <c r="H848" s="2"/>
      <c r="I848" s="2"/>
      <c r="J848" s="2"/>
      <c r="K848" s="3"/>
    </row>
    <row r="849">
      <c r="C849" s="3"/>
      <c r="D849" s="3"/>
      <c r="G849" s="2"/>
      <c r="H849" s="2"/>
      <c r="I849" s="2"/>
      <c r="J849" s="2"/>
      <c r="K849" s="3"/>
    </row>
    <row r="850">
      <c r="C850" s="3"/>
      <c r="D850" s="3"/>
      <c r="G850" s="2"/>
      <c r="H850" s="2"/>
      <c r="I850" s="2"/>
      <c r="J850" s="2"/>
      <c r="K850" s="3"/>
    </row>
    <row r="851">
      <c r="C851" s="3"/>
      <c r="D851" s="3"/>
      <c r="G851" s="2"/>
      <c r="H851" s="2"/>
      <c r="I851" s="2"/>
      <c r="J851" s="2"/>
      <c r="K851" s="3"/>
    </row>
    <row r="852">
      <c r="C852" s="3"/>
      <c r="D852" s="3"/>
      <c r="G852" s="2"/>
      <c r="H852" s="2"/>
      <c r="I852" s="2"/>
      <c r="J852" s="2"/>
      <c r="K852" s="3"/>
    </row>
    <row r="853">
      <c r="C853" s="3"/>
      <c r="D853" s="3"/>
      <c r="G853" s="2"/>
      <c r="H853" s="2"/>
      <c r="I853" s="2"/>
      <c r="J853" s="2"/>
      <c r="K853" s="3"/>
    </row>
    <row r="854">
      <c r="C854" s="3"/>
      <c r="D854" s="3"/>
      <c r="G854" s="2"/>
      <c r="H854" s="2"/>
      <c r="I854" s="2"/>
      <c r="J854" s="2"/>
      <c r="K854" s="3"/>
    </row>
    <row r="855">
      <c r="C855" s="3"/>
      <c r="D855" s="3"/>
      <c r="G855" s="2"/>
      <c r="H855" s="2"/>
      <c r="I855" s="2"/>
      <c r="J855" s="2"/>
      <c r="K855" s="3"/>
    </row>
    <row r="856">
      <c r="C856" s="3"/>
      <c r="D856" s="3"/>
      <c r="G856" s="2"/>
      <c r="H856" s="2"/>
      <c r="I856" s="2"/>
      <c r="J856" s="2"/>
      <c r="K856" s="3"/>
    </row>
    <row r="857">
      <c r="C857" s="3"/>
      <c r="D857" s="3"/>
      <c r="G857" s="2"/>
      <c r="H857" s="2"/>
      <c r="I857" s="2"/>
      <c r="J857" s="2"/>
      <c r="K857" s="3"/>
    </row>
    <row r="858">
      <c r="C858" s="3"/>
      <c r="D858" s="3"/>
      <c r="G858" s="2"/>
      <c r="H858" s="2"/>
      <c r="I858" s="2"/>
      <c r="J858" s="2"/>
      <c r="K858" s="3"/>
    </row>
    <row r="859">
      <c r="C859" s="3"/>
      <c r="D859" s="3"/>
      <c r="G859" s="2"/>
      <c r="H859" s="2"/>
      <c r="I859" s="2"/>
      <c r="J859" s="2"/>
      <c r="K859" s="3"/>
    </row>
    <row r="860">
      <c r="C860" s="3"/>
      <c r="D860" s="3"/>
      <c r="G860" s="2"/>
      <c r="H860" s="2"/>
      <c r="I860" s="2"/>
      <c r="J860" s="2"/>
      <c r="K860" s="3"/>
    </row>
    <row r="861">
      <c r="C861" s="3"/>
      <c r="D861" s="3"/>
      <c r="G861" s="2"/>
      <c r="H861" s="2"/>
      <c r="I861" s="2"/>
      <c r="J861" s="2"/>
      <c r="K861" s="3"/>
    </row>
    <row r="862">
      <c r="C862" s="3"/>
      <c r="D862" s="3"/>
      <c r="G862" s="2"/>
      <c r="H862" s="2"/>
      <c r="I862" s="2"/>
      <c r="J862" s="2"/>
      <c r="K862" s="3"/>
    </row>
    <row r="863">
      <c r="C863" s="3"/>
      <c r="D863" s="3"/>
      <c r="G863" s="2"/>
      <c r="H863" s="2"/>
      <c r="I863" s="2"/>
      <c r="J863" s="2"/>
      <c r="K863" s="3"/>
    </row>
    <row r="864">
      <c r="C864" s="3"/>
      <c r="D864" s="3"/>
      <c r="G864" s="2"/>
      <c r="H864" s="2"/>
      <c r="I864" s="2"/>
      <c r="J864" s="2"/>
      <c r="K864" s="3"/>
    </row>
    <row r="865">
      <c r="C865" s="3"/>
      <c r="D865" s="3"/>
      <c r="G865" s="2"/>
      <c r="H865" s="2"/>
      <c r="I865" s="2"/>
      <c r="J865" s="2"/>
      <c r="K865" s="3"/>
    </row>
    <row r="866">
      <c r="C866" s="3"/>
      <c r="D866" s="3"/>
      <c r="G866" s="2"/>
      <c r="H866" s="2"/>
      <c r="I866" s="2"/>
      <c r="J866" s="2"/>
      <c r="K866" s="3"/>
    </row>
    <row r="867">
      <c r="C867" s="3"/>
      <c r="D867" s="3"/>
      <c r="G867" s="2"/>
      <c r="H867" s="2"/>
      <c r="I867" s="2"/>
      <c r="J867" s="2"/>
      <c r="K867" s="3"/>
    </row>
    <row r="868">
      <c r="C868" s="3"/>
      <c r="D868" s="3"/>
      <c r="G868" s="2"/>
      <c r="H868" s="2"/>
      <c r="I868" s="2"/>
      <c r="J868" s="2"/>
      <c r="K868" s="3"/>
    </row>
    <row r="869">
      <c r="C869" s="3"/>
      <c r="D869" s="3"/>
      <c r="G869" s="2"/>
      <c r="H869" s="2"/>
      <c r="I869" s="2"/>
      <c r="J869" s="2"/>
      <c r="K869" s="3"/>
    </row>
    <row r="870">
      <c r="C870" s="3"/>
      <c r="D870" s="3"/>
      <c r="G870" s="2"/>
      <c r="H870" s="2"/>
      <c r="I870" s="2"/>
      <c r="J870" s="2"/>
      <c r="K870" s="3"/>
    </row>
    <row r="871">
      <c r="C871" s="3"/>
      <c r="D871" s="3"/>
      <c r="G871" s="2"/>
      <c r="H871" s="2"/>
      <c r="I871" s="2"/>
      <c r="J871" s="2"/>
      <c r="K871" s="3"/>
    </row>
    <row r="872">
      <c r="C872" s="3"/>
      <c r="D872" s="3"/>
      <c r="G872" s="2"/>
      <c r="H872" s="2"/>
      <c r="I872" s="2"/>
      <c r="J872" s="2"/>
      <c r="K872" s="3"/>
    </row>
    <row r="873">
      <c r="C873" s="3"/>
      <c r="D873" s="3"/>
      <c r="G873" s="2"/>
      <c r="H873" s="2"/>
      <c r="I873" s="2"/>
      <c r="J873" s="2"/>
      <c r="K873" s="3"/>
    </row>
    <row r="874">
      <c r="C874" s="3"/>
      <c r="D874" s="3"/>
      <c r="G874" s="2"/>
      <c r="H874" s="2"/>
      <c r="I874" s="2"/>
      <c r="J874" s="2"/>
      <c r="K874" s="3"/>
    </row>
    <row r="875">
      <c r="C875" s="3"/>
      <c r="D875" s="3"/>
      <c r="G875" s="2"/>
      <c r="H875" s="2"/>
      <c r="I875" s="2"/>
      <c r="J875" s="2"/>
      <c r="K875" s="3"/>
    </row>
    <row r="876">
      <c r="C876" s="3"/>
      <c r="D876" s="3"/>
      <c r="G876" s="2"/>
      <c r="H876" s="2"/>
      <c r="I876" s="2"/>
      <c r="J876" s="2"/>
      <c r="K876" s="3"/>
    </row>
    <row r="877">
      <c r="C877" s="3"/>
      <c r="D877" s="3"/>
      <c r="G877" s="2"/>
      <c r="H877" s="2"/>
      <c r="I877" s="2"/>
      <c r="J877" s="2"/>
      <c r="K877" s="3"/>
    </row>
    <row r="878">
      <c r="C878" s="3"/>
      <c r="D878" s="3"/>
      <c r="G878" s="2"/>
      <c r="H878" s="2"/>
      <c r="I878" s="2"/>
      <c r="J878" s="2"/>
      <c r="K878" s="3"/>
    </row>
    <row r="879">
      <c r="C879" s="3"/>
      <c r="D879" s="3"/>
      <c r="G879" s="2"/>
      <c r="H879" s="2"/>
      <c r="I879" s="2"/>
      <c r="J879" s="2"/>
      <c r="K879" s="3"/>
    </row>
    <row r="880">
      <c r="C880" s="3"/>
      <c r="D880" s="3"/>
      <c r="G880" s="2"/>
      <c r="H880" s="2"/>
      <c r="I880" s="2"/>
      <c r="J880" s="2"/>
      <c r="K880" s="3"/>
    </row>
    <row r="881">
      <c r="C881" s="3"/>
      <c r="D881" s="3"/>
      <c r="G881" s="2"/>
      <c r="H881" s="2"/>
      <c r="I881" s="2"/>
      <c r="J881" s="2"/>
      <c r="K881" s="3"/>
    </row>
    <row r="882">
      <c r="C882" s="3"/>
      <c r="D882" s="3"/>
      <c r="G882" s="2"/>
      <c r="H882" s="2"/>
      <c r="I882" s="2"/>
      <c r="J882" s="2"/>
      <c r="K882" s="3"/>
    </row>
    <row r="883">
      <c r="C883" s="3"/>
      <c r="D883" s="3"/>
      <c r="G883" s="2"/>
      <c r="H883" s="2"/>
      <c r="I883" s="2"/>
      <c r="J883" s="2"/>
      <c r="K883" s="3"/>
    </row>
    <row r="884">
      <c r="C884" s="3"/>
      <c r="D884" s="3"/>
      <c r="G884" s="2"/>
      <c r="H884" s="2"/>
      <c r="I884" s="2"/>
      <c r="J884" s="2"/>
      <c r="K884" s="3"/>
    </row>
    <row r="885">
      <c r="C885" s="3"/>
      <c r="D885" s="3"/>
      <c r="G885" s="2"/>
      <c r="H885" s="2"/>
      <c r="I885" s="2"/>
      <c r="J885" s="2"/>
      <c r="K885" s="3"/>
    </row>
    <row r="886">
      <c r="C886" s="3"/>
      <c r="D886" s="3"/>
      <c r="G886" s="2"/>
      <c r="H886" s="2"/>
      <c r="I886" s="2"/>
      <c r="J886" s="2"/>
      <c r="K886" s="3"/>
    </row>
    <row r="887">
      <c r="C887" s="3"/>
      <c r="D887" s="3"/>
      <c r="G887" s="2"/>
      <c r="H887" s="2"/>
      <c r="I887" s="2"/>
      <c r="J887" s="2"/>
      <c r="K887" s="3"/>
    </row>
    <row r="888">
      <c r="C888" s="3"/>
      <c r="D888" s="3"/>
      <c r="G888" s="2"/>
      <c r="H888" s="2"/>
      <c r="I888" s="2"/>
      <c r="J888" s="2"/>
      <c r="K888" s="3"/>
    </row>
    <row r="889">
      <c r="C889" s="3"/>
      <c r="D889" s="3"/>
      <c r="G889" s="2"/>
      <c r="H889" s="2"/>
      <c r="I889" s="2"/>
      <c r="J889" s="2"/>
      <c r="K889" s="3"/>
    </row>
    <row r="890">
      <c r="C890" s="3"/>
      <c r="D890" s="3"/>
      <c r="G890" s="2"/>
      <c r="H890" s="2"/>
      <c r="I890" s="2"/>
      <c r="J890" s="2"/>
      <c r="K890" s="3"/>
    </row>
    <row r="891">
      <c r="C891" s="3"/>
      <c r="D891" s="3"/>
      <c r="G891" s="2"/>
      <c r="H891" s="2"/>
      <c r="I891" s="2"/>
      <c r="J891" s="2"/>
      <c r="K891" s="3"/>
    </row>
    <row r="892">
      <c r="C892" s="3"/>
      <c r="D892" s="3"/>
      <c r="G892" s="2"/>
      <c r="H892" s="2"/>
      <c r="I892" s="2"/>
      <c r="J892" s="2"/>
      <c r="K892" s="3"/>
    </row>
    <row r="893">
      <c r="C893" s="3"/>
      <c r="D893" s="3"/>
      <c r="G893" s="2"/>
      <c r="H893" s="2"/>
      <c r="I893" s="2"/>
      <c r="J893" s="2"/>
      <c r="K893" s="3"/>
    </row>
    <row r="894">
      <c r="C894" s="3"/>
      <c r="D894" s="3"/>
      <c r="G894" s="2"/>
      <c r="H894" s="2"/>
      <c r="I894" s="2"/>
      <c r="J894" s="2"/>
      <c r="K894" s="3"/>
    </row>
    <row r="895">
      <c r="C895" s="3"/>
      <c r="D895" s="3"/>
      <c r="G895" s="2"/>
      <c r="H895" s="2"/>
      <c r="I895" s="2"/>
      <c r="J895" s="2"/>
      <c r="K895" s="3"/>
    </row>
    <row r="896">
      <c r="C896" s="3"/>
      <c r="D896" s="3"/>
      <c r="G896" s="2"/>
      <c r="H896" s="2"/>
      <c r="I896" s="2"/>
      <c r="J896" s="2"/>
      <c r="K896" s="3"/>
    </row>
    <row r="897">
      <c r="C897" s="3"/>
      <c r="D897" s="3"/>
      <c r="G897" s="2"/>
      <c r="H897" s="2"/>
      <c r="I897" s="2"/>
      <c r="J897" s="2"/>
      <c r="K897" s="3"/>
    </row>
    <row r="898">
      <c r="C898" s="3"/>
      <c r="D898" s="3"/>
      <c r="G898" s="2"/>
      <c r="H898" s="2"/>
      <c r="I898" s="2"/>
      <c r="J898" s="2"/>
      <c r="K898" s="3"/>
    </row>
    <row r="899">
      <c r="C899" s="3"/>
      <c r="D899" s="3"/>
      <c r="G899" s="2"/>
      <c r="H899" s="2"/>
      <c r="I899" s="2"/>
      <c r="J899" s="2"/>
      <c r="K899" s="3"/>
    </row>
    <row r="900">
      <c r="C900" s="3"/>
      <c r="D900" s="3"/>
      <c r="G900" s="2"/>
      <c r="H900" s="2"/>
      <c r="I900" s="2"/>
      <c r="J900" s="2"/>
      <c r="K900" s="3"/>
    </row>
    <row r="901">
      <c r="C901" s="3"/>
      <c r="D901" s="3"/>
      <c r="G901" s="2"/>
      <c r="H901" s="2"/>
      <c r="I901" s="2"/>
      <c r="J901" s="2"/>
      <c r="K901" s="3"/>
    </row>
    <row r="902">
      <c r="C902" s="3"/>
      <c r="D902" s="3"/>
      <c r="G902" s="2"/>
      <c r="H902" s="2"/>
      <c r="I902" s="2"/>
      <c r="J902" s="2"/>
      <c r="K902" s="3"/>
    </row>
    <row r="903">
      <c r="C903" s="3"/>
      <c r="D903" s="3"/>
      <c r="G903" s="2"/>
      <c r="H903" s="2"/>
      <c r="I903" s="2"/>
      <c r="J903" s="2"/>
      <c r="K903" s="3"/>
    </row>
    <row r="904">
      <c r="C904" s="3"/>
      <c r="D904" s="3"/>
      <c r="G904" s="2"/>
      <c r="H904" s="2"/>
      <c r="I904" s="2"/>
      <c r="J904" s="2"/>
      <c r="K904" s="3"/>
    </row>
    <row r="905">
      <c r="C905" s="3"/>
      <c r="D905" s="3"/>
      <c r="G905" s="2"/>
      <c r="H905" s="2"/>
      <c r="I905" s="2"/>
      <c r="J905" s="2"/>
      <c r="K905" s="3"/>
    </row>
    <row r="906">
      <c r="C906" s="3"/>
      <c r="D906" s="3"/>
      <c r="G906" s="2"/>
      <c r="H906" s="2"/>
      <c r="I906" s="2"/>
      <c r="J906" s="2"/>
      <c r="K906" s="3"/>
    </row>
    <row r="907">
      <c r="C907" s="3"/>
      <c r="D907" s="3"/>
      <c r="G907" s="2"/>
      <c r="H907" s="2"/>
      <c r="I907" s="2"/>
      <c r="J907" s="2"/>
      <c r="K907" s="3"/>
    </row>
    <row r="908">
      <c r="C908" s="3"/>
      <c r="D908" s="3"/>
      <c r="G908" s="2"/>
      <c r="H908" s="2"/>
      <c r="I908" s="2"/>
      <c r="J908" s="2"/>
      <c r="K908" s="3"/>
    </row>
    <row r="909">
      <c r="C909" s="3"/>
      <c r="D909" s="3"/>
      <c r="G909" s="2"/>
      <c r="H909" s="2"/>
      <c r="I909" s="2"/>
      <c r="J909" s="2"/>
      <c r="K909" s="3"/>
    </row>
    <row r="910">
      <c r="C910" s="3"/>
      <c r="D910" s="3"/>
      <c r="G910" s="2"/>
      <c r="H910" s="2"/>
      <c r="I910" s="2"/>
      <c r="J910" s="2"/>
      <c r="K910" s="3"/>
    </row>
    <row r="911">
      <c r="C911" s="3"/>
      <c r="D911" s="3"/>
      <c r="G911" s="2"/>
      <c r="H911" s="2"/>
      <c r="I911" s="2"/>
      <c r="J911" s="2"/>
      <c r="K911" s="3"/>
    </row>
    <row r="912">
      <c r="C912" s="3"/>
      <c r="D912" s="3"/>
      <c r="G912" s="2"/>
      <c r="H912" s="2"/>
      <c r="I912" s="2"/>
      <c r="J912" s="2"/>
      <c r="K912" s="3"/>
    </row>
    <row r="913">
      <c r="C913" s="3"/>
      <c r="D913" s="3"/>
      <c r="G913" s="2"/>
      <c r="H913" s="2"/>
      <c r="I913" s="2"/>
      <c r="J913" s="2"/>
      <c r="K913" s="3"/>
    </row>
    <row r="914">
      <c r="C914" s="3"/>
      <c r="D914" s="3"/>
      <c r="G914" s="2"/>
      <c r="H914" s="2"/>
      <c r="I914" s="2"/>
      <c r="J914" s="2"/>
      <c r="K914" s="3"/>
    </row>
    <row r="915">
      <c r="C915" s="3"/>
      <c r="D915" s="3"/>
      <c r="G915" s="2"/>
      <c r="H915" s="2"/>
      <c r="I915" s="2"/>
      <c r="J915" s="2"/>
      <c r="K915" s="3"/>
    </row>
    <row r="916">
      <c r="C916" s="3"/>
      <c r="D916" s="3"/>
      <c r="G916" s="2"/>
      <c r="H916" s="2"/>
      <c r="I916" s="2"/>
      <c r="J916" s="2"/>
      <c r="K916" s="3"/>
    </row>
    <row r="917">
      <c r="C917" s="3"/>
      <c r="D917" s="3"/>
      <c r="G917" s="2"/>
      <c r="H917" s="2"/>
      <c r="I917" s="2"/>
      <c r="J917" s="2"/>
      <c r="K917" s="3"/>
    </row>
    <row r="918">
      <c r="C918" s="3"/>
      <c r="D918" s="3"/>
      <c r="G918" s="2"/>
      <c r="H918" s="2"/>
      <c r="I918" s="2"/>
      <c r="J918" s="2"/>
      <c r="K918" s="3"/>
    </row>
    <row r="919">
      <c r="C919" s="3"/>
      <c r="D919" s="3"/>
      <c r="G919" s="2"/>
      <c r="H919" s="2"/>
      <c r="I919" s="2"/>
      <c r="J919" s="2"/>
      <c r="K919" s="3"/>
    </row>
    <row r="920">
      <c r="C920" s="3"/>
      <c r="D920" s="3"/>
      <c r="G920" s="2"/>
      <c r="H920" s="2"/>
      <c r="I920" s="2"/>
      <c r="J920" s="2"/>
      <c r="K920" s="3"/>
    </row>
    <row r="921">
      <c r="C921" s="3"/>
      <c r="D921" s="3"/>
      <c r="G921" s="2"/>
      <c r="H921" s="2"/>
      <c r="I921" s="2"/>
      <c r="J921" s="2"/>
      <c r="K921" s="3"/>
    </row>
    <row r="922">
      <c r="C922" s="3"/>
      <c r="D922" s="3"/>
      <c r="G922" s="2"/>
      <c r="H922" s="2"/>
      <c r="I922" s="2"/>
      <c r="J922" s="2"/>
      <c r="K922" s="3"/>
    </row>
    <row r="923">
      <c r="C923" s="3"/>
      <c r="D923" s="3"/>
      <c r="G923" s="2"/>
      <c r="H923" s="2"/>
      <c r="I923" s="2"/>
      <c r="J923" s="2"/>
      <c r="K923" s="3"/>
    </row>
    <row r="924">
      <c r="C924" s="3"/>
      <c r="D924" s="3"/>
      <c r="G924" s="2"/>
      <c r="H924" s="2"/>
      <c r="I924" s="2"/>
      <c r="J924" s="2"/>
      <c r="K924" s="3"/>
    </row>
    <row r="925">
      <c r="C925" s="3"/>
      <c r="D925" s="3"/>
      <c r="G925" s="2"/>
      <c r="H925" s="2"/>
      <c r="I925" s="2"/>
      <c r="J925" s="2"/>
      <c r="K925" s="3"/>
    </row>
    <row r="926">
      <c r="C926" s="3"/>
      <c r="D926" s="3"/>
      <c r="G926" s="2"/>
      <c r="H926" s="2"/>
      <c r="I926" s="2"/>
      <c r="J926" s="2"/>
      <c r="K926" s="3"/>
    </row>
    <row r="927">
      <c r="C927" s="3"/>
      <c r="D927" s="3"/>
      <c r="G927" s="2"/>
      <c r="H927" s="2"/>
      <c r="I927" s="2"/>
      <c r="J927" s="2"/>
      <c r="K927" s="3"/>
    </row>
    <row r="928">
      <c r="C928" s="3"/>
      <c r="D928" s="3"/>
      <c r="G928" s="2"/>
      <c r="H928" s="2"/>
      <c r="I928" s="2"/>
      <c r="J928" s="2"/>
      <c r="K928" s="3"/>
    </row>
    <row r="929">
      <c r="C929" s="3"/>
      <c r="D929" s="3"/>
      <c r="G929" s="2"/>
      <c r="H929" s="2"/>
      <c r="I929" s="2"/>
      <c r="J929" s="2"/>
      <c r="K929" s="3"/>
    </row>
    <row r="930">
      <c r="C930" s="3"/>
      <c r="D930" s="3"/>
      <c r="G930" s="2"/>
      <c r="H930" s="2"/>
      <c r="I930" s="2"/>
      <c r="J930" s="2"/>
      <c r="K930" s="3"/>
    </row>
    <row r="931">
      <c r="C931" s="3"/>
      <c r="D931" s="3"/>
      <c r="G931" s="2"/>
      <c r="H931" s="2"/>
      <c r="I931" s="2"/>
      <c r="J931" s="2"/>
      <c r="K931" s="3"/>
    </row>
    <row r="932">
      <c r="C932" s="3"/>
      <c r="D932" s="3"/>
      <c r="G932" s="2"/>
      <c r="H932" s="2"/>
      <c r="I932" s="2"/>
      <c r="J932" s="2"/>
      <c r="K932" s="3"/>
    </row>
    <row r="933">
      <c r="C933" s="3"/>
      <c r="D933" s="3"/>
      <c r="G933" s="2"/>
      <c r="H933" s="2"/>
      <c r="I933" s="2"/>
      <c r="J933" s="2"/>
      <c r="K933" s="3"/>
    </row>
    <row r="934">
      <c r="C934" s="3"/>
      <c r="D934" s="3"/>
      <c r="G934" s="2"/>
      <c r="H934" s="2"/>
      <c r="I934" s="2"/>
      <c r="J934" s="2"/>
      <c r="K934" s="3"/>
    </row>
    <row r="935">
      <c r="C935" s="3"/>
      <c r="D935" s="3"/>
      <c r="G935" s="2"/>
      <c r="H935" s="2"/>
      <c r="I935" s="2"/>
      <c r="J935" s="2"/>
      <c r="K935" s="3"/>
    </row>
    <row r="936">
      <c r="C936" s="3"/>
      <c r="D936" s="3"/>
      <c r="G936" s="2"/>
      <c r="H936" s="2"/>
      <c r="I936" s="2"/>
      <c r="J936" s="2"/>
      <c r="K936" s="3"/>
    </row>
    <row r="937">
      <c r="C937" s="3"/>
      <c r="D937" s="3"/>
      <c r="G937" s="2"/>
      <c r="H937" s="2"/>
      <c r="I937" s="2"/>
      <c r="J937" s="2"/>
      <c r="K937" s="3"/>
    </row>
    <row r="938">
      <c r="C938" s="3"/>
      <c r="D938" s="3"/>
      <c r="G938" s="2"/>
      <c r="H938" s="2"/>
      <c r="I938" s="2"/>
      <c r="J938" s="2"/>
      <c r="K938" s="3"/>
    </row>
    <row r="939">
      <c r="C939" s="3"/>
      <c r="D939" s="3"/>
      <c r="G939" s="2"/>
      <c r="H939" s="2"/>
      <c r="I939" s="2"/>
      <c r="J939" s="2"/>
      <c r="K939" s="3"/>
    </row>
    <row r="940">
      <c r="C940" s="3"/>
      <c r="D940" s="3"/>
      <c r="G940" s="2"/>
      <c r="H940" s="2"/>
      <c r="I940" s="2"/>
      <c r="J940" s="2"/>
      <c r="K940" s="3"/>
    </row>
    <row r="941">
      <c r="C941" s="3"/>
      <c r="D941" s="3"/>
      <c r="G941" s="2"/>
      <c r="H941" s="2"/>
      <c r="I941" s="2"/>
      <c r="J941" s="2"/>
      <c r="K941" s="3"/>
    </row>
    <row r="942">
      <c r="C942" s="3"/>
      <c r="D942" s="3"/>
      <c r="G942" s="2"/>
      <c r="H942" s="2"/>
      <c r="I942" s="2"/>
      <c r="J942" s="2"/>
      <c r="K942" s="3"/>
    </row>
    <row r="943">
      <c r="C943" s="3"/>
      <c r="D943" s="3"/>
      <c r="G943" s="2"/>
      <c r="H943" s="2"/>
      <c r="I943" s="2"/>
      <c r="J943" s="2"/>
      <c r="K943" s="3"/>
    </row>
    <row r="944">
      <c r="C944" s="3"/>
      <c r="D944" s="3"/>
      <c r="G944" s="2"/>
      <c r="H944" s="2"/>
      <c r="I944" s="2"/>
      <c r="J944" s="2"/>
      <c r="K944" s="3"/>
    </row>
    <row r="945">
      <c r="C945" s="3"/>
      <c r="D945" s="3"/>
      <c r="G945" s="2"/>
      <c r="H945" s="2"/>
      <c r="I945" s="2"/>
      <c r="J945" s="2"/>
      <c r="K945" s="3"/>
    </row>
    <row r="946">
      <c r="C946" s="3"/>
      <c r="D946" s="3"/>
      <c r="G946" s="2"/>
      <c r="H946" s="2"/>
      <c r="I946" s="2"/>
      <c r="J946" s="2"/>
      <c r="K946" s="3"/>
    </row>
    <row r="947">
      <c r="C947" s="3"/>
      <c r="D947" s="3"/>
      <c r="G947" s="2"/>
      <c r="H947" s="2"/>
      <c r="I947" s="2"/>
      <c r="J947" s="2"/>
      <c r="K947" s="3"/>
    </row>
    <row r="948">
      <c r="C948" s="3"/>
      <c r="D948" s="3"/>
      <c r="G948" s="2"/>
      <c r="H948" s="2"/>
      <c r="I948" s="2"/>
      <c r="J948" s="2"/>
      <c r="K948" s="3"/>
    </row>
    <row r="949">
      <c r="C949" s="3"/>
      <c r="D949" s="3"/>
      <c r="G949" s="2"/>
      <c r="H949" s="2"/>
      <c r="I949" s="2"/>
      <c r="J949" s="2"/>
      <c r="K949" s="3"/>
    </row>
    <row r="950">
      <c r="C950" s="3"/>
      <c r="D950" s="3"/>
      <c r="G950" s="2"/>
      <c r="H950" s="2"/>
      <c r="I950" s="2"/>
      <c r="J950" s="2"/>
      <c r="K950" s="3"/>
    </row>
    <row r="951">
      <c r="C951" s="3"/>
      <c r="D951" s="3"/>
      <c r="G951" s="2"/>
      <c r="H951" s="2"/>
      <c r="I951" s="2"/>
      <c r="J951" s="2"/>
      <c r="K951" s="3"/>
    </row>
    <row r="952">
      <c r="C952" s="3"/>
      <c r="D952" s="3"/>
      <c r="G952" s="2"/>
      <c r="H952" s="2"/>
      <c r="I952" s="2"/>
      <c r="J952" s="2"/>
      <c r="K952" s="3"/>
    </row>
    <row r="953">
      <c r="C953" s="3"/>
      <c r="D953" s="3"/>
      <c r="G953" s="2"/>
      <c r="H953" s="2"/>
      <c r="I953" s="2"/>
      <c r="J953" s="2"/>
      <c r="K953" s="3"/>
    </row>
    <row r="954">
      <c r="C954" s="3"/>
      <c r="D954" s="3"/>
      <c r="G954" s="2"/>
      <c r="H954" s="2"/>
      <c r="I954" s="2"/>
      <c r="J954" s="2"/>
      <c r="K954" s="3"/>
    </row>
    <row r="955">
      <c r="C955" s="3"/>
      <c r="D955" s="3"/>
      <c r="G955" s="2"/>
      <c r="H955" s="2"/>
      <c r="I955" s="2"/>
      <c r="J955" s="2"/>
      <c r="K955" s="3"/>
    </row>
    <row r="956">
      <c r="C956" s="3"/>
      <c r="D956" s="3"/>
      <c r="G956" s="2"/>
      <c r="H956" s="2"/>
      <c r="I956" s="2"/>
      <c r="J956" s="2"/>
      <c r="K956" s="3"/>
    </row>
    <row r="957">
      <c r="C957" s="3"/>
      <c r="D957" s="3"/>
      <c r="G957" s="2"/>
      <c r="H957" s="2"/>
      <c r="I957" s="2"/>
      <c r="J957" s="2"/>
      <c r="K957" s="3"/>
    </row>
    <row r="958">
      <c r="C958" s="3"/>
      <c r="D958" s="3"/>
      <c r="G958" s="2"/>
      <c r="H958" s="2"/>
      <c r="I958" s="2"/>
      <c r="J958" s="2"/>
      <c r="K958" s="3"/>
    </row>
    <row r="959">
      <c r="C959" s="3"/>
      <c r="D959" s="3"/>
      <c r="G959" s="2"/>
      <c r="H959" s="2"/>
      <c r="I959" s="2"/>
      <c r="J959" s="2"/>
      <c r="K959" s="3"/>
    </row>
    <row r="960">
      <c r="C960" s="3"/>
      <c r="D960" s="3"/>
      <c r="G960" s="2"/>
      <c r="H960" s="2"/>
      <c r="I960" s="2"/>
      <c r="J960" s="2"/>
      <c r="K960" s="3"/>
    </row>
    <row r="961">
      <c r="C961" s="3"/>
      <c r="D961" s="3"/>
      <c r="G961" s="2"/>
      <c r="H961" s="2"/>
      <c r="I961" s="2"/>
      <c r="J961" s="2"/>
      <c r="K961" s="3"/>
    </row>
    <row r="962">
      <c r="C962" s="3"/>
      <c r="D962" s="3"/>
      <c r="G962" s="2"/>
      <c r="H962" s="2"/>
      <c r="I962" s="2"/>
      <c r="J962" s="2"/>
      <c r="K962" s="3"/>
    </row>
    <row r="963">
      <c r="C963" s="3"/>
      <c r="D963" s="3"/>
      <c r="G963" s="2"/>
      <c r="H963" s="2"/>
      <c r="I963" s="2"/>
      <c r="J963" s="2"/>
      <c r="K963" s="3"/>
    </row>
    <row r="964">
      <c r="C964" s="3"/>
      <c r="D964" s="3"/>
      <c r="G964" s="2"/>
      <c r="H964" s="2"/>
      <c r="I964" s="2"/>
      <c r="J964" s="2"/>
      <c r="K964" s="3"/>
    </row>
    <row r="965">
      <c r="C965" s="3"/>
      <c r="D965" s="3"/>
      <c r="G965" s="2"/>
      <c r="H965" s="2"/>
      <c r="I965" s="2"/>
      <c r="J965" s="2"/>
      <c r="K965" s="3"/>
    </row>
    <row r="966">
      <c r="C966" s="3"/>
      <c r="D966" s="3"/>
      <c r="G966" s="2"/>
      <c r="H966" s="2"/>
      <c r="I966" s="2"/>
      <c r="J966" s="2"/>
      <c r="K966" s="3"/>
    </row>
    <row r="967">
      <c r="C967" s="3"/>
      <c r="D967" s="3"/>
      <c r="G967" s="2"/>
      <c r="H967" s="2"/>
      <c r="I967" s="2"/>
      <c r="J967" s="2"/>
      <c r="K967" s="3"/>
    </row>
    <row r="968">
      <c r="C968" s="3"/>
      <c r="D968" s="3"/>
      <c r="G968" s="2"/>
      <c r="H968" s="2"/>
      <c r="I968" s="2"/>
      <c r="J968" s="2"/>
      <c r="K968" s="3"/>
    </row>
    <row r="969">
      <c r="C969" s="3"/>
      <c r="D969" s="3"/>
      <c r="G969" s="2"/>
      <c r="H969" s="2"/>
      <c r="I969" s="2"/>
      <c r="J969" s="2"/>
      <c r="K969" s="3"/>
    </row>
    <row r="970">
      <c r="C970" s="3"/>
      <c r="D970" s="3"/>
      <c r="G970" s="2"/>
      <c r="H970" s="2"/>
      <c r="I970" s="2"/>
      <c r="J970" s="2"/>
      <c r="K970" s="3"/>
    </row>
    <row r="971">
      <c r="C971" s="3"/>
      <c r="D971" s="3"/>
      <c r="G971" s="2"/>
      <c r="H971" s="2"/>
      <c r="I971" s="2"/>
      <c r="J971" s="2"/>
      <c r="K971" s="3"/>
    </row>
    <row r="972">
      <c r="C972" s="3"/>
      <c r="D972" s="3"/>
      <c r="G972" s="2"/>
      <c r="H972" s="2"/>
      <c r="I972" s="2"/>
      <c r="J972" s="2"/>
      <c r="K972" s="3"/>
    </row>
    <row r="973">
      <c r="C973" s="3"/>
      <c r="D973" s="3"/>
      <c r="G973" s="2"/>
      <c r="H973" s="2"/>
      <c r="I973" s="2"/>
      <c r="J973" s="2"/>
      <c r="K973" s="3"/>
    </row>
    <row r="974">
      <c r="C974" s="3"/>
      <c r="D974" s="3"/>
      <c r="G974" s="2"/>
      <c r="H974" s="2"/>
      <c r="I974" s="2"/>
      <c r="J974" s="2"/>
      <c r="K974" s="3"/>
    </row>
    <row r="975">
      <c r="C975" s="3"/>
      <c r="D975" s="3"/>
      <c r="G975" s="2"/>
      <c r="H975" s="2"/>
      <c r="I975" s="2"/>
      <c r="J975" s="2"/>
      <c r="K975" s="3"/>
    </row>
    <row r="976">
      <c r="C976" s="3"/>
      <c r="D976" s="3"/>
      <c r="G976" s="2"/>
      <c r="H976" s="2"/>
      <c r="I976" s="2"/>
      <c r="J976" s="2"/>
      <c r="K976" s="3"/>
    </row>
    <row r="977">
      <c r="C977" s="3"/>
      <c r="D977" s="3"/>
      <c r="G977" s="2"/>
      <c r="H977" s="2"/>
      <c r="I977" s="2"/>
      <c r="J977" s="2"/>
      <c r="K977" s="3"/>
    </row>
    <row r="978">
      <c r="C978" s="3"/>
      <c r="D978" s="3"/>
      <c r="G978" s="2"/>
      <c r="H978" s="2"/>
      <c r="I978" s="2"/>
      <c r="J978" s="2"/>
      <c r="K978" s="3"/>
    </row>
    <row r="979">
      <c r="C979" s="3"/>
      <c r="D979" s="3"/>
      <c r="G979" s="2"/>
      <c r="H979" s="2"/>
      <c r="I979" s="2"/>
      <c r="J979" s="2"/>
      <c r="K979" s="3"/>
    </row>
    <row r="980">
      <c r="C980" s="3"/>
      <c r="D980" s="3"/>
      <c r="G980" s="2"/>
      <c r="H980" s="2"/>
      <c r="I980" s="2"/>
      <c r="J980" s="2"/>
      <c r="K980" s="3"/>
    </row>
    <row r="981">
      <c r="C981" s="3"/>
      <c r="D981" s="3"/>
      <c r="G981" s="2"/>
      <c r="H981" s="2"/>
      <c r="I981" s="2"/>
      <c r="J981" s="2"/>
      <c r="K981" s="3"/>
    </row>
    <row r="982">
      <c r="C982" s="3"/>
      <c r="D982" s="3"/>
      <c r="G982" s="2"/>
      <c r="H982" s="2"/>
      <c r="I982" s="2"/>
      <c r="J982" s="2"/>
      <c r="K982" s="3"/>
    </row>
    <row r="983">
      <c r="C983" s="3"/>
      <c r="D983" s="3"/>
      <c r="G983" s="2"/>
      <c r="H983" s="2"/>
      <c r="I983" s="2"/>
      <c r="J983" s="2"/>
      <c r="K983" s="3"/>
    </row>
    <row r="984">
      <c r="C984" s="3"/>
      <c r="D984" s="3"/>
      <c r="G984" s="2"/>
      <c r="H984" s="2"/>
      <c r="I984" s="2"/>
      <c r="J984" s="2"/>
      <c r="K984" s="3"/>
    </row>
    <row r="985">
      <c r="C985" s="3"/>
      <c r="D985" s="3"/>
      <c r="G985" s="2"/>
      <c r="H985" s="2"/>
      <c r="I985" s="2"/>
      <c r="J985" s="2"/>
      <c r="K985" s="3"/>
    </row>
    <row r="986">
      <c r="C986" s="3"/>
      <c r="D986" s="3"/>
      <c r="G986" s="2"/>
      <c r="H986" s="2"/>
      <c r="I986" s="2"/>
      <c r="J986" s="2"/>
      <c r="K986" s="3"/>
    </row>
    <row r="987">
      <c r="C987" s="3"/>
      <c r="D987" s="3"/>
      <c r="G987" s="2"/>
      <c r="H987" s="2"/>
      <c r="I987" s="2"/>
      <c r="J987" s="2"/>
      <c r="K987" s="3"/>
    </row>
    <row r="988">
      <c r="C988" s="3"/>
      <c r="D988" s="3"/>
      <c r="G988" s="2"/>
      <c r="H988" s="2"/>
      <c r="I988" s="2"/>
      <c r="J988" s="2"/>
      <c r="K988" s="3"/>
    </row>
    <row r="989">
      <c r="C989" s="3"/>
      <c r="D989" s="3"/>
      <c r="G989" s="2"/>
      <c r="H989" s="2"/>
      <c r="I989" s="2"/>
      <c r="J989" s="2"/>
      <c r="K989" s="3"/>
    </row>
    <row r="990">
      <c r="C990" s="3"/>
      <c r="D990" s="3"/>
      <c r="G990" s="2"/>
      <c r="H990" s="2"/>
      <c r="I990" s="2"/>
      <c r="J990" s="2"/>
      <c r="K990" s="3"/>
    </row>
    <row r="991">
      <c r="C991" s="3"/>
      <c r="D991" s="3"/>
      <c r="G991" s="2"/>
      <c r="H991" s="2"/>
      <c r="I991" s="2"/>
      <c r="J991" s="2"/>
      <c r="K991" s="3"/>
    </row>
    <row r="992">
      <c r="C992" s="3"/>
      <c r="D992" s="3"/>
      <c r="G992" s="2"/>
      <c r="H992" s="2"/>
      <c r="I992" s="2"/>
      <c r="J992" s="2"/>
      <c r="K992" s="3"/>
    </row>
    <row r="993">
      <c r="C993" s="3"/>
      <c r="D993" s="3"/>
      <c r="G993" s="2"/>
      <c r="H993" s="2"/>
      <c r="I993" s="2"/>
      <c r="J993" s="2"/>
      <c r="K993" s="3"/>
    </row>
    <row r="994">
      <c r="C994" s="3"/>
      <c r="D994" s="3"/>
      <c r="G994" s="2"/>
      <c r="H994" s="2"/>
      <c r="I994" s="2"/>
      <c r="J994" s="2"/>
      <c r="K994" s="3"/>
    </row>
    <row r="995">
      <c r="C995" s="3"/>
      <c r="D995" s="3"/>
      <c r="G995" s="2"/>
      <c r="H995" s="2"/>
      <c r="I995" s="2"/>
      <c r="J995" s="2"/>
      <c r="K995" s="3"/>
    </row>
    <row r="996">
      <c r="C996" s="3"/>
      <c r="D996" s="3"/>
      <c r="G996" s="2"/>
      <c r="H996" s="2"/>
      <c r="I996" s="2"/>
      <c r="J996" s="2"/>
      <c r="K996" s="3"/>
    </row>
    <row r="997">
      <c r="C997" s="3"/>
      <c r="D997" s="3"/>
      <c r="G997" s="2"/>
      <c r="H997" s="2"/>
      <c r="I997" s="2"/>
      <c r="J997" s="2"/>
      <c r="K997" s="3"/>
    </row>
    <row r="998">
      <c r="C998" s="3"/>
      <c r="D998" s="3"/>
      <c r="G998" s="2"/>
      <c r="H998" s="2"/>
      <c r="I998" s="2"/>
      <c r="J998" s="2"/>
      <c r="K998" s="3"/>
    </row>
    <row r="999">
      <c r="C999" s="3"/>
      <c r="D999" s="3"/>
      <c r="G999" s="2"/>
      <c r="H999" s="2"/>
      <c r="I999" s="2"/>
      <c r="J999" s="2"/>
      <c r="K999" s="3"/>
    </row>
    <row r="1000">
      <c r="C1000" s="3"/>
      <c r="D1000" s="3"/>
      <c r="G1000" s="2"/>
      <c r="H1000" s="2"/>
      <c r="I1000" s="2"/>
      <c r="J1000" s="2"/>
      <c r="K1000" s="3"/>
    </row>
  </sheetData>
  <dataValidations>
    <dataValidation type="list" allowBlank="1" sqref="D2:D1000">
      <formula1>Settings!$C$2:$C1000</formula1>
    </dataValidation>
    <dataValidation type="list" allowBlank="1" sqref="K2:K1000">
      <formula1>Settings!$E$2:$E1000</formula1>
    </dataValidation>
    <dataValidation type="list" allowBlank="1" sqref="C2:C1000">
      <formula1>Clients!$B$2:$B1000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75"/>
    <col customWidth="1" min="2" max="2" width="18.88"/>
    <col customWidth="1" min="3" max="3" width="20.75"/>
    <col customWidth="1" min="4" max="4" width="22.25"/>
    <col customWidth="1" min="5" max="5" width="20.88"/>
    <col customWidth="1" min="6" max="6" width="18.88"/>
    <col customWidth="1" min="7" max="7" width="18.63"/>
    <col customWidth="1" min="8" max="8" width="20.38"/>
    <col customWidth="1" min="9" max="9" width="12.63"/>
    <col customWidth="1" min="10" max="10" width="15.38"/>
  </cols>
  <sheetData>
    <row r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17</v>
      </c>
      <c r="J1" s="1" t="s">
        <v>19</v>
      </c>
    </row>
    <row r="2">
      <c r="F2" s="2"/>
      <c r="G2" s="2"/>
      <c r="H2" s="3"/>
      <c r="I2" s="3"/>
    </row>
    <row r="3">
      <c r="F3" s="2"/>
      <c r="G3" s="2"/>
      <c r="H3" s="3"/>
      <c r="I3" s="3"/>
    </row>
    <row r="4">
      <c r="F4" s="2"/>
      <c r="G4" s="2"/>
      <c r="H4" s="3"/>
      <c r="I4" s="3"/>
    </row>
    <row r="5">
      <c r="F5" s="2"/>
      <c r="G5" s="2"/>
      <c r="H5" s="3"/>
      <c r="I5" s="3"/>
    </row>
    <row r="6">
      <c r="F6" s="2"/>
      <c r="G6" s="2"/>
      <c r="H6" s="3"/>
      <c r="I6" s="3"/>
    </row>
    <row r="7">
      <c r="F7" s="2"/>
      <c r="G7" s="2"/>
      <c r="H7" s="3"/>
      <c r="I7" s="3"/>
    </row>
    <row r="8">
      <c r="F8" s="2"/>
      <c r="G8" s="2"/>
      <c r="H8" s="3"/>
      <c r="I8" s="3"/>
    </row>
    <row r="9">
      <c r="F9" s="2"/>
      <c r="G9" s="2"/>
      <c r="H9" s="3"/>
      <c r="I9" s="3"/>
    </row>
    <row r="10">
      <c r="F10" s="2"/>
      <c r="G10" s="2"/>
      <c r="H10" s="3"/>
      <c r="I10" s="3"/>
    </row>
    <row r="11">
      <c r="F11" s="2"/>
      <c r="G11" s="2"/>
      <c r="H11" s="3"/>
      <c r="I11" s="3"/>
    </row>
    <row r="12">
      <c r="F12" s="2"/>
      <c r="G12" s="2"/>
      <c r="H12" s="3"/>
      <c r="I12" s="3"/>
    </row>
    <row r="13">
      <c r="F13" s="2"/>
      <c r="G13" s="2"/>
      <c r="H13" s="3"/>
      <c r="I13" s="3"/>
    </row>
    <row r="14">
      <c r="F14" s="2"/>
      <c r="G14" s="2"/>
      <c r="H14" s="3"/>
      <c r="I14" s="3"/>
    </row>
    <row r="15">
      <c r="F15" s="2"/>
      <c r="G15" s="2"/>
      <c r="H15" s="3"/>
      <c r="I15" s="3"/>
    </row>
    <row r="16">
      <c r="F16" s="2"/>
      <c r="G16" s="2"/>
      <c r="H16" s="3"/>
      <c r="I16" s="3"/>
    </row>
    <row r="17">
      <c r="F17" s="2"/>
      <c r="G17" s="2"/>
      <c r="H17" s="3"/>
      <c r="I17" s="3"/>
    </row>
    <row r="18">
      <c r="F18" s="2"/>
      <c r="G18" s="2"/>
      <c r="H18" s="3"/>
      <c r="I18" s="3"/>
    </row>
    <row r="19">
      <c r="F19" s="2"/>
      <c r="G19" s="2"/>
      <c r="H19" s="3"/>
      <c r="I19" s="3"/>
    </row>
    <row r="20">
      <c r="F20" s="2"/>
      <c r="G20" s="2"/>
      <c r="H20" s="3"/>
      <c r="I20" s="3"/>
    </row>
    <row r="21">
      <c r="F21" s="2"/>
      <c r="G21" s="2"/>
      <c r="H21" s="3"/>
      <c r="I21" s="3"/>
    </row>
    <row r="22">
      <c r="F22" s="2"/>
      <c r="G22" s="2"/>
      <c r="H22" s="3"/>
      <c r="I22" s="3"/>
    </row>
    <row r="23">
      <c r="F23" s="2"/>
      <c r="G23" s="2"/>
      <c r="H23" s="3"/>
      <c r="I23" s="3"/>
    </row>
    <row r="24">
      <c r="F24" s="2"/>
      <c r="G24" s="2"/>
      <c r="H24" s="3"/>
      <c r="I24" s="3"/>
    </row>
    <row r="25">
      <c r="F25" s="2"/>
      <c r="G25" s="2"/>
      <c r="H25" s="3"/>
      <c r="I25" s="3"/>
    </row>
    <row r="26">
      <c r="F26" s="2"/>
      <c r="G26" s="2"/>
      <c r="H26" s="3"/>
      <c r="I26" s="3"/>
    </row>
    <row r="27">
      <c r="F27" s="2"/>
      <c r="G27" s="2"/>
      <c r="H27" s="3"/>
      <c r="I27" s="3"/>
    </row>
    <row r="28">
      <c r="F28" s="2"/>
      <c r="G28" s="2"/>
      <c r="H28" s="3"/>
      <c r="I28" s="3"/>
    </row>
    <row r="29">
      <c r="F29" s="2"/>
      <c r="G29" s="2"/>
      <c r="H29" s="3"/>
      <c r="I29" s="3"/>
    </row>
    <row r="30">
      <c r="F30" s="2"/>
      <c r="G30" s="2"/>
      <c r="H30" s="3"/>
      <c r="I30" s="3"/>
    </row>
    <row r="31">
      <c r="F31" s="2"/>
      <c r="G31" s="2"/>
      <c r="H31" s="3"/>
      <c r="I31" s="3"/>
    </row>
    <row r="32">
      <c r="F32" s="2"/>
      <c r="G32" s="2"/>
      <c r="H32" s="3"/>
      <c r="I32" s="3"/>
    </row>
    <row r="33">
      <c r="F33" s="2"/>
      <c r="G33" s="2"/>
      <c r="H33" s="3"/>
      <c r="I33" s="3"/>
    </row>
    <row r="34">
      <c r="F34" s="2"/>
      <c r="G34" s="2"/>
      <c r="H34" s="3"/>
      <c r="I34" s="3"/>
    </row>
    <row r="35">
      <c r="F35" s="2"/>
      <c r="G35" s="2"/>
      <c r="H35" s="3"/>
      <c r="I35" s="3"/>
    </row>
    <row r="36">
      <c r="F36" s="2"/>
      <c r="G36" s="2"/>
      <c r="H36" s="3"/>
      <c r="I36" s="3"/>
    </row>
    <row r="37">
      <c r="F37" s="2"/>
      <c r="G37" s="2"/>
      <c r="H37" s="3"/>
      <c r="I37" s="3"/>
    </row>
    <row r="38">
      <c r="F38" s="2"/>
      <c r="G38" s="2"/>
      <c r="H38" s="3"/>
      <c r="I38" s="3"/>
    </row>
    <row r="39">
      <c r="F39" s="2"/>
      <c r="G39" s="2"/>
      <c r="H39" s="3"/>
      <c r="I39" s="3"/>
    </row>
    <row r="40">
      <c r="F40" s="2"/>
      <c r="G40" s="2"/>
      <c r="H40" s="3"/>
      <c r="I40" s="3"/>
    </row>
    <row r="41">
      <c r="F41" s="2"/>
      <c r="G41" s="2"/>
      <c r="H41" s="3"/>
      <c r="I41" s="3"/>
    </row>
    <row r="42">
      <c r="F42" s="2"/>
      <c r="G42" s="2"/>
      <c r="H42" s="3"/>
      <c r="I42" s="3"/>
    </row>
    <row r="43">
      <c r="F43" s="2"/>
      <c r="G43" s="2"/>
      <c r="H43" s="3"/>
      <c r="I43" s="3"/>
    </row>
    <row r="44">
      <c r="F44" s="2"/>
      <c r="G44" s="2"/>
      <c r="H44" s="3"/>
      <c r="I44" s="3"/>
    </row>
    <row r="45">
      <c r="F45" s="2"/>
      <c r="G45" s="2"/>
      <c r="H45" s="3"/>
      <c r="I45" s="3"/>
    </row>
    <row r="46">
      <c r="F46" s="2"/>
      <c r="G46" s="2"/>
      <c r="H46" s="3"/>
      <c r="I46" s="3"/>
    </row>
    <row r="47">
      <c r="F47" s="2"/>
      <c r="G47" s="2"/>
      <c r="H47" s="3"/>
      <c r="I47" s="3"/>
    </row>
    <row r="48">
      <c r="F48" s="2"/>
      <c r="G48" s="2"/>
      <c r="H48" s="3"/>
      <c r="I48" s="3"/>
    </row>
    <row r="49">
      <c r="F49" s="2"/>
      <c r="G49" s="2"/>
      <c r="H49" s="3"/>
      <c r="I49" s="3"/>
    </row>
    <row r="50">
      <c r="F50" s="2"/>
      <c r="G50" s="2"/>
      <c r="H50" s="3"/>
      <c r="I50" s="3"/>
    </row>
    <row r="51">
      <c r="F51" s="2"/>
      <c r="G51" s="2"/>
      <c r="H51" s="3"/>
      <c r="I51" s="3"/>
    </row>
    <row r="52">
      <c r="F52" s="2"/>
      <c r="G52" s="2"/>
      <c r="H52" s="3"/>
      <c r="I52" s="3"/>
    </row>
    <row r="53">
      <c r="F53" s="2"/>
      <c r="G53" s="2"/>
      <c r="H53" s="3"/>
      <c r="I53" s="3"/>
    </row>
    <row r="54">
      <c r="F54" s="2"/>
      <c r="G54" s="2"/>
      <c r="H54" s="3"/>
      <c r="I54" s="3"/>
    </row>
    <row r="55">
      <c r="F55" s="2"/>
      <c r="G55" s="2"/>
      <c r="H55" s="3"/>
      <c r="I55" s="3"/>
    </row>
    <row r="56">
      <c r="F56" s="2"/>
      <c r="G56" s="2"/>
      <c r="H56" s="3"/>
      <c r="I56" s="3"/>
    </row>
    <row r="57">
      <c r="F57" s="2"/>
      <c r="G57" s="2"/>
      <c r="H57" s="3"/>
      <c r="I57" s="3"/>
    </row>
    <row r="58">
      <c r="F58" s="2"/>
      <c r="G58" s="2"/>
      <c r="H58" s="3"/>
      <c r="I58" s="3"/>
    </row>
    <row r="59">
      <c r="F59" s="2"/>
      <c r="G59" s="2"/>
      <c r="H59" s="3"/>
      <c r="I59" s="3"/>
    </row>
    <row r="60">
      <c r="F60" s="2"/>
      <c r="G60" s="2"/>
      <c r="H60" s="3"/>
      <c r="I60" s="3"/>
    </row>
    <row r="61">
      <c r="F61" s="2"/>
      <c r="G61" s="2"/>
      <c r="H61" s="3"/>
      <c r="I61" s="3"/>
    </row>
    <row r="62">
      <c r="F62" s="2"/>
      <c r="G62" s="2"/>
      <c r="H62" s="3"/>
      <c r="I62" s="3"/>
    </row>
    <row r="63">
      <c r="F63" s="2"/>
      <c r="G63" s="2"/>
      <c r="H63" s="3"/>
      <c r="I63" s="3"/>
    </row>
    <row r="64">
      <c r="F64" s="2"/>
      <c r="G64" s="2"/>
      <c r="H64" s="3"/>
      <c r="I64" s="3"/>
    </row>
    <row r="65">
      <c r="F65" s="2"/>
      <c r="G65" s="2"/>
      <c r="H65" s="3"/>
      <c r="I65" s="3"/>
    </row>
    <row r="66">
      <c r="F66" s="2"/>
      <c r="G66" s="2"/>
      <c r="H66" s="3"/>
      <c r="I66" s="3"/>
    </row>
    <row r="67">
      <c r="F67" s="2"/>
      <c r="G67" s="2"/>
      <c r="H67" s="3"/>
      <c r="I67" s="3"/>
    </row>
    <row r="68">
      <c r="F68" s="2"/>
      <c r="G68" s="2"/>
      <c r="H68" s="3"/>
      <c r="I68" s="3"/>
    </row>
    <row r="69">
      <c r="F69" s="2"/>
      <c r="G69" s="2"/>
      <c r="H69" s="3"/>
      <c r="I69" s="3"/>
    </row>
    <row r="70">
      <c r="F70" s="2"/>
      <c r="G70" s="2"/>
      <c r="H70" s="3"/>
      <c r="I70" s="3"/>
    </row>
    <row r="71">
      <c r="F71" s="2"/>
      <c r="G71" s="2"/>
      <c r="H71" s="3"/>
      <c r="I71" s="3"/>
    </row>
    <row r="72">
      <c r="F72" s="2"/>
      <c r="G72" s="2"/>
      <c r="H72" s="3"/>
      <c r="I72" s="3"/>
    </row>
    <row r="73">
      <c r="F73" s="2"/>
      <c r="G73" s="2"/>
      <c r="H73" s="3"/>
      <c r="I73" s="3"/>
    </row>
    <row r="74">
      <c r="F74" s="2"/>
      <c r="G74" s="2"/>
      <c r="H74" s="3"/>
      <c r="I74" s="3"/>
    </row>
    <row r="75">
      <c r="F75" s="2"/>
      <c r="G75" s="2"/>
      <c r="H75" s="3"/>
      <c r="I75" s="3"/>
    </row>
    <row r="76">
      <c r="F76" s="2"/>
      <c r="G76" s="2"/>
      <c r="H76" s="3"/>
      <c r="I76" s="3"/>
    </row>
    <row r="77">
      <c r="F77" s="2"/>
      <c r="G77" s="2"/>
      <c r="H77" s="3"/>
      <c r="I77" s="3"/>
    </row>
    <row r="78">
      <c r="F78" s="2"/>
      <c r="G78" s="2"/>
      <c r="H78" s="3"/>
      <c r="I78" s="3"/>
    </row>
    <row r="79">
      <c r="F79" s="2"/>
      <c r="G79" s="2"/>
      <c r="H79" s="3"/>
      <c r="I79" s="3"/>
    </row>
    <row r="80">
      <c r="F80" s="2"/>
      <c r="G80" s="2"/>
      <c r="H80" s="3"/>
      <c r="I80" s="3"/>
    </row>
    <row r="81">
      <c r="F81" s="2"/>
      <c r="G81" s="2"/>
      <c r="H81" s="3"/>
      <c r="I81" s="3"/>
    </row>
    <row r="82">
      <c r="F82" s="2"/>
      <c r="G82" s="2"/>
      <c r="H82" s="3"/>
      <c r="I82" s="3"/>
    </row>
    <row r="83">
      <c r="F83" s="2"/>
      <c r="G83" s="2"/>
      <c r="H83" s="3"/>
      <c r="I83" s="3"/>
    </row>
    <row r="84">
      <c r="F84" s="2"/>
      <c r="G84" s="2"/>
      <c r="H84" s="3"/>
      <c r="I84" s="3"/>
    </row>
    <row r="85">
      <c r="F85" s="2"/>
      <c r="G85" s="2"/>
      <c r="H85" s="3"/>
      <c r="I85" s="3"/>
    </row>
    <row r="86">
      <c r="F86" s="2"/>
      <c r="G86" s="2"/>
      <c r="H86" s="3"/>
      <c r="I86" s="3"/>
    </row>
    <row r="87">
      <c r="F87" s="2"/>
      <c r="G87" s="2"/>
      <c r="H87" s="3"/>
      <c r="I87" s="3"/>
    </row>
    <row r="88">
      <c r="F88" s="2"/>
      <c r="G88" s="2"/>
      <c r="H88" s="3"/>
      <c r="I88" s="3"/>
    </row>
    <row r="89">
      <c r="F89" s="2"/>
      <c r="G89" s="2"/>
      <c r="H89" s="3"/>
      <c r="I89" s="3"/>
    </row>
    <row r="90">
      <c r="F90" s="2"/>
      <c r="G90" s="2"/>
      <c r="H90" s="3"/>
      <c r="I90" s="3"/>
    </row>
    <row r="91">
      <c r="F91" s="2"/>
      <c r="G91" s="2"/>
      <c r="H91" s="3"/>
      <c r="I91" s="3"/>
    </row>
    <row r="92">
      <c r="F92" s="2"/>
      <c r="G92" s="2"/>
      <c r="H92" s="3"/>
      <c r="I92" s="3"/>
    </row>
    <row r="93">
      <c r="F93" s="2"/>
      <c r="G93" s="2"/>
      <c r="H93" s="3"/>
      <c r="I93" s="3"/>
    </row>
    <row r="94">
      <c r="F94" s="2"/>
      <c r="G94" s="2"/>
      <c r="H94" s="3"/>
      <c r="I94" s="3"/>
    </row>
    <row r="95">
      <c r="F95" s="2"/>
      <c r="G95" s="2"/>
      <c r="H95" s="3"/>
      <c r="I95" s="3"/>
    </row>
    <row r="96">
      <c r="F96" s="2"/>
      <c r="G96" s="2"/>
      <c r="H96" s="3"/>
      <c r="I96" s="3"/>
    </row>
    <row r="97">
      <c r="F97" s="2"/>
      <c r="G97" s="2"/>
      <c r="H97" s="3"/>
      <c r="I97" s="3"/>
    </row>
    <row r="98">
      <c r="F98" s="2"/>
      <c r="G98" s="2"/>
      <c r="H98" s="3"/>
      <c r="I98" s="3"/>
    </row>
    <row r="99">
      <c r="F99" s="2"/>
      <c r="G99" s="2"/>
      <c r="H99" s="3"/>
      <c r="I99" s="3"/>
    </row>
    <row r="100">
      <c r="F100" s="2"/>
      <c r="G100" s="2"/>
      <c r="H100" s="3"/>
      <c r="I100" s="3"/>
    </row>
    <row r="101">
      <c r="F101" s="2"/>
      <c r="G101" s="2"/>
      <c r="H101" s="3"/>
      <c r="I101" s="3"/>
    </row>
    <row r="102">
      <c r="F102" s="2"/>
      <c r="G102" s="2"/>
      <c r="H102" s="3"/>
      <c r="I102" s="3"/>
    </row>
    <row r="103">
      <c r="F103" s="2"/>
      <c r="G103" s="2"/>
      <c r="H103" s="3"/>
      <c r="I103" s="3"/>
    </row>
    <row r="104">
      <c r="F104" s="2"/>
      <c r="G104" s="2"/>
      <c r="H104" s="3"/>
      <c r="I104" s="3"/>
    </row>
    <row r="105">
      <c r="F105" s="2"/>
      <c r="G105" s="2"/>
      <c r="H105" s="3"/>
      <c r="I105" s="3"/>
    </row>
    <row r="106">
      <c r="F106" s="2"/>
      <c r="G106" s="2"/>
      <c r="H106" s="3"/>
      <c r="I106" s="3"/>
    </row>
    <row r="107">
      <c r="F107" s="2"/>
      <c r="G107" s="2"/>
      <c r="H107" s="3"/>
      <c r="I107" s="3"/>
    </row>
    <row r="108">
      <c r="F108" s="2"/>
      <c r="G108" s="2"/>
      <c r="H108" s="3"/>
      <c r="I108" s="3"/>
    </row>
    <row r="109">
      <c r="F109" s="2"/>
      <c r="G109" s="2"/>
      <c r="H109" s="3"/>
      <c r="I109" s="3"/>
    </row>
    <row r="110">
      <c r="F110" s="2"/>
      <c r="G110" s="2"/>
      <c r="H110" s="3"/>
      <c r="I110" s="3"/>
    </row>
    <row r="111">
      <c r="F111" s="2"/>
      <c r="G111" s="2"/>
      <c r="H111" s="3"/>
      <c r="I111" s="3"/>
    </row>
    <row r="112">
      <c r="F112" s="2"/>
      <c r="G112" s="2"/>
      <c r="H112" s="3"/>
      <c r="I112" s="3"/>
    </row>
    <row r="113">
      <c r="F113" s="2"/>
      <c r="G113" s="2"/>
      <c r="H113" s="3"/>
      <c r="I113" s="3"/>
    </row>
    <row r="114">
      <c r="F114" s="2"/>
      <c r="G114" s="2"/>
      <c r="H114" s="3"/>
      <c r="I114" s="3"/>
    </row>
    <row r="115">
      <c r="F115" s="2"/>
      <c r="G115" s="2"/>
      <c r="H115" s="3"/>
      <c r="I115" s="3"/>
    </row>
    <row r="116">
      <c r="F116" s="2"/>
      <c r="G116" s="2"/>
      <c r="H116" s="3"/>
      <c r="I116" s="3"/>
    </row>
    <row r="117">
      <c r="F117" s="2"/>
      <c r="G117" s="2"/>
      <c r="H117" s="3"/>
      <c r="I117" s="3"/>
    </row>
    <row r="118">
      <c r="F118" s="2"/>
      <c r="G118" s="2"/>
      <c r="H118" s="3"/>
      <c r="I118" s="3"/>
    </row>
    <row r="119">
      <c r="F119" s="2"/>
      <c r="G119" s="2"/>
      <c r="H119" s="3"/>
      <c r="I119" s="3"/>
    </row>
    <row r="120">
      <c r="F120" s="2"/>
      <c r="G120" s="2"/>
      <c r="H120" s="3"/>
      <c r="I120" s="3"/>
    </row>
    <row r="121">
      <c r="F121" s="2"/>
      <c r="G121" s="2"/>
      <c r="H121" s="3"/>
      <c r="I121" s="3"/>
    </row>
    <row r="122">
      <c r="F122" s="2"/>
      <c r="G122" s="2"/>
      <c r="H122" s="3"/>
      <c r="I122" s="3"/>
    </row>
    <row r="123">
      <c r="F123" s="2"/>
      <c r="G123" s="2"/>
      <c r="H123" s="3"/>
      <c r="I123" s="3"/>
    </row>
    <row r="124">
      <c r="F124" s="2"/>
      <c r="G124" s="2"/>
      <c r="H124" s="3"/>
      <c r="I124" s="3"/>
    </row>
    <row r="125">
      <c r="F125" s="2"/>
      <c r="G125" s="2"/>
      <c r="H125" s="3"/>
      <c r="I125" s="3"/>
    </row>
    <row r="126">
      <c r="F126" s="2"/>
      <c r="G126" s="2"/>
      <c r="H126" s="3"/>
      <c r="I126" s="3"/>
    </row>
    <row r="127">
      <c r="F127" s="2"/>
      <c r="G127" s="2"/>
      <c r="H127" s="3"/>
      <c r="I127" s="3"/>
    </row>
    <row r="128">
      <c r="F128" s="2"/>
      <c r="G128" s="2"/>
      <c r="H128" s="3"/>
      <c r="I128" s="3"/>
    </row>
    <row r="129">
      <c r="F129" s="2"/>
      <c r="G129" s="2"/>
      <c r="H129" s="3"/>
      <c r="I129" s="3"/>
    </row>
    <row r="130">
      <c r="F130" s="2"/>
      <c r="G130" s="2"/>
      <c r="H130" s="3"/>
      <c r="I130" s="3"/>
    </row>
    <row r="131">
      <c r="F131" s="2"/>
      <c r="G131" s="2"/>
      <c r="H131" s="3"/>
      <c r="I131" s="3"/>
    </row>
    <row r="132">
      <c r="F132" s="2"/>
      <c r="G132" s="2"/>
      <c r="H132" s="3"/>
      <c r="I132" s="3"/>
    </row>
    <row r="133">
      <c r="F133" s="2"/>
      <c r="G133" s="2"/>
      <c r="H133" s="3"/>
      <c r="I133" s="3"/>
    </row>
    <row r="134">
      <c r="F134" s="2"/>
      <c r="G134" s="2"/>
      <c r="H134" s="3"/>
      <c r="I134" s="3"/>
    </row>
    <row r="135">
      <c r="F135" s="2"/>
      <c r="G135" s="2"/>
      <c r="H135" s="3"/>
      <c r="I135" s="3"/>
    </row>
    <row r="136">
      <c r="F136" s="2"/>
      <c r="G136" s="2"/>
      <c r="H136" s="3"/>
      <c r="I136" s="3"/>
    </row>
    <row r="137">
      <c r="F137" s="2"/>
      <c r="G137" s="2"/>
      <c r="H137" s="3"/>
      <c r="I137" s="3"/>
    </row>
    <row r="138">
      <c r="F138" s="2"/>
      <c r="G138" s="2"/>
      <c r="H138" s="3"/>
      <c r="I138" s="3"/>
    </row>
    <row r="139">
      <c r="F139" s="2"/>
      <c r="G139" s="2"/>
      <c r="H139" s="3"/>
      <c r="I139" s="3"/>
    </row>
    <row r="140">
      <c r="F140" s="2"/>
      <c r="G140" s="2"/>
      <c r="H140" s="3"/>
      <c r="I140" s="3"/>
    </row>
    <row r="141">
      <c r="F141" s="2"/>
      <c r="G141" s="2"/>
      <c r="H141" s="3"/>
      <c r="I141" s="3"/>
    </row>
    <row r="142">
      <c r="F142" s="2"/>
      <c r="G142" s="2"/>
      <c r="H142" s="3"/>
      <c r="I142" s="3"/>
    </row>
    <row r="143">
      <c r="F143" s="2"/>
      <c r="G143" s="2"/>
      <c r="H143" s="3"/>
      <c r="I143" s="3"/>
    </row>
    <row r="144">
      <c r="F144" s="2"/>
      <c r="G144" s="2"/>
      <c r="H144" s="3"/>
      <c r="I144" s="3"/>
    </row>
    <row r="145">
      <c r="F145" s="2"/>
      <c r="G145" s="2"/>
      <c r="H145" s="3"/>
      <c r="I145" s="3"/>
    </row>
    <row r="146">
      <c r="F146" s="2"/>
      <c r="G146" s="2"/>
      <c r="H146" s="3"/>
      <c r="I146" s="3"/>
    </row>
    <row r="147">
      <c r="F147" s="2"/>
      <c r="G147" s="2"/>
      <c r="H147" s="3"/>
      <c r="I147" s="3"/>
    </row>
    <row r="148">
      <c r="F148" s="2"/>
      <c r="G148" s="2"/>
      <c r="H148" s="3"/>
      <c r="I148" s="3"/>
    </row>
    <row r="149">
      <c r="F149" s="2"/>
      <c r="G149" s="2"/>
      <c r="H149" s="3"/>
      <c r="I149" s="3"/>
    </row>
    <row r="150">
      <c r="F150" s="2"/>
      <c r="G150" s="2"/>
      <c r="H150" s="3"/>
      <c r="I150" s="3"/>
    </row>
    <row r="151">
      <c r="F151" s="2"/>
      <c r="G151" s="2"/>
      <c r="H151" s="3"/>
      <c r="I151" s="3"/>
    </row>
    <row r="152">
      <c r="F152" s="2"/>
      <c r="G152" s="2"/>
      <c r="H152" s="3"/>
      <c r="I152" s="3"/>
    </row>
    <row r="153">
      <c r="F153" s="2"/>
      <c r="G153" s="2"/>
      <c r="H153" s="3"/>
      <c r="I153" s="3"/>
    </row>
    <row r="154">
      <c r="F154" s="2"/>
      <c r="G154" s="2"/>
      <c r="H154" s="3"/>
      <c r="I154" s="3"/>
    </row>
    <row r="155">
      <c r="F155" s="2"/>
      <c r="G155" s="2"/>
      <c r="H155" s="3"/>
      <c r="I155" s="3"/>
    </row>
    <row r="156">
      <c r="F156" s="2"/>
      <c r="G156" s="2"/>
      <c r="H156" s="3"/>
      <c r="I156" s="3"/>
    </row>
    <row r="157">
      <c r="F157" s="2"/>
      <c r="G157" s="2"/>
      <c r="H157" s="3"/>
      <c r="I157" s="3"/>
    </row>
    <row r="158">
      <c r="F158" s="2"/>
      <c r="G158" s="2"/>
      <c r="H158" s="3"/>
      <c r="I158" s="3"/>
    </row>
    <row r="159">
      <c r="F159" s="2"/>
      <c r="G159" s="2"/>
      <c r="H159" s="3"/>
      <c r="I159" s="3"/>
    </row>
    <row r="160">
      <c r="F160" s="2"/>
      <c r="G160" s="2"/>
      <c r="H160" s="3"/>
      <c r="I160" s="3"/>
    </row>
    <row r="161">
      <c r="F161" s="2"/>
      <c r="G161" s="2"/>
      <c r="H161" s="3"/>
      <c r="I161" s="3"/>
    </row>
    <row r="162">
      <c r="F162" s="2"/>
      <c r="G162" s="2"/>
      <c r="H162" s="3"/>
      <c r="I162" s="3"/>
    </row>
    <row r="163">
      <c r="F163" s="2"/>
      <c r="G163" s="2"/>
      <c r="H163" s="3"/>
      <c r="I163" s="3"/>
    </row>
    <row r="164">
      <c r="F164" s="2"/>
      <c r="G164" s="2"/>
      <c r="H164" s="3"/>
      <c r="I164" s="3"/>
    </row>
    <row r="165">
      <c r="F165" s="2"/>
      <c r="G165" s="2"/>
      <c r="H165" s="3"/>
      <c r="I165" s="3"/>
    </row>
    <row r="166">
      <c r="F166" s="2"/>
      <c r="G166" s="2"/>
      <c r="H166" s="3"/>
      <c r="I166" s="3"/>
    </row>
    <row r="167">
      <c r="F167" s="2"/>
      <c r="G167" s="2"/>
      <c r="H167" s="3"/>
      <c r="I167" s="3"/>
    </row>
    <row r="168">
      <c r="F168" s="2"/>
      <c r="G168" s="2"/>
      <c r="H168" s="3"/>
      <c r="I168" s="3"/>
    </row>
    <row r="169">
      <c r="F169" s="2"/>
      <c r="G169" s="2"/>
      <c r="H169" s="3"/>
      <c r="I169" s="3"/>
    </row>
    <row r="170">
      <c r="F170" s="2"/>
      <c r="G170" s="2"/>
      <c r="H170" s="3"/>
      <c r="I170" s="3"/>
    </row>
    <row r="171">
      <c r="F171" s="2"/>
      <c r="G171" s="2"/>
      <c r="H171" s="3"/>
      <c r="I171" s="3"/>
    </row>
    <row r="172">
      <c r="F172" s="2"/>
      <c r="G172" s="2"/>
      <c r="H172" s="3"/>
      <c r="I172" s="3"/>
    </row>
    <row r="173">
      <c r="F173" s="2"/>
      <c r="G173" s="2"/>
      <c r="H173" s="3"/>
      <c r="I173" s="3"/>
    </row>
    <row r="174">
      <c r="F174" s="2"/>
      <c r="G174" s="2"/>
      <c r="H174" s="3"/>
      <c r="I174" s="3"/>
    </row>
    <row r="175">
      <c r="F175" s="2"/>
      <c r="G175" s="2"/>
      <c r="H175" s="3"/>
      <c r="I175" s="3"/>
    </row>
    <row r="176">
      <c r="F176" s="2"/>
      <c r="G176" s="2"/>
      <c r="H176" s="3"/>
      <c r="I176" s="3"/>
    </row>
    <row r="177">
      <c r="F177" s="2"/>
      <c r="G177" s="2"/>
      <c r="H177" s="3"/>
      <c r="I177" s="3"/>
    </row>
    <row r="178">
      <c r="F178" s="2"/>
      <c r="G178" s="2"/>
      <c r="H178" s="3"/>
      <c r="I178" s="3"/>
    </row>
    <row r="179">
      <c r="F179" s="2"/>
      <c r="G179" s="2"/>
      <c r="H179" s="3"/>
      <c r="I179" s="3"/>
    </row>
    <row r="180">
      <c r="F180" s="2"/>
      <c r="G180" s="2"/>
      <c r="H180" s="3"/>
      <c r="I180" s="3"/>
    </row>
    <row r="181">
      <c r="F181" s="2"/>
      <c r="G181" s="2"/>
      <c r="H181" s="3"/>
      <c r="I181" s="3"/>
    </row>
    <row r="182">
      <c r="F182" s="2"/>
      <c r="G182" s="2"/>
      <c r="H182" s="3"/>
      <c r="I182" s="3"/>
    </row>
    <row r="183">
      <c r="F183" s="2"/>
      <c r="G183" s="2"/>
      <c r="H183" s="3"/>
      <c r="I183" s="3"/>
    </row>
    <row r="184">
      <c r="F184" s="2"/>
      <c r="G184" s="2"/>
      <c r="H184" s="3"/>
      <c r="I184" s="3"/>
    </row>
    <row r="185">
      <c r="F185" s="2"/>
      <c r="G185" s="2"/>
      <c r="H185" s="3"/>
      <c r="I185" s="3"/>
    </row>
    <row r="186">
      <c r="F186" s="2"/>
      <c r="G186" s="2"/>
      <c r="H186" s="3"/>
      <c r="I186" s="3"/>
    </row>
    <row r="187">
      <c r="F187" s="2"/>
      <c r="G187" s="2"/>
      <c r="H187" s="3"/>
      <c r="I187" s="3"/>
    </row>
    <row r="188">
      <c r="F188" s="2"/>
      <c r="G188" s="2"/>
      <c r="H188" s="3"/>
      <c r="I188" s="3"/>
    </row>
    <row r="189">
      <c r="F189" s="2"/>
      <c r="G189" s="2"/>
      <c r="H189" s="3"/>
      <c r="I189" s="3"/>
    </row>
    <row r="190">
      <c r="F190" s="2"/>
      <c r="G190" s="2"/>
      <c r="H190" s="3"/>
      <c r="I190" s="3"/>
    </row>
    <row r="191">
      <c r="F191" s="2"/>
      <c r="G191" s="2"/>
      <c r="H191" s="3"/>
      <c r="I191" s="3"/>
    </row>
    <row r="192">
      <c r="F192" s="2"/>
      <c r="G192" s="2"/>
      <c r="H192" s="3"/>
      <c r="I192" s="3"/>
    </row>
    <row r="193">
      <c r="F193" s="2"/>
      <c r="G193" s="2"/>
      <c r="H193" s="3"/>
      <c r="I193" s="3"/>
    </row>
    <row r="194">
      <c r="F194" s="2"/>
      <c r="G194" s="2"/>
      <c r="H194" s="3"/>
      <c r="I194" s="3"/>
    </row>
    <row r="195">
      <c r="F195" s="2"/>
      <c r="G195" s="2"/>
      <c r="H195" s="3"/>
      <c r="I195" s="3"/>
    </row>
    <row r="196">
      <c r="F196" s="2"/>
      <c r="G196" s="2"/>
      <c r="H196" s="3"/>
      <c r="I196" s="3"/>
    </row>
    <row r="197">
      <c r="F197" s="2"/>
      <c r="G197" s="2"/>
      <c r="H197" s="3"/>
      <c r="I197" s="3"/>
    </row>
    <row r="198">
      <c r="F198" s="2"/>
      <c r="G198" s="2"/>
      <c r="H198" s="3"/>
      <c r="I198" s="3"/>
    </row>
    <row r="199">
      <c r="F199" s="2"/>
      <c r="G199" s="2"/>
      <c r="H199" s="3"/>
      <c r="I199" s="3"/>
    </row>
    <row r="200">
      <c r="F200" s="2"/>
      <c r="G200" s="2"/>
      <c r="H200" s="3"/>
      <c r="I200" s="3"/>
    </row>
    <row r="201">
      <c r="F201" s="2"/>
      <c r="G201" s="2"/>
      <c r="H201" s="3"/>
      <c r="I201" s="3"/>
    </row>
    <row r="202">
      <c r="F202" s="2"/>
      <c r="G202" s="2"/>
      <c r="H202" s="3"/>
      <c r="I202" s="3"/>
    </row>
    <row r="203">
      <c r="F203" s="2"/>
      <c r="G203" s="2"/>
      <c r="H203" s="3"/>
      <c r="I203" s="3"/>
    </row>
    <row r="204">
      <c r="F204" s="2"/>
      <c r="G204" s="2"/>
      <c r="H204" s="3"/>
      <c r="I204" s="3"/>
    </row>
    <row r="205">
      <c r="F205" s="2"/>
      <c r="G205" s="2"/>
      <c r="H205" s="3"/>
      <c r="I205" s="3"/>
    </row>
    <row r="206">
      <c r="F206" s="2"/>
      <c r="G206" s="2"/>
      <c r="H206" s="3"/>
      <c r="I206" s="3"/>
    </row>
    <row r="207">
      <c r="F207" s="2"/>
      <c r="G207" s="2"/>
      <c r="H207" s="3"/>
      <c r="I207" s="3"/>
    </row>
    <row r="208">
      <c r="F208" s="2"/>
      <c r="G208" s="2"/>
      <c r="H208" s="3"/>
      <c r="I208" s="3"/>
    </row>
    <row r="209">
      <c r="F209" s="2"/>
      <c r="G209" s="2"/>
      <c r="H209" s="3"/>
      <c r="I209" s="3"/>
    </row>
    <row r="210">
      <c r="F210" s="2"/>
      <c r="G210" s="2"/>
      <c r="H210" s="3"/>
      <c r="I210" s="3"/>
    </row>
    <row r="211">
      <c r="F211" s="2"/>
      <c r="G211" s="2"/>
      <c r="H211" s="3"/>
      <c r="I211" s="3"/>
    </row>
    <row r="212">
      <c r="F212" s="2"/>
      <c r="G212" s="2"/>
      <c r="H212" s="3"/>
      <c r="I212" s="3"/>
    </row>
    <row r="213">
      <c r="F213" s="2"/>
      <c r="G213" s="2"/>
      <c r="H213" s="3"/>
      <c r="I213" s="3"/>
    </row>
    <row r="214">
      <c r="F214" s="2"/>
      <c r="G214" s="2"/>
      <c r="H214" s="3"/>
      <c r="I214" s="3"/>
    </row>
    <row r="215">
      <c r="F215" s="2"/>
      <c r="G215" s="2"/>
      <c r="H215" s="3"/>
      <c r="I215" s="3"/>
    </row>
    <row r="216">
      <c r="F216" s="2"/>
      <c r="G216" s="2"/>
      <c r="H216" s="3"/>
      <c r="I216" s="3"/>
    </row>
    <row r="217">
      <c r="F217" s="2"/>
      <c r="G217" s="2"/>
      <c r="H217" s="3"/>
      <c r="I217" s="3"/>
    </row>
    <row r="218">
      <c r="F218" s="2"/>
      <c r="G218" s="2"/>
      <c r="H218" s="3"/>
      <c r="I218" s="3"/>
    </row>
    <row r="219">
      <c r="F219" s="2"/>
      <c r="G219" s="2"/>
      <c r="H219" s="3"/>
      <c r="I219" s="3"/>
    </row>
    <row r="220">
      <c r="F220" s="2"/>
      <c r="G220" s="2"/>
      <c r="H220" s="3"/>
      <c r="I220" s="3"/>
    </row>
    <row r="221">
      <c r="F221" s="2"/>
      <c r="G221" s="2"/>
      <c r="H221" s="3"/>
      <c r="I221" s="3"/>
    </row>
    <row r="222">
      <c r="F222" s="2"/>
      <c r="G222" s="2"/>
      <c r="H222" s="3"/>
      <c r="I222" s="3"/>
    </row>
    <row r="223">
      <c r="F223" s="2"/>
      <c r="G223" s="2"/>
      <c r="H223" s="3"/>
      <c r="I223" s="3"/>
    </row>
    <row r="224">
      <c r="F224" s="2"/>
      <c r="G224" s="2"/>
      <c r="H224" s="3"/>
      <c r="I224" s="3"/>
    </row>
    <row r="225">
      <c r="F225" s="2"/>
      <c r="G225" s="2"/>
      <c r="H225" s="3"/>
      <c r="I225" s="3"/>
    </row>
    <row r="226">
      <c r="F226" s="2"/>
      <c r="G226" s="2"/>
      <c r="H226" s="3"/>
      <c r="I226" s="3"/>
    </row>
    <row r="227">
      <c r="F227" s="2"/>
      <c r="G227" s="2"/>
      <c r="H227" s="3"/>
      <c r="I227" s="3"/>
    </row>
    <row r="228">
      <c r="F228" s="2"/>
      <c r="G228" s="2"/>
      <c r="H228" s="3"/>
      <c r="I228" s="3"/>
    </row>
    <row r="229">
      <c r="F229" s="2"/>
      <c r="G229" s="2"/>
      <c r="H229" s="3"/>
      <c r="I229" s="3"/>
    </row>
    <row r="230">
      <c r="F230" s="2"/>
      <c r="G230" s="2"/>
      <c r="H230" s="3"/>
      <c r="I230" s="3"/>
    </row>
    <row r="231">
      <c r="F231" s="2"/>
      <c r="G231" s="2"/>
      <c r="H231" s="3"/>
      <c r="I231" s="3"/>
    </row>
    <row r="232">
      <c r="F232" s="2"/>
      <c r="G232" s="2"/>
      <c r="H232" s="3"/>
      <c r="I232" s="3"/>
    </row>
    <row r="233">
      <c r="F233" s="2"/>
      <c r="G233" s="2"/>
      <c r="H233" s="3"/>
      <c r="I233" s="3"/>
    </row>
    <row r="234">
      <c r="F234" s="2"/>
      <c r="G234" s="2"/>
      <c r="H234" s="3"/>
      <c r="I234" s="3"/>
    </row>
    <row r="235">
      <c r="F235" s="2"/>
      <c r="G235" s="2"/>
      <c r="H235" s="3"/>
      <c r="I235" s="3"/>
    </row>
    <row r="236">
      <c r="F236" s="2"/>
      <c r="G236" s="2"/>
      <c r="H236" s="3"/>
      <c r="I236" s="3"/>
    </row>
    <row r="237">
      <c r="F237" s="2"/>
      <c r="G237" s="2"/>
      <c r="H237" s="3"/>
      <c r="I237" s="3"/>
    </row>
    <row r="238">
      <c r="F238" s="2"/>
      <c r="G238" s="2"/>
      <c r="H238" s="3"/>
      <c r="I238" s="3"/>
    </row>
    <row r="239">
      <c r="F239" s="2"/>
      <c r="G239" s="2"/>
      <c r="H239" s="3"/>
      <c r="I239" s="3"/>
    </row>
    <row r="240">
      <c r="F240" s="2"/>
      <c r="G240" s="2"/>
      <c r="H240" s="3"/>
      <c r="I240" s="3"/>
    </row>
    <row r="241">
      <c r="F241" s="2"/>
      <c r="G241" s="2"/>
      <c r="H241" s="3"/>
      <c r="I241" s="3"/>
    </row>
    <row r="242">
      <c r="F242" s="2"/>
      <c r="G242" s="2"/>
      <c r="H242" s="3"/>
      <c r="I242" s="3"/>
    </row>
    <row r="243">
      <c r="F243" s="2"/>
      <c r="G243" s="2"/>
      <c r="H243" s="3"/>
      <c r="I243" s="3"/>
    </row>
    <row r="244">
      <c r="F244" s="2"/>
      <c r="G244" s="2"/>
      <c r="H244" s="3"/>
      <c r="I244" s="3"/>
    </row>
    <row r="245">
      <c r="F245" s="2"/>
      <c r="G245" s="2"/>
      <c r="H245" s="3"/>
      <c r="I245" s="3"/>
    </row>
    <row r="246">
      <c r="F246" s="2"/>
      <c r="G246" s="2"/>
      <c r="H246" s="3"/>
      <c r="I246" s="3"/>
    </row>
    <row r="247">
      <c r="F247" s="2"/>
      <c r="G247" s="2"/>
      <c r="H247" s="3"/>
      <c r="I247" s="3"/>
    </row>
    <row r="248">
      <c r="F248" s="2"/>
      <c r="G248" s="2"/>
      <c r="H248" s="3"/>
      <c r="I248" s="3"/>
    </row>
    <row r="249">
      <c r="F249" s="2"/>
      <c r="G249" s="2"/>
      <c r="H249" s="3"/>
      <c r="I249" s="3"/>
    </row>
    <row r="250">
      <c r="F250" s="2"/>
      <c r="G250" s="2"/>
      <c r="H250" s="3"/>
      <c r="I250" s="3"/>
    </row>
    <row r="251">
      <c r="F251" s="2"/>
      <c r="G251" s="2"/>
      <c r="H251" s="3"/>
      <c r="I251" s="3"/>
    </row>
    <row r="252">
      <c r="F252" s="2"/>
      <c r="G252" s="2"/>
      <c r="H252" s="3"/>
      <c r="I252" s="3"/>
    </row>
    <row r="253">
      <c r="F253" s="2"/>
      <c r="G253" s="2"/>
      <c r="H253" s="3"/>
      <c r="I253" s="3"/>
    </row>
    <row r="254">
      <c r="F254" s="2"/>
      <c r="G254" s="2"/>
      <c r="H254" s="3"/>
      <c r="I254" s="3"/>
    </row>
    <row r="255">
      <c r="F255" s="2"/>
      <c r="G255" s="2"/>
      <c r="H255" s="3"/>
      <c r="I255" s="3"/>
    </row>
    <row r="256">
      <c r="F256" s="2"/>
      <c r="G256" s="2"/>
      <c r="H256" s="3"/>
      <c r="I256" s="3"/>
    </row>
    <row r="257">
      <c r="F257" s="2"/>
      <c r="G257" s="2"/>
      <c r="H257" s="3"/>
      <c r="I257" s="3"/>
    </row>
    <row r="258">
      <c r="F258" s="2"/>
      <c r="G258" s="2"/>
      <c r="H258" s="3"/>
      <c r="I258" s="3"/>
    </row>
    <row r="259">
      <c r="F259" s="2"/>
      <c r="G259" s="2"/>
      <c r="H259" s="3"/>
      <c r="I259" s="3"/>
    </row>
    <row r="260">
      <c r="F260" s="2"/>
      <c r="G260" s="2"/>
      <c r="H260" s="3"/>
      <c r="I260" s="3"/>
    </row>
    <row r="261">
      <c r="F261" s="2"/>
      <c r="G261" s="2"/>
      <c r="H261" s="3"/>
      <c r="I261" s="3"/>
    </row>
    <row r="262">
      <c r="F262" s="2"/>
      <c r="G262" s="2"/>
      <c r="H262" s="3"/>
      <c r="I262" s="3"/>
    </row>
    <row r="263">
      <c r="F263" s="2"/>
      <c r="G263" s="2"/>
      <c r="H263" s="3"/>
      <c r="I263" s="3"/>
    </row>
    <row r="264">
      <c r="F264" s="2"/>
      <c r="G264" s="2"/>
      <c r="H264" s="3"/>
      <c r="I264" s="3"/>
    </row>
    <row r="265">
      <c r="F265" s="2"/>
      <c r="G265" s="2"/>
      <c r="H265" s="3"/>
      <c r="I265" s="3"/>
    </row>
    <row r="266">
      <c r="F266" s="2"/>
      <c r="G266" s="2"/>
      <c r="H266" s="3"/>
      <c r="I266" s="3"/>
    </row>
    <row r="267">
      <c r="F267" s="2"/>
      <c r="G267" s="2"/>
      <c r="H267" s="3"/>
      <c r="I267" s="3"/>
    </row>
    <row r="268">
      <c r="F268" s="2"/>
      <c r="G268" s="2"/>
      <c r="H268" s="3"/>
      <c r="I268" s="3"/>
    </row>
    <row r="269">
      <c r="F269" s="2"/>
      <c r="G269" s="2"/>
      <c r="H269" s="3"/>
      <c r="I269" s="3"/>
    </row>
    <row r="270">
      <c r="F270" s="2"/>
      <c r="G270" s="2"/>
      <c r="H270" s="3"/>
      <c r="I270" s="3"/>
    </row>
    <row r="271">
      <c r="F271" s="2"/>
      <c r="G271" s="2"/>
      <c r="H271" s="3"/>
      <c r="I271" s="3"/>
    </row>
    <row r="272">
      <c r="F272" s="2"/>
      <c r="G272" s="2"/>
      <c r="H272" s="3"/>
      <c r="I272" s="3"/>
    </row>
    <row r="273">
      <c r="F273" s="2"/>
      <c r="G273" s="2"/>
      <c r="H273" s="3"/>
      <c r="I273" s="3"/>
    </row>
    <row r="274">
      <c r="F274" s="2"/>
      <c r="G274" s="2"/>
      <c r="H274" s="3"/>
      <c r="I274" s="3"/>
    </row>
    <row r="275">
      <c r="F275" s="2"/>
      <c r="G275" s="2"/>
      <c r="H275" s="3"/>
      <c r="I275" s="3"/>
    </row>
    <row r="276">
      <c r="F276" s="2"/>
      <c r="G276" s="2"/>
      <c r="H276" s="3"/>
      <c r="I276" s="3"/>
    </row>
    <row r="277">
      <c r="F277" s="2"/>
      <c r="G277" s="2"/>
      <c r="H277" s="3"/>
      <c r="I277" s="3"/>
    </row>
    <row r="278">
      <c r="F278" s="2"/>
      <c r="G278" s="2"/>
      <c r="H278" s="3"/>
      <c r="I278" s="3"/>
    </row>
    <row r="279">
      <c r="F279" s="2"/>
      <c r="G279" s="2"/>
      <c r="H279" s="3"/>
      <c r="I279" s="3"/>
    </row>
    <row r="280">
      <c r="F280" s="2"/>
      <c r="G280" s="2"/>
      <c r="H280" s="3"/>
      <c r="I280" s="3"/>
    </row>
    <row r="281">
      <c r="F281" s="2"/>
      <c r="G281" s="2"/>
      <c r="H281" s="3"/>
      <c r="I281" s="3"/>
    </row>
    <row r="282">
      <c r="F282" s="2"/>
      <c r="G282" s="2"/>
      <c r="H282" s="3"/>
      <c r="I282" s="3"/>
    </row>
    <row r="283">
      <c r="F283" s="2"/>
      <c r="G283" s="2"/>
      <c r="H283" s="3"/>
      <c r="I283" s="3"/>
    </row>
    <row r="284">
      <c r="F284" s="2"/>
      <c r="G284" s="2"/>
      <c r="H284" s="3"/>
      <c r="I284" s="3"/>
    </row>
    <row r="285">
      <c r="F285" s="2"/>
      <c r="G285" s="2"/>
      <c r="H285" s="3"/>
      <c r="I285" s="3"/>
    </row>
    <row r="286">
      <c r="F286" s="2"/>
      <c r="G286" s="2"/>
      <c r="H286" s="3"/>
      <c r="I286" s="3"/>
    </row>
    <row r="287">
      <c r="F287" s="2"/>
      <c r="G287" s="2"/>
      <c r="H287" s="3"/>
      <c r="I287" s="3"/>
    </row>
    <row r="288">
      <c r="F288" s="2"/>
      <c r="G288" s="2"/>
      <c r="H288" s="3"/>
      <c r="I288" s="3"/>
    </row>
    <row r="289">
      <c r="F289" s="2"/>
      <c r="G289" s="2"/>
      <c r="H289" s="3"/>
      <c r="I289" s="3"/>
    </row>
    <row r="290">
      <c r="F290" s="2"/>
      <c r="G290" s="2"/>
      <c r="H290" s="3"/>
      <c r="I290" s="3"/>
    </row>
    <row r="291">
      <c r="F291" s="2"/>
      <c r="G291" s="2"/>
      <c r="H291" s="3"/>
      <c r="I291" s="3"/>
    </row>
    <row r="292">
      <c r="F292" s="2"/>
      <c r="G292" s="2"/>
      <c r="H292" s="3"/>
      <c r="I292" s="3"/>
    </row>
    <row r="293">
      <c r="F293" s="2"/>
      <c r="G293" s="2"/>
      <c r="H293" s="3"/>
      <c r="I293" s="3"/>
    </row>
    <row r="294">
      <c r="F294" s="2"/>
      <c r="G294" s="2"/>
      <c r="H294" s="3"/>
      <c r="I294" s="3"/>
    </row>
    <row r="295">
      <c r="F295" s="2"/>
      <c r="G295" s="2"/>
      <c r="H295" s="3"/>
      <c r="I295" s="3"/>
    </row>
    <row r="296">
      <c r="F296" s="2"/>
      <c r="G296" s="2"/>
      <c r="H296" s="3"/>
      <c r="I296" s="3"/>
    </row>
    <row r="297">
      <c r="F297" s="2"/>
      <c r="G297" s="2"/>
      <c r="H297" s="3"/>
      <c r="I297" s="3"/>
    </row>
    <row r="298">
      <c r="F298" s="2"/>
      <c r="G298" s="2"/>
      <c r="H298" s="3"/>
      <c r="I298" s="3"/>
    </row>
    <row r="299">
      <c r="F299" s="2"/>
      <c r="G299" s="2"/>
      <c r="H299" s="3"/>
      <c r="I299" s="3"/>
    </row>
    <row r="300">
      <c r="F300" s="2"/>
      <c r="G300" s="2"/>
      <c r="H300" s="3"/>
      <c r="I300" s="3"/>
    </row>
    <row r="301">
      <c r="F301" s="2"/>
      <c r="G301" s="2"/>
      <c r="H301" s="3"/>
      <c r="I301" s="3"/>
    </row>
    <row r="302">
      <c r="F302" s="2"/>
      <c r="G302" s="2"/>
      <c r="H302" s="3"/>
      <c r="I302" s="3"/>
    </row>
    <row r="303">
      <c r="F303" s="2"/>
      <c r="G303" s="2"/>
      <c r="H303" s="3"/>
      <c r="I303" s="3"/>
    </row>
    <row r="304">
      <c r="F304" s="2"/>
      <c r="G304" s="2"/>
      <c r="H304" s="3"/>
      <c r="I304" s="3"/>
    </row>
    <row r="305">
      <c r="F305" s="2"/>
      <c r="G305" s="2"/>
      <c r="H305" s="3"/>
      <c r="I305" s="3"/>
    </row>
    <row r="306">
      <c r="F306" s="2"/>
      <c r="G306" s="2"/>
      <c r="H306" s="3"/>
      <c r="I306" s="3"/>
    </row>
    <row r="307">
      <c r="F307" s="2"/>
      <c r="G307" s="2"/>
      <c r="H307" s="3"/>
      <c r="I307" s="3"/>
    </row>
    <row r="308">
      <c r="F308" s="2"/>
      <c r="G308" s="2"/>
      <c r="H308" s="3"/>
      <c r="I308" s="3"/>
    </row>
    <row r="309">
      <c r="F309" s="2"/>
      <c r="G309" s="2"/>
      <c r="H309" s="3"/>
      <c r="I309" s="3"/>
    </row>
    <row r="310">
      <c r="F310" s="2"/>
      <c r="G310" s="2"/>
      <c r="H310" s="3"/>
      <c r="I310" s="3"/>
    </row>
    <row r="311">
      <c r="F311" s="2"/>
      <c r="G311" s="2"/>
      <c r="H311" s="3"/>
      <c r="I311" s="3"/>
    </row>
    <row r="312">
      <c r="F312" s="2"/>
      <c r="G312" s="2"/>
      <c r="H312" s="3"/>
      <c r="I312" s="3"/>
    </row>
    <row r="313">
      <c r="F313" s="2"/>
      <c r="G313" s="2"/>
      <c r="H313" s="3"/>
      <c r="I313" s="3"/>
    </row>
    <row r="314">
      <c r="F314" s="2"/>
      <c r="G314" s="2"/>
      <c r="H314" s="3"/>
      <c r="I314" s="3"/>
    </row>
    <row r="315">
      <c r="F315" s="2"/>
      <c r="G315" s="2"/>
      <c r="H315" s="3"/>
      <c r="I315" s="3"/>
    </row>
    <row r="316">
      <c r="F316" s="2"/>
      <c r="G316" s="2"/>
      <c r="H316" s="3"/>
      <c r="I316" s="3"/>
    </row>
    <row r="317">
      <c r="F317" s="2"/>
      <c r="G317" s="2"/>
      <c r="H317" s="3"/>
      <c r="I317" s="3"/>
    </row>
    <row r="318">
      <c r="F318" s="2"/>
      <c r="G318" s="2"/>
      <c r="H318" s="3"/>
      <c r="I318" s="3"/>
    </row>
    <row r="319">
      <c r="F319" s="2"/>
      <c r="G319" s="2"/>
      <c r="H319" s="3"/>
      <c r="I319" s="3"/>
    </row>
    <row r="320">
      <c r="F320" s="2"/>
      <c r="G320" s="2"/>
      <c r="H320" s="3"/>
      <c r="I320" s="3"/>
    </row>
    <row r="321">
      <c r="F321" s="2"/>
      <c r="G321" s="2"/>
      <c r="H321" s="3"/>
      <c r="I321" s="3"/>
    </row>
    <row r="322">
      <c r="F322" s="2"/>
      <c r="G322" s="2"/>
      <c r="H322" s="3"/>
      <c r="I322" s="3"/>
    </row>
    <row r="323">
      <c r="F323" s="2"/>
      <c r="G323" s="2"/>
      <c r="H323" s="3"/>
      <c r="I323" s="3"/>
    </row>
    <row r="324">
      <c r="F324" s="2"/>
      <c r="G324" s="2"/>
      <c r="H324" s="3"/>
      <c r="I324" s="3"/>
    </row>
    <row r="325">
      <c r="F325" s="2"/>
      <c r="G325" s="2"/>
      <c r="H325" s="3"/>
      <c r="I325" s="3"/>
    </row>
    <row r="326">
      <c r="F326" s="2"/>
      <c r="G326" s="2"/>
      <c r="H326" s="3"/>
      <c r="I326" s="3"/>
    </row>
    <row r="327">
      <c r="F327" s="2"/>
      <c r="G327" s="2"/>
      <c r="H327" s="3"/>
      <c r="I327" s="3"/>
    </row>
    <row r="328">
      <c r="F328" s="2"/>
      <c r="G328" s="2"/>
      <c r="H328" s="3"/>
      <c r="I328" s="3"/>
    </row>
    <row r="329">
      <c r="F329" s="2"/>
      <c r="G329" s="2"/>
      <c r="H329" s="3"/>
      <c r="I329" s="3"/>
    </row>
    <row r="330">
      <c r="F330" s="2"/>
      <c r="G330" s="2"/>
      <c r="H330" s="3"/>
      <c r="I330" s="3"/>
    </row>
    <row r="331">
      <c r="F331" s="2"/>
      <c r="G331" s="2"/>
      <c r="H331" s="3"/>
      <c r="I331" s="3"/>
    </row>
    <row r="332">
      <c r="F332" s="2"/>
      <c r="G332" s="2"/>
      <c r="H332" s="3"/>
      <c r="I332" s="3"/>
    </row>
    <row r="333">
      <c r="F333" s="2"/>
      <c r="G333" s="2"/>
      <c r="H333" s="3"/>
      <c r="I333" s="3"/>
    </row>
    <row r="334">
      <c r="F334" s="2"/>
      <c r="G334" s="2"/>
      <c r="H334" s="3"/>
      <c r="I334" s="3"/>
    </row>
    <row r="335">
      <c r="F335" s="2"/>
      <c r="G335" s="2"/>
      <c r="H335" s="3"/>
      <c r="I335" s="3"/>
    </row>
    <row r="336">
      <c r="F336" s="2"/>
      <c r="G336" s="2"/>
      <c r="H336" s="3"/>
      <c r="I336" s="3"/>
    </row>
    <row r="337">
      <c r="F337" s="2"/>
      <c r="G337" s="2"/>
      <c r="H337" s="3"/>
      <c r="I337" s="3"/>
    </row>
    <row r="338">
      <c r="F338" s="2"/>
      <c r="G338" s="2"/>
      <c r="H338" s="3"/>
      <c r="I338" s="3"/>
    </row>
    <row r="339">
      <c r="F339" s="2"/>
      <c r="G339" s="2"/>
      <c r="H339" s="3"/>
      <c r="I339" s="3"/>
    </row>
    <row r="340">
      <c r="F340" s="2"/>
      <c r="G340" s="2"/>
      <c r="H340" s="3"/>
      <c r="I340" s="3"/>
    </row>
    <row r="341">
      <c r="F341" s="2"/>
      <c r="G341" s="2"/>
      <c r="H341" s="3"/>
      <c r="I341" s="3"/>
    </row>
    <row r="342">
      <c r="F342" s="2"/>
      <c r="G342" s="2"/>
      <c r="H342" s="3"/>
      <c r="I342" s="3"/>
    </row>
    <row r="343">
      <c r="F343" s="2"/>
      <c r="G343" s="2"/>
      <c r="H343" s="3"/>
      <c r="I343" s="3"/>
    </row>
    <row r="344">
      <c r="F344" s="2"/>
      <c r="G344" s="2"/>
      <c r="H344" s="3"/>
      <c r="I344" s="3"/>
    </row>
    <row r="345">
      <c r="F345" s="2"/>
      <c r="G345" s="2"/>
      <c r="H345" s="3"/>
      <c r="I345" s="3"/>
    </row>
    <row r="346">
      <c r="F346" s="2"/>
      <c r="G346" s="2"/>
      <c r="H346" s="3"/>
      <c r="I346" s="3"/>
    </row>
    <row r="347">
      <c r="F347" s="2"/>
      <c r="G347" s="2"/>
      <c r="H347" s="3"/>
      <c r="I347" s="3"/>
    </row>
    <row r="348">
      <c r="F348" s="2"/>
      <c r="G348" s="2"/>
      <c r="H348" s="3"/>
      <c r="I348" s="3"/>
    </row>
    <row r="349">
      <c r="F349" s="2"/>
      <c r="G349" s="2"/>
      <c r="H349" s="3"/>
      <c r="I349" s="3"/>
    </row>
    <row r="350">
      <c r="F350" s="2"/>
      <c r="G350" s="2"/>
      <c r="H350" s="3"/>
      <c r="I350" s="3"/>
    </row>
    <row r="351">
      <c r="F351" s="2"/>
      <c r="G351" s="2"/>
      <c r="H351" s="3"/>
      <c r="I351" s="3"/>
    </row>
    <row r="352">
      <c r="F352" s="2"/>
      <c r="G352" s="2"/>
      <c r="H352" s="3"/>
      <c r="I352" s="3"/>
    </row>
    <row r="353">
      <c r="F353" s="2"/>
      <c r="G353" s="2"/>
      <c r="H353" s="3"/>
      <c r="I353" s="3"/>
    </row>
    <row r="354">
      <c r="F354" s="2"/>
      <c r="G354" s="2"/>
      <c r="H354" s="3"/>
      <c r="I354" s="3"/>
    </row>
    <row r="355">
      <c r="F355" s="2"/>
      <c r="G355" s="2"/>
      <c r="H355" s="3"/>
      <c r="I355" s="3"/>
    </row>
    <row r="356">
      <c r="F356" s="2"/>
      <c r="G356" s="2"/>
      <c r="H356" s="3"/>
      <c r="I356" s="3"/>
    </row>
    <row r="357">
      <c r="F357" s="2"/>
      <c r="G357" s="2"/>
      <c r="H357" s="3"/>
      <c r="I357" s="3"/>
    </row>
    <row r="358">
      <c r="F358" s="2"/>
      <c r="G358" s="2"/>
      <c r="H358" s="3"/>
      <c r="I358" s="3"/>
    </row>
    <row r="359">
      <c r="F359" s="2"/>
      <c r="G359" s="2"/>
      <c r="H359" s="3"/>
      <c r="I359" s="3"/>
    </row>
    <row r="360">
      <c r="F360" s="2"/>
      <c r="G360" s="2"/>
      <c r="H360" s="3"/>
      <c r="I360" s="3"/>
    </row>
    <row r="361">
      <c r="F361" s="2"/>
      <c r="G361" s="2"/>
      <c r="H361" s="3"/>
      <c r="I361" s="3"/>
    </row>
    <row r="362">
      <c r="F362" s="2"/>
      <c r="G362" s="2"/>
      <c r="H362" s="3"/>
      <c r="I362" s="3"/>
    </row>
    <row r="363">
      <c r="F363" s="2"/>
      <c r="G363" s="2"/>
      <c r="H363" s="3"/>
      <c r="I363" s="3"/>
    </row>
    <row r="364">
      <c r="F364" s="2"/>
      <c r="G364" s="2"/>
      <c r="H364" s="3"/>
      <c r="I364" s="3"/>
    </row>
    <row r="365">
      <c r="F365" s="2"/>
      <c r="G365" s="2"/>
      <c r="H365" s="3"/>
      <c r="I365" s="3"/>
    </row>
    <row r="366">
      <c r="F366" s="2"/>
      <c r="G366" s="2"/>
      <c r="H366" s="3"/>
      <c r="I366" s="3"/>
    </row>
    <row r="367">
      <c r="F367" s="2"/>
      <c r="G367" s="2"/>
      <c r="H367" s="3"/>
      <c r="I367" s="3"/>
    </row>
    <row r="368">
      <c r="F368" s="2"/>
      <c r="G368" s="2"/>
      <c r="H368" s="3"/>
      <c r="I368" s="3"/>
    </row>
    <row r="369">
      <c r="F369" s="2"/>
      <c r="G369" s="2"/>
      <c r="H369" s="3"/>
      <c r="I369" s="3"/>
    </row>
    <row r="370">
      <c r="F370" s="2"/>
      <c r="G370" s="2"/>
      <c r="H370" s="3"/>
      <c r="I370" s="3"/>
    </row>
    <row r="371">
      <c r="F371" s="2"/>
      <c r="G371" s="2"/>
      <c r="H371" s="3"/>
      <c r="I371" s="3"/>
    </row>
    <row r="372">
      <c r="F372" s="2"/>
      <c r="G372" s="2"/>
      <c r="H372" s="3"/>
      <c r="I372" s="3"/>
    </row>
    <row r="373">
      <c r="F373" s="2"/>
      <c r="G373" s="2"/>
      <c r="H373" s="3"/>
      <c r="I373" s="3"/>
    </row>
    <row r="374">
      <c r="F374" s="2"/>
      <c r="G374" s="2"/>
      <c r="H374" s="3"/>
      <c r="I374" s="3"/>
    </row>
    <row r="375">
      <c r="F375" s="2"/>
      <c r="G375" s="2"/>
      <c r="H375" s="3"/>
      <c r="I375" s="3"/>
    </row>
    <row r="376">
      <c r="F376" s="2"/>
      <c r="G376" s="2"/>
      <c r="H376" s="3"/>
      <c r="I376" s="3"/>
    </row>
    <row r="377">
      <c r="F377" s="2"/>
      <c r="G377" s="2"/>
      <c r="H377" s="3"/>
      <c r="I377" s="3"/>
    </row>
    <row r="378">
      <c r="F378" s="2"/>
      <c r="G378" s="2"/>
      <c r="H378" s="3"/>
      <c r="I378" s="3"/>
    </row>
    <row r="379">
      <c r="F379" s="2"/>
      <c r="G379" s="2"/>
      <c r="H379" s="3"/>
      <c r="I379" s="3"/>
    </row>
    <row r="380">
      <c r="F380" s="2"/>
      <c r="G380" s="2"/>
      <c r="H380" s="3"/>
      <c r="I380" s="3"/>
    </row>
    <row r="381">
      <c r="F381" s="2"/>
      <c r="G381" s="2"/>
      <c r="H381" s="3"/>
      <c r="I381" s="3"/>
    </row>
    <row r="382">
      <c r="F382" s="2"/>
      <c r="G382" s="2"/>
      <c r="H382" s="3"/>
      <c r="I382" s="3"/>
    </row>
    <row r="383">
      <c r="F383" s="2"/>
      <c r="G383" s="2"/>
      <c r="H383" s="3"/>
      <c r="I383" s="3"/>
    </row>
    <row r="384">
      <c r="F384" s="2"/>
      <c r="G384" s="2"/>
      <c r="H384" s="3"/>
      <c r="I384" s="3"/>
    </row>
    <row r="385">
      <c r="F385" s="2"/>
      <c r="G385" s="2"/>
      <c r="H385" s="3"/>
      <c r="I385" s="3"/>
    </row>
    <row r="386">
      <c r="F386" s="2"/>
      <c r="G386" s="2"/>
      <c r="H386" s="3"/>
      <c r="I386" s="3"/>
    </row>
    <row r="387">
      <c r="F387" s="2"/>
      <c r="G387" s="2"/>
      <c r="H387" s="3"/>
      <c r="I387" s="3"/>
    </row>
    <row r="388">
      <c r="F388" s="2"/>
      <c r="G388" s="2"/>
      <c r="H388" s="3"/>
      <c r="I388" s="3"/>
    </row>
    <row r="389">
      <c r="F389" s="2"/>
      <c r="G389" s="2"/>
      <c r="H389" s="3"/>
      <c r="I389" s="3"/>
    </row>
    <row r="390">
      <c r="F390" s="2"/>
      <c r="G390" s="2"/>
      <c r="H390" s="3"/>
      <c r="I390" s="3"/>
    </row>
    <row r="391">
      <c r="F391" s="2"/>
      <c r="G391" s="2"/>
      <c r="H391" s="3"/>
      <c r="I391" s="3"/>
    </row>
    <row r="392">
      <c r="F392" s="2"/>
      <c r="G392" s="2"/>
      <c r="H392" s="3"/>
      <c r="I392" s="3"/>
    </row>
    <row r="393">
      <c r="F393" s="2"/>
      <c r="G393" s="2"/>
      <c r="H393" s="3"/>
      <c r="I393" s="3"/>
    </row>
    <row r="394">
      <c r="F394" s="2"/>
      <c r="G394" s="2"/>
      <c r="H394" s="3"/>
      <c r="I394" s="3"/>
    </row>
    <row r="395">
      <c r="F395" s="2"/>
      <c r="G395" s="2"/>
      <c r="H395" s="3"/>
      <c r="I395" s="3"/>
    </row>
    <row r="396">
      <c r="F396" s="2"/>
      <c r="G396" s="2"/>
      <c r="H396" s="3"/>
      <c r="I396" s="3"/>
    </row>
    <row r="397">
      <c r="F397" s="2"/>
      <c r="G397" s="2"/>
      <c r="H397" s="3"/>
      <c r="I397" s="3"/>
    </row>
    <row r="398">
      <c r="F398" s="2"/>
      <c r="G398" s="2"/>
      <c r="H398" s="3"/>
      <c r="I398" s="3"/>
    </row>
    <row r="399">
      <c r="F399" s="2"/>
      <c r="G399" s="2"/>
      <c r="H399" s="3"/>
      <c r="I399" s="3"/>
    </row>
    <row r="400">
      <c r="F400" s="2"/>
      <c r="G400" s="2"/>
      <c r="H400" s="3"/>
      <c r="I400" s="3"/>
    </row>
    <row r="401">
      <c r="F401" s="2"/>
      <c r="G401" s="2"/>
      <c r="H401" s="3"/>
      <c r="I401" s="3"/>
    </row>
    <row r="402">
      <c r="F402" s="2"/>
      <c r="G402" s="2"/>
      <c r="H402" s="3"/>
      <c r="I402" s="3"/>
    </row>
    <row r="403">
      <c r="F403" s="2"/>
      <c r="G403" s="2"/>
      <c r="H403" s="3"/>
      <c r="I403" s="3"/>
    </row>
    <row r="404">
      <c r="F404" s="2"/>
      <c r="G404" s="2"/>
      <c r="H404" s="3"/>
      <c r="I404" s="3"/>
    </row>
    <row r="405">
      <c r="F405" s="2"/>
      <c r="G405" s="2"/>
      <c r="H405" s="3"/>
      <c r="I405" s="3"/>
    </row>
    <row r="406">
      <c r="F406" s="2"/>
      <c r="G406" s="2"/>
      <c r="H406" s="3"/>
      <c r="I406" s="3"/>
    </row>
    <row r="407">
      <c r="F407" s="2"/>
      <c r="G407" s="2"/>
      <c r="H407" s="3"/>
      <c r="I407" s="3"/>
    </row>
    <row r="408">
      <c r="F408" s="2"/>
      <c r="G408" s="2"/>
      <c r="H408" s="3"/>
      <c r="I408" s="3"/>
    </row>
    <row r="409">
      <c r="F409" s="2"/>
      <c r="G409" s="2"/>
      <c r="H409" s="3"/>
      <c r="I409" s="3"/>
    </row>
    <row r="410">
      <c r="F410" s="2"/>
      <c r="G410" s="2"/>
      <c r="H410" s="3"/>
      <c r="I410" s="3"/>
    </row>
    <row r="411">
      <c r="F411" s="2"/>
      <c r="G411" s="2"/>
      <c r="H411" s="3"/>
      <c r="I411" s="3"/>
    </row>
    <row r="412">
      <c r="F412" s="2"/>
      <c r="G412" s="2"/>
      <c r="H412" s="3"/>
      <c r="I412" s="3"/>
    </row>
    <row r="413">
      <c r="F413" s="2"/>
      <c r="G413" s="2"/>
      <c r="H413" s="3"/>
      <c r="I413" s="3"/>
    </row>
    <row r="414">
      <c r="F414" s="2"/>
      <c r="G414" s="2"/>
      <c r="H414" s="3"/>
      <c r="I414" s="3"/>
    </row>
    <row r="415">
      <c r="F415" s="2"/>
      <c r="G415" s="2"/>
      <c r="H415" s="3"/>
      <c r="I415" s="3"/>
    </row>
    <row r="416">
      <c r="F416" s="2"/>
      <c r="G416" s="2"/>
      <c r="H416" s="3"/>
      <c r="I416" s="3"/>
    </row>
    <row r="417">
      <c r="F417" s="2"/>
      <c r="G417" s="2"/>
      <c r="H417" s="3"/>
      <c r="I417" s="3"/>
    </row>
    <row r="418">
      <c r="F418" s="2"/>
      <c r="G418" s="2"/>
      <c r="H418" s="3"/>
      <c r="I418" s="3"/>
    </row>
    <row r="419">
      <c r="F419" s="2"/>
      <c r="G419" s="2"/>
      <c r="H419" s="3"/>
      <c r="I419" s="3"/>
    </row>
    <row r="420">
      <c r="F420" s="2"/>
      <c r="G420" s="2"/>
      <c r="H420" s="3"/>
      <c r="I420" s="3"/>
    </row>
    <row r="421">
      <c r="F421" s="2"/>
      <c r="G421" s="2"/>
      <c r="H421" s="3"/>
      <c r="I421" s="3"/>
    </row>
    <row r="422">
      <c r="F422" s="2"/>
      <c r="G422" s="2"/>
      <c r="H422" s="3"/>
      <c r="I422" s="3"/>
    </row>
    <row r="423">
      <c r="F423" s="2"/>
      <c r="G423" s="2"/>
      <c r="H423" s="3"/>
      <c r="I423" s="3"/>
    </row>
    <row r="424">
      <c r="F424" s="2"/>
      <c r="G424" s="2"/>
      <c r="H424" s="3"/>
      <c r="I424" s="3"/>
    </row>
    <row r="425">
      <c r="F425" s="2"/>
      <c r="G425" s="2"/>
      <c r="H425" s="3"/>
      <c r="I425" s="3"/>
    </row>
    <row r="426">
      <c r="F426" s="2"/>
      <c r="G426" s="2"/>
      <c r="H426" s="3"/>
      <c r="I426" s="3"/>
    </row>
    <row r="427">
      <c r="F427" s="2"/>
      <c r="G427" s="2"/>
      <c r="H427" s="3"/>
      <c r="I427" s="3"/>
    </row>
    <row r="428">
      <c r="F428" s="2"/>
      <c r="G428" s="2"/>
      <c r="H428" s="3"/>
      <c r="I428" s="3"/>
    </row>
    <row r="429">
      <c r="F429" s="2"/>
      <c r="G429" s="2"/>
      <c r="H429" s="3"/>
      <c r="I429" s="3"/>
    </row>
    <row r="430">
      <c r="F430" s="2"/>
      <c r="G430" s="2"/>
      <c r="H430" s="3"/>
      <c r="I430" s="3"/>
    </row>
    <row r="431">
      <c r="F431" s="2"/>
      <c r="G431" s="2"/>
      <c r="H431" s="3"/>
      <c r="I431" s="3"/>
    </row>
    <row r="432">
      <c r="F432" s="2"/>
      <c r="G432" s="2"/>
      <c r="H432" s="3"/>
      <c r="I432" s="3"/>
    </row>
    <row r="433">
      <c r="F433" s="2"/>
      <c r="G433" s="2"/>
      <c r="H433" s="3"/>
      <c r="I433" s="3"/>
    </row>
    <row r="434">
      <c r="F434" s="2"/>
      <c r="G434" s="2"/>
      <c r="H434" s="3"/>
      <c r="I434" s="3"/>
    </row>
    <row r="435">
      <c r="F435" s="2"/>
      <c r="G435" s="2"/>
      <c r="H435" s="3"/>
      <c r="I435" s="3"/>
    </row>
    <row r="436">
      <c r="F436" s="2"/>
      <c r="G436" s="2"/>
      <c r="H436" s="3"/>
      <c r="I436" s="3"/>
    </row>
    <row r="437">
      <c r="F437" s="2"/>
      <c r="G437" s="2"/>
      <c r="H437" s="3"/>
      <c r="I437" s="3"/>
    </row>
    <row r="438">
      <c r="F438" s="2"/>
      <c r="G438" s="2"/>
      <c r="H438" s="3"/>
      <c r="I438" s="3"/>
    </row>
    <row r="439">
      <c r="F439" s="2"/>
      <c r="G439" s="2"/>
      <c r="H439" s="3"/>
      <c r="I439" s="3"/>
    </row>
    <row r="440">
      <c r="F440" s="2"/>
      <c r="G440" s="2"/>
      <c r="H440" s="3"/>
      <c r="I440" s="3"/>
    </row>
    <row r="441">
      <c r="F441" s="2"/>
      <c r="G441" s="2"/>
      <c r="H441" s="3"/>
      <c r="I441" s="3"/>
    </row>
    <row r="442">
      <c r="F442" s="2"/>
      <c r="G442" s="2"/>
      <c r="H442" s="3"/>
      <c r="I442" s="3"/>
    </row>
    <row r="443">
      <c r="F443" s="2"/>
      <c r="G443" s="2"/>
      <c r="H443" s="3"/>
      <c r="I443" s="3"/>
    </row>
    <row r="444">
      <c r="F444" s="2"/>
      <c r="G444" s="2"/>
      <c r="H444" s="3"/>
      <c r="I444" s="3"/>
    </row>
    <row r="445">
      <c r="F445" s="2"/>
      <c r="G445" s="2"/>
      <c r="H445" s="3"/>
      <c r="I445" s="3"/>
    </row>
    <row r="446">
      <c r="F446" s="2"/>
      <c r="G446" s="2"/>
      <c r="H446" s="3"/>
      <c r="I446" s="3"/>
    </row>
    <row r="447">
      <c r="F447" s="2"/>
      <c r="G447" s="2"/>
      <c r="H447" s="3"/>
      <c r="I447" s="3"/>
    </row>
    <row r="448">
      <c r="F448" s="2"/>
      <c r="G448" s="2"/>
      <c r="H448" s="3"/>
      <c r="I448" s="3"/>
    </row>
    <row r="449">
      <c r="F449" s="2"/>
      <c r="G449" s="2"/>
      <c r="H449" s="3"/>
      <c r="I449" s="3"/>
    </row>
    <row r="450">
      <c r="F450" s="2"/>
      <c r="G450" s="2"/>
      <c r="H450" s="3"/>
      <c r="I450" s="3"/>
    </row>
    <row r="451">
      <c r="F451" s="2"/>
      <c r="G451" s="2"/>
      <c r="H451" s="3"/>
      <c r="I451" s="3"/>
    </row>
    <row r="452">
      <c r="F452" s="2"/>
      <c r="G452" s="2"/>
      <c r="H452" s="3"/>
      <c r="I452" s="3"/>
    </row>
    <row r="453">
      <c r="F453" s="2"/>
      <c r="G453" s="2"/>
      <c r="H453" s="3"/>
      <c r="I453" s="3"/>
    </row>
    <row r="454">
      <c r="F454" s="2"/>
      <c r="G454" s="2"/>
      <c r="H454" s="3"/>
      <c r="I454" s="3"/>
    </row>
    <row r="455">
      <c r="F455" s="2"/>
      <c r="G455" s="2"/>
      <c r="H455" s="3"/>
      <c r="I455" s="3"/>
    </row>
    <row r="456">
      <c r="F456" s="2"/>
      <c r="G456" s="2"/>
      <c r="H456" s="3"/>
      <c r="I456" s="3"/>
    </row>
    <row r="457">
      <c r="F457" s="2"/>
      <c r="G457" s="2"/>
      <c r="H457" s="3"/>
      <c r="I457" s="3"/>
    </row>
    <row r="458">
      <c r="F458" s="2"/>
      <c r="G458" s="2"/>
      <c r="H458" s="3"/>
      <c r="I458" s="3"/>
    </row>
    <row r="459">
      <c r="F459" s="2"/>
      <c r="G459" s="2"/>
      <c r="H459" s="3"/>
      <c r="I459" s="3"/>
    </row>
    <row r="460">
      <c r="F460" s="2"/>
      <c r="G460" s="2"/>
      <c r="H460" s="3"/>
      <c r="I460" s="3"/>
    </row>
    <row r="461">
      <c r="F461" s="2"/>
      <c r="G461" s="2"/>
      <c r="H461" s="3"/>
      <c r="I461" s="3"/>
    </row>
    <row r="462">
      <c r="F462" s="2"/>
      <c r="G462" s="2"/>
      <c r="H462" s="3"/>
      <c r="I462" s="3"/>
    </row>
    <row r="463">
      <c r="F463" s="2"/>
      <c r="G463" s="2"/>
      <c r="H463" s="3"/>
      <c r="I463" s="3"/>
    </row>
    <row r="464">
      <c r="F464" s="2"/>
      <c r="G464" s="2"/>
      <c r="H464" s="3"/>
      <c r="I464" s="3"/>
    </row>
    <row r="465">
      <c r="F465" s="2"/>
      <c r="G465" s="2"/>
      <c r="H465" s="3"/>
      <c r="I465" s="3"/>
    </row>
    <row r="466">
      <c r="F466" s="2"/>
      <c r="G466" s="2"/>
      <c r="H466" s="3"/>
      <c r="I466" s="3"/>
    </row>
    <row r="467">
      <c r="F467" s="2"/>
      <c r="G467" s="2"/>
      <c r="H467" s="3"/>
      <c r="I467" s="3"/>
    </row>
    <row r="468">
      <c r="F468" s="2"/>
      <c r="G468" s="2"/>
      <c r="H468" s="3"/>
      <c r="I468" s="3"/>
    </row>
    <row r="469">
      <c r="F469" s="2"/>
      <c r="G469" s="2"/>
      <c r="H469" s="3"/>
      <c r="I469" s="3"/>
    </row>
    <row r="470">
      <c r="F470" s="2"/>
      <c r="G470" s="2"/>
      <c r="H470" s="3"/>
      <c r="I470" s="3"/>
    </row>
    <row r="471">
      <c r="F471" s="2"/>
      <c r="G471" s="2"/>
      <c r="H471" s="3"/>
      <c r="I471" s="3"/>
    </row>
    <row r="472">
      <c r="F472" s="2"/>
      <c r="G472" s="2"/>
      <c r="H472" s="3"/>
      <c r="I472" s="3"/>
    </row>
    <row r="473">
      <c r="F473" s="2"/>
      <c r="G473" s="2"/>
      <c r="H473" s="3"/>
      <c r="I473" s="3"/>
    </row>
    <row r="474">
      <c r="F474" s="2"/>
      <c r="G474" s="2"/>
      <c r="H474" s="3"/>
      <c r="I474" s="3"/>
    </row>
    <row r="475">
      <c r="F475" s="2"/>
      <c r="G475" s="2"/>
      <c r="H475" s="3"/>
      <c r="I475" s="3"/>
    </row>
    <row r="476">
      <c r="F476" s="2"/>
      <c r="G476" s="2"/>
      <c r="H476" s="3"/>
      <c r="I476" s="3"/>
    </row>
    <row r="477">
      <c r="F477" s="2"/>
      <c r="G477" s="2"/>
      <c r="H477" s="3"/>
      <c r="I477" s="3"/>
    </row>
    <row r="478">
      <c r="F478" s="2"/>
      <c r="G478" s="2"/>
      <c r="H478" s="3"/>
      <c r="I478" s="3"/>
    </row>
    <row r="479">
      <c r="F479" s="2"/>
      <c r="G479" s="2"/>
      <c r="H479" s="3"/>
      <c r="I479" s="3"/>
    </row>
    <row r="480">
      <c r="F480" s="2"/>
      <c r="G480" s="2"/>
      <c r="H480" s="3"/>
      <c r="I480" s="3"/>
    </row>
    <row r="481">
      <c r="F481" s="2"/>
      <c r="G481" s="2"/>
      <c r="H481" s="3"/>
      <c r="I481" s="3"/>
    </row>
    <row r="482">
      <c r="F482" s="2"/>
      <c r="G482" s="2"/>
      <c r="H482" s="3"/>
      <c r="I482" s="3"/>
    </row>
    <row r="483">
      <c r="F483" s="2"/>
      <c r="G483" s="2"/>
      <c r="H483" s="3"/>
      <c r="I483" s="3"/>
    </row>
    <row r="484">
      <c r="F484" s="2"/>
      <c r="G484" s="2"/>
      <c r="H484" s="3"/>
      <c r="I484" s="3"/>
    </row>
    <row r="485">
      <c r="F485" s="2"/>
      <c r="G485" s="2"/>
      <c r="H485" s="3"/>
      <c r="I485" s="3"/>
    </row>
    <row r="486">
      <c r="F486" s="2"/>
      <c r="G486" s="2"/>
      <c r="H486" s="3"/>
      <c r="I486" s="3"/>
    </row>
    <row r="487">
      <c r="F487" s="2"/>
      <c r="G487" s="2"/>
      <c r="H487" s="3"/>
      <c r="I487" s="3"/>
    </row>
    <row r="488">
      <c r="F488" s="2"/>
      <c r="G488" s="2"/>
      <c r="H488" s="3"/>
      <c r="I488" s="3"/>
    </row>
    <row r="489">
      <c r="F489" s="2"/>
      <c r="G489" s="2"/>
      <c r="H489" s="3"/>
      <c r="I489" s="3"/>
    </row>
    <row r="490">
      <c r="F490" s="2"/>
      <c r="G490" s="2"/>
      <c r="H490" s="3"/>
      <c r="I490" s="3"/>
    </row>
    <row r="491">
      <c r="F491" s="2"/>
      <c r="G491" s="2"/>
      <c r="H491" s="3"/>
      <c r="I491" s="3"/>
    </row>
    <row r="492">
      <c r="F492" s="2"/>
      <c r="G492" s="2"/>
      <c r="H492" s="3"/>
      <c r="I492" s="3"/>
    </row>
    <row r="493">
      <c r="F493" s="2"/>
      <c r="G493" s="2"/>
      <c r="H493" s="3"/>
      <c r="I493" s="3"/>
    </row>
    <row r="494">
      <c r="F494" s="2"/>
      <c r="G494" s="2"/>
      <c r="H494" s="3"/>
      <c r="I494" s="3"/>
    </row>
    <row r="495">
      <c r="F495" s="2"/>
      <c r="G495" s="2"/>
      <c r="H495" s="3"/>
      <c r="I495" s="3"/>
    </row>
    <row r="496">
      <c r="F496" s="2"/>
      <c r="G496" s="2"/>
      <c r="H496" s="3"/>
      <c r="I496" s="3"/>
    </row>
    <row r="497">
      <c r="F497" s="2"/>
      <c r="G497" s="2"/>
      <c r="H497" s="3"/>
      <c r="I497" s="3"/>
    </row>
    <row r="498">
      <c r="F498" s="2"/>
      <c r="G498" s="2"/>
      <c r="H498" s="3"/>
      <c r="I498" s="3"/>
    </row>
    <row r="499">
      <c r="F499" s="2"/>
      <c r="G499" s="2"/>
      <c r="H499" s="3"/>
      <c r="I499" s="3"/>
    </row>
    <row r="500">
      <c r="F500" s="2"/>
      <c r="G500" s="2"/>
      <c r="H500" s="3"/>
      <c r="I500" s="3"/>
    </row>
    <row r="501">
      <c r="F501" s="2"/>
      <c r="G501" s="2"/>
      <c r="H501" s="3"/>
      <c r="I501" s="3"/>
    </row>
    <row r="502">
      <c r="F502" s="2"/>
      <c r="G502" s="2"/>
      <c r="H502" s="3"/>
      <c r="I502" s="3"/>
    </row>
    <row r="503">
      <c r="F503" s="2"/>
      <c r="G503" s="2"/>
      <c r="H503" s="3"/>
      <c r="I503" s="3"/>
    </row>
    <row r="504">
      <c r="F504" s="2"/>
      <c r="G504" s="2"/>
      <c r="H504" s="3"/>
      <c r="I504" s="3"/>
    </row>
    <row r="505">
      <c r="F505" s="2"/>
      <c r="G505" s="2"/>
      <c r="H505" s="3"/>
      <c r="I505" s="3"/>
    </row>
    <row r="506">
      <c r="F506" s="2"/>
      <c r="G506" s="2"/>
      <c r="H506" s="3"/>
      <c r="I506" s="3"/>
    </row>
    <row r="507">
      <c r="F507" s="2"/>
      <c r="G507" s="2"/>
      <c r="H507" s="3"/>
      <c r="I507" s="3"/>
    </row>
    <row r="508">
      <c r="F508" s="2"/>
      <c r="G508" s="2"/>
      <c r="H508" s="3"/>
      <c r="I508" s="3"/>
    </row>
    <row r="509">
      <c r="F509" s="2"/>
      <c r="G509" s="2"/>
      <c r="H509" s="3"/>
      <c r="I509" s="3"/>
    </row>
    <row r="510">
      <c r="F510" s="2"/>
      <c r="G510" s="2"/>
      <c r="H510" s="3"/>
      <c r="I510" s="3"/>
    </row>
    <row r="511">
      <c r="F511" s="2"/>
      <c r="G511" s="2"/>
      <c r="H511" s="3"/>
      <c r="I511" s="3"/>
    </row>
    <row r="512">
      <c r="F512" s="2"/>
      <c r="G512" s="2"/>
      <c r="H512" s="3"/>
      <c r="I512" s="3"/>
    </row>
    <row r="513">
      <c r="F513" s="2"/>
      <c r="G513" s="2"/>
      <c r="H513" s="3"/>
      <c r="I513" s="3"/>
    </row>
    <row r="514">
      <c r="F514" s="2"/>
      <c r="G514" s="2"/>
      <c r="H514" s="3"/>
      <c r="I514" s="3"/>
    </row>
    <row r="515">
      <c r="F515" s="2"/>
      <c r="G515" s="2"/>
      <c r="H515" s="3"/>
      <c r="I515" s="3"/>
    </row>
    <row r="516">
      <c r="F516" s="2"/>
      <c r="G516" s="2"/>
      <c r="H516" s="3"/>
      <c r="I516" s="3"/>
    </row>
    <row r="517">
      <c r="F517" s="2"/>
      <c r="G517" s="2"/>
      <c r="H517" s="3"/>
      <c r="I517" s="3"/>
    </row>
    <row r="518">
      <c r="F518" s="2"/>
      <c r="G518" s="2"/>
      <c r="H518" s="3"/>
      <c r="I518" s="3"/>
    </row>
    <row r="519">
      <c r="F519" s="2"/>
      <c r="G519" s="2"/>
      <c r="H519" s="3"/>
      <c r="I519" s="3"/>
    </row>
    <row r="520">
      <c r="F520" s="2"/>
      <c r="G520" s="2"/>
      <c r="H520" s="3"/>
      <c r="I520" s="3"/>
    </row>
    <row r="521">
      <c r="F521" s="2"/>
      <c r="G521" s="2"/>
      <c r="H521" s="3"/>
      <c r="I521" s="3"/>
    </row>
    <row r="522">
      <c r="F522" s="2"/>
      <c r="G522" s="2"/>
      <c r="H522" s="3"/>
      <c r="I522" s="3"/>
    </row>
    <row r="523">
      <c r="F523" s="2"/>
      <c r="G523" s="2"/>
      <c r="H523" s="3"/>
      <c r="I523" s="3"/>
    </row>
    <row r="524">
      <c r="F524" s="2"/>
      <c r="G524" s="2"/>
      <c r="H524" s="3"/>
      <c r="I524" s="3"/>
    </row>
    <row r="525">
      <c r="F525" s="2"/>
      <c r="G525" s="2"/>
      <c r="H525" s="3"/>
      <c r="I525" s="3"/>
    </row>
    <row r="526">
      <c r="F526" s="2"/>
      <c r="G526" s="2"/>
      <c r="H526" s="3"/>
      <c r="I526" s="3"/>
    </row>
    <row r="527">
      <c r="F527" s="2"/>
      <c r="G527" s="2"/>
      <c r="H527" s="3"/>
      <c r="I527" s="3"/>
    </row>
    <row r="528">
      <c r="F528" s="2"/>
      <c r="G528" s="2"/>
      <c r="H528" s="3"/>
      <c r="I528" s="3"/>
    </row>
    <row r="529">
      <c r="F529" s="2"/>
      <c r="G529" s="2"/>
      <c r="H529" s="3"/>
      <c r="I529" s="3"/>
    </row>
    <row r="530">
      <c r="F530" s="2"/>
      <c r="G530" s="2"/>
      <c r="H530" s="3"/>
      <c r="I530" s="3"/>
    </row>
    <row r="531">
      <c r="F531" s="2"/>
      <c r="G531" s="2"/>
      <c r="H531" s="3"/>
      <c r="I531" s="3"/>
    </row>
    <row r="532">
      <c r="F532" s="2"/>
      <c r="G532" s="2"/>
      <c r="H532" s="3"/>
      <c r="I532" s="3"/>
    </row>
    <row r="533">
      <c r="F533" s="2"/>
      <c r="G533" s="2"/>
      <c r="H533" s="3"/>
      <c r="I533" s="3"/>
    </row>
    <row r="534">
      <c r="F534" s="2"/>
      <c r="G534" s="2"/>
      <c r="H534" s="3"/>
      <c r="I534" s="3"/>
    </row>
    <row r="535">
      <c r="F535" s="2"/>
      <c r="G535" s="2"/>
      <c r="H535" s="3"/>
      <c r="I535" s="3"/>
    </row>
    <row r="536">
      <c r="F536" s="2"/>
      <c r="G536" s="2"/>
      <c r="H536" s="3"/>
      <c r="I536" s="3"/>
    </row>
    <row r="537">
      <c r="F537" s="2"/>
      <c r="G537" s="2"/>
      <c r="H537" s="3"/>
      <c r="I537" s="3"/>
    </row>
    <row r="538">
      <c r="F538" s="2"/>
      <c r="G538" s="2"/>
      <c r="H538" s="3"/>
      <c r="I538" s="3"/>
    </row>
    <row r="539">
      <c r="F539" s="2"/>
      <c r="G539" s="2"/>
      <c r="H539" s="3"/>
      <c r="I539" s="3"/>
    </row>
    <row r="540">
      <c r="F540" s="2"/>
      <c r="G540" s="2"/>
      <c r="H540" s="3"/>
      <c r="I540" s="3"/>
    </row>
    <row r="541">
      <c r="F541" s="2"/>
      <c r="G541" s="2"/>
      <c r="H541" s="3"/>
      <c r="I541" s="3"/>
    </row>
    <row r="542">
      <c r="F542" s="2"/>
      <c r="G542" s="2"/>
      <c r="H542" s="3"/>
      <c r="I542" s="3"/>
    </row>
    <row r="543">
      <c r="F543" s="2"/>
      <c r="G543" s="2"/>
      <c r="H543" s="3"/>
      <c r="I543" s="3"/>
    </row>
    <row r="544">
      <c r="F544" s="2"/>
      <c r="G544" s="2"/>
      <c r="H544" s="3"/>
      <c r="I544" s="3"/>
    </row>
    <row r="545">
      <c r="F545" s="2"/>
      <c r="G545" s="2"/>
      <c r="H545" s="3"/>
      <c r="I545" s="3"/>
    </row>
    <row r="546">
      <c r="F546" s="2"/>
      <c r="G546" s="2"/>
      <c r="H546" s="3"/>
      <c r="I546" s="3"/>
    </row>
    <row r="547">
      <c r="F547" s="2"/>
      <c r="G547" s="2"/>
      <c r="H547" s="3"/>
      <c r="I547" s="3"/>
    </row>
    <row r="548">
      <c r="F548" s="2"/>
      <c r="G548" s="2"/>
      <c r="H548" s="3"/>
      <c r="I548" s="3"/>
    </row>
    <row r="549">
      <c r="F549" s="2"/>
      <c r="G549" s="2"/>
      <c r="H549" s="3"/>
      <c r="I549" s="3"/>
    </row>
    <row r="550">
      <c r="F550" s="2"/>
      <c r="G550" s="2"/>
      <c r="H550" s="3"/>
      <c r="I550" s="3"/>
    </row>
    <row r="551">
      <c r="F551" s="2"/>
      <c r="G551" s="2"/>
      <c r="H551" s="3"/>
      <c r="I551" s="3"/>
    </row>
    <row r="552">
      <c r="F552" s="2"/>
      <c r="G552" s="2"/>
      <c r="H552" s="3"/>
      <c r="I552" s="3"/>
    </row>
    <row r="553">
      <c r="F553" s="2"/>
      <c r="G553" s="2"/>
      <c r="H553" s="3"/>
      <c r="I553" s="3"/>
    </row>
    <row r="554">
      <c r="F554" s="2"/>
      <c r="G554" s="2"/>
      <c r="H554" s="3"/>
      <c r="I554" s="3"/>
    </row>
    <row r="555">
      <c r="F555" s="2"/>
      <c r="G555" s="2"/>
      <c r="H555" s="3"/>
      <c r="I555" s="3"/>
    </row>
    <row r="556">
      <c r="F556" s="2"/>
      <c r="G556" s="2"/>
      <c r="H556" s="3"/>
      <c r="I556" s="3"/>
    </row>
    <row r="557">
      <c r="F557" s="2"/>
      <c r="G557" s="2"/>
      <c r="H557" s="3"/>
      <c r="I557" s="3"/>
    </row>
    <row r="558">
      <c r="F558" s="2"/>
      <c r="G558" s="2"/>
      <c r="H558" s="3"/>
      <c r="I558" s="3"/>
    </row>
    <row r="559">
      <c r="F559" s="2"/>
      <c r="G559" s="2"/>
      <c r="H559" s="3"/>
      <c r="I559" s="3"/>
    </row>
    <row r="560">
      <c r="F560" s="2"/>
      <c r="G560" s="2"/>
      <c r="H560" s="3"/>
      <c r="I560" s="3"/>
    </row>
    <row r="561">
      <c r="F561" s="2"/>
      <c r="G561" s="2"/>
      <c r="H561" s="3"/>
      <c r="I561" s="3"/>
    </row>
    <row r="562">
      <c r="F562" s="2"/>
      <c r="G562" s="2"/>
      <c r="H562" s="3"/>
      <c r="I562" s="3"/>
    </row>
    <row r="563">
      <c r="F563" s="2"/>
      <c r="G563" s="2"/>
      <c r="H563" s="3"/>
      <c r="I563" s="3"/>
    </row>
    <row r="564">
      <c r="F564" s="2"/>
      <c r="G564" s="2"/>
      <c r="H564" s="3"/>
      <c r="I564" s="3"/>
    </row>
    <row r="565">
      <c r="F565" s="2"/>
      <c r="G565" s="2"/>
      <c r="H565" s="3"/>
      <c r="I565" s="3"/>
    </row>
    <row r="566">
      <c r="F566" s="2"/>
      <c r="G566" s="2"/>
      <c r="H566" s="3"/>
      <c r="I566" s="3"/>
    </row>
    <row r="567">
      <c r="F567" s="2"/>
      <c r="G567" s="2"/>
      <c r="H567" s="3"/>
      <c r="I567" s="3"/>
    </row>
    <row r="568">
      <c r="F568" s="2"/>
      <c r="G568" s="2"/>
      <c r="H568" s="3"/>
      <c r="I568" s="3"/>
    </row>
    <row r="569">
      <c r="F569" s="2"/>
      <c r="G569" s="2"/>
      <c r="H569" s="3"/>
      <c r="I569" s="3"/>
    </row>
    <row r="570">
      <c r="F570" s="2"/>
      <c r="G570" s="2"/>
      <c r="H570" s="3"/>
      <c r="I570" s="3"/>
    </row>
    <row r="571">
      <c r="F571" s="2"/>
      <c r="G571" s="2"/>
      <c r="H571" s="3"/>
      <c r="I571" s="3"/>
    </row>
    <row r="572">
      <c r="F572" s="2"/>
      <c r="G572" s="2"/>
      <c r="H572" s="3"/>
      <c r="I572" s="3"/>
    </row>
    <row r="573">
      <c r="F573" s="2"/>
      <c r="G573" s="2"/>
      <c r="H573" s="3"/>
      <c r="I573" s="3"/>
    </row>
    <row r="574">
      <c r="F574" s="2"/>
      <c r="G574" s="2"/>
      <c r="H574" s="3"/>
      <c r="I574" s="3"/>
    </row>
    <row r="575">
      <c r="F575" s="2"/>
      <c r="G575" s="2"/>
      <c r="H575" s="3"/>
      <c r="I575" s="3"/>
    </row>
    <row r="576">
      <c r="F576" s="2"/>
      <c r="G576" s="2"/>
      <c r="H576" s="3"/>
      <c r="I576" s="3"/>
    </row>
    <row r="577">
      <c r="F577" s="2"/>
      <c r="G577" s="2"/>
      <c r="H577" s="3"/>
      <c r="I577" s="3"/>
    </row>
    <row r="578">
      <c r="F578" s="2"/>
      <c r="G578" s="2"/>
      <c r="H578" s="3"/>
      <c r="I578" s="3"/>
    </row>
    <row r="579">
      <c r="F579" s="2"/>
      <c r="G579" s="2"/>
      <c r="H579" s="3"/>
      <c r="I579" s="3"/>
    </row>
    <row r="580">
      <c r="F580" s="2"/>
      <c r="G580" s="2"/>
      <c r="H580" s="3"/>
      <c r="I580" s="3"/>
    </row>
    <row r="581">
      <c r="F581" s="2"/>
      <c r="G581" s="2"/>
      <c r="H581" s="3"/>
      <c r="I581" s="3"/>
    </row>
    <row r="582">
      <c r="F582" s="2"/>
      <c r="G582" s="2"/>
      <c r="H582" s="3"/>
      <c r="I582" s="3"/>
    </row>
    <row r="583">
      <c r="F583" s="2"/>
      <c r="G583" s="2"/>
      <c r="H583" s="3"/>
      <c r="I583" s="3"/>
    </row>
    <row r="584">
      <c r="F584" s="2"/>
      <c r="G584" s="2"/>
      <c r="H584" s="3"/>
      <c r="I584" s="3"/>
    </row>
    <row r="585">
      <c r="F585" s="2"/>
      <c r="G585" s="2"/>
      <c r="H585" s="3"/>
      <c r="I585" s="3"/>
    </row>
    <row r="586">
      <c r="F586" s="2"/>
      <c r="G586" s="2"/>
      <c r="H586" s="3"/>
      <c r="I586" s="3"/>
    </row>
    <row r="587">
      <c r="F587" s="2"/>
      <c r="G587" s="2"/>
      <c r="H587" s="3"/>
      <c r="I587" s="3"/>
    </row>
    <row r="588">
      <c r="F588" s="2"/>
      <c r="G588" s="2"/>
      <c r="H588" s="3"/>
      <c r="I588" s="3"/>
    </row>
    <row r="589">
      <c r="F589" s="2"/>
      <c r="G589" s="2"/>
      <c r="H589" s="3"/>
      <c r="I589" s="3"/>
    </row>
    <row r="590">
      <c r="F590" s="2"/>
      <c r="G590" s="2"/>
      <c r="H590" s="3"/>
      <c r="I590" s="3"/>
    </row>
    <row r="591">
      <c r="F591" s="2"/>
      <c r="G591" s="2"/>
      <c r="H591" s="3"/>
      <c r="I591" s="3"/>
    </row>
    <row r="592">
      <c r="F592" s="2"/>
      <c r="G592" s="2"/>
      <c r="H592" s="3"/>
      <c r="I592" s="3"/>
    </row>
    <row r="593">
      <c r="F593" s="2"/>
      <c r="G593" s="2"/>
      <c r="H593" s="3"/>
      <c r="I593" s="3"/>
    </row>
    <row r="594">
      <c r="F594" s="2"/>
      <c r="G594" s="2"/>
      <c r="H594" s="3"/>
      <c r="I594" s="3"/>
    </row>
    <row r="595">
      <c r="F595" s="2"/>
      <c r="G595" s="2"/>
      <c r="H595" s="3"/>
      <c r="I595" s="3"/>
    </row>
    <row r="596">
      <c r="F596" s="2"/>
      <c r="G596" s="2"/>
      <c r="H596" s="3"/>
      <c r="I596" s="3"/>
    </row>
    <row r="597">
      <c r="F597" s="2"/>
      <c r="G597" s="2"/>
      <c r="H597" s="3"/>
      <c r="I597" s="3"/>
    </row>
    <row r="598">
      <c r="F598" s="2"/>
      <c r="G598" s="2"/>
      <c r="H598" s="3"/>
      <c r="I598" s="3"/>
    </row>
    <row r="599">
      <c r="F599" s="2"/>
      <c r="G599" s="2"/>
      <c r="H599" s="3"/>
      <c r="I599" s="3"/>
    </row>
    <row r="600">
      <c r="F600" s="2"/>
      <c r="G600" s="2"/>
      <c r="H600" s="3"/>
      <c r="I600" s="3"/>
    </row>
    <row r="601">
      <c r="F601" s="2"/>
      <c r="G601" s="2"/>
      <c r="H601" s="3"/>
      <c r="I601" s="3"/>
    </row>
    <row r="602">
      <c r="F602" s="2"/>
      <c r="G602" s="2"/>
      <c r="H602" s="3"/>
      <c r="I602" s="3"/>
    </row>
    <row r="603">
      <c r="F603" s="2"/>
      <c r="G603" s="2"/>
      <c r="H603" s="3"/>
      <c r="I603" s="3"/>
    </row>
    <row r="604">
      <c r="F604" s="2"/>
      <c r="G604" s="2"/>
      <c r="H604" s="3"/>
      <c r="I604" s="3"/>
    </row>
    <row r="605">
      <c r="F605" s="2"/>
      <c r="G605" s="2"/>
      <c r="H605" s="3"/>
      <c r="I605" s="3"/>
    </row>
    <row r="606">
      <c r="F606" s="2"/>
      <c r="G606" s="2"/>
      <c r="H606" s="3"/>
      <c r="I606" s="3"/>
    </row>
    <row r="607">
      <c r="F607" s="2"/>
      <c r="G607" s="2"/>
      <c r="H607" s="3"/>
      <c r="I607" s="3"/>
    </row>
    <row r="608">
      <c r="F608" s="2"/>
      <c r="G608" s="2"/>
      <c r="H608" s="3"/>
      <c r="I608" s="3"/>
    </row>
    <row r="609">
      <c r="F609" s="2"/>
      <c r="G609" s="2"/>
      <c r="H609" s="3"/>
      <c r="I609" s="3"/>
    </row>
    <row r="610">
      <c r="F610" s="2"/>
      <c r="G610" s="2"/>
      <c r="H610" s="3"/>
      <c r="I610" s="3"/>
    </row>
    <row r="611">
      <c r="F611" s="2"/>
      <c r="G611" s="2"/>
      <c r="H611" s="3"/>
      <c r="I611" s="3"/>
    </row>
    <row r="612">
      <c r="F612" s="2"/>
      <c r="G612" s="2"/>
      <c r="H612" s="3"/>
      <c r="I612" s="3"/>
    </row>
    <row r="613">
      <c r="F613" s="2"/>
      <c r="G613" s="2"/>
      <c r="H613" s="3"/>
      <c r="I613" s="3"/>
    </row>
    <row r="614">
      <c r="F614" s="2"/>
      <c r="G614" s="2"/>
      <c r="H614" s="3"/>
      <c r="I614" s="3"/>
    </row>
    <row r="615">
      <c r="F615" s="2"/>
      <c r="G615" s="2"/>
      <c r="H615" s="3"/>
      <c r="I615" s="3"/>
    </row>
    <row r="616">
      <c r="F616" s="2"/>
      <c r="G616" s="2"/>
      <c r="H616" s="3"/>
      <c r="I616" s="3"/>
    </row>
    <row r="617">
      <c r="F617" s="2"/>
      <c r="G617" s="2"/>
      <c r="H617" s="3"/>
      <c r="I617" s="3"/>
    </row>
    <row r="618">
      <c r="F618" s="2"/>
      <c r="G618" s="2"/>
      <c r="H618" s="3"/>
      <c r="I618" s="3"/>
    </row>
    <row r="619">
      <c r="F619" s="2"/>
      <c r="G619" s="2"/>
      <c r="H619" s="3"/>
      <c r="I619" s="3"/>
    </row>
    <row r="620">
      <c r="F620" s="2"/>
      <c r="G620" s="2"/>
      <c r="H620" s="3"/>
      <c r="I620" s="3"/>
    </row>
    <row r="621">
      <c r="F621" s="2"/>
      <c r="G621" s="2"/>
      <c r="H621" s="3"/>
      <c r="I621" s="3"/>
    </row>
    <row r="622">
      <c r="F622" s="2"/>
      <c r="G622" s="2"/>
      <c r="H622" s="3"/>
      <c r="I622" s="3"/>
    </row>
    <row r="623">
      <c r="F623" s="2"/>
      <c r="G623" s="2"/>
      <c r="H623" s="3"/>
      <c r="I623" s="3"/>
    </row>
    <row r="624">
      <c r="F624" s="2"/>
      <c r="G624" s="2"/>
      <c r="H624" s="3"/>
      <c r="I624" s="3"/>
    </row>
    <row r="625">
      <c r="F625" s="2"/>
      <c r="G625" s="2"/>
      <c r="H625" s="3"/>
      <c r="I625" s="3"/>
    </row>
    <row r="626">
      <c r="F626" s="2"/>
      <c r="G626" s="2"/>
      <c r="H626" s="3"/>
      <c r="I626" s="3"/>
    </row>
    <row r="627">
      <c r="F627" s="2"/>
      <c r="G627" s="2"/>
      <c r="H627" s="3"/>
      <c r="I627" s="3"/>
    </row>
    <row r="628">
      <c r="F628" s="2"/>
      <c r="G628" s="2"/>
      <c r="H628" s="3"/>
      <c r="I628" s="3"/>
    </row>
    <row r="629">
      <c r="F629" s="2"/>
      <c r="G629" s="2"/>
      <c r="H629" s="3"/>
      <c r="I629" s="3"/>
    </row>
    <row r="630">
      <c r="F630" s="2"/>
      <c r="G630" s="2"/>
      <c r="H630" s="3"/>
      <c r="I630" s="3"/>
    </row>
    <row r="631">
      <c r="F631" s="2"/>
      <c r="G631" s="2"/>
      <c r="H631" s="3"/>
      <c r="I631" s="3"/>
    </row>
    <row r="632">
      <c r="F632" s="2"/>
      <c r="G632" s="2"/>
      <c r="H632" s="3"/>
      <c r="I632" s="3"/>
    </row>
    <row r="633">
      <c r="F633" s="2"/>
      <c r="G633" s="2"/>
      <c r="H633" s="3"/>
      <c r="I633" s="3"/>
    </row>
    <row r="634">
      <c r="F634" s="2"/>
      <c r="G634" s="2"/>
      <c r="H634" s="3"/>
      <c r="I634" s="3"/>
    </row>
    <row r="635">
      <c r="F635" s="2"/>
      <c r="G635" s="2"/>
      <c r="H635" s="3"/>
      <c r="I635" s="3"/>
    </row>
    <row r="636">
      <c r="F636" s="2"/>
      <c r="G636" s="2"/>
      <c r="H636" s="3"/>
      <c r="I636" s="3"/>
    </row>
    <row r="637">
      <c r="F637" s="2"/>
      <c r="G637" s="2"/>
      <c r="H637" s="3"/>
      <c r="I637" s="3"/>
    </row>
    <row r="638">
      <c r="F638" s="2"/>
      <c r="G638" s="2"/>
      <c r="H638" s="3"/>
      <c r="I638" s="3"/>
    </row>
    <row r="639">
      <c r="F639" s="2"/>
      <c r="G639" s="2"/>
      <c r="H639" s="3"/>
      <c r="I639" s="3"/>
    </row>
    <row r="640">
      <c r="F640" s="2"/>
      <c r="G640" s="2"/>
      <c r="H640" s="3"/>
      <c r="I640" s="3"/>
    </row>
    <row r="641">
      <c r="F641" s="2"/>
      <c r="G641" s="2"/>
      <c r="H641" s="3"/>
      <c r="I641" s="3"/>
    </row>
    <row r="642">
      <c r="F642" s="2"/>
      <c r="G642" s="2"/>
      <c r="H642" s="3"/>
      <c r="I642" s="3"/>
    </row>
    <row r="643">
      <c r="F643" s="2"/>
      <c r="G643" s="2"/>
      <c r="H643" s="3"/>
      <c r="I643" s="3"/>
    </row>
    <row r="644">
      <c r="F644" s="2"/>
      <c r="G644" s="2"/>
      <c r="H644" s="3"/>
      <c r="I644" s="3"/>
    </row>
    <row r="645">
      <c r="F645" s="2"/>
      <c r="G645" s="2"/>
      <c r="H645" s="3"/>
      <c r="I645" s="3"/>
    </row>
    <row r="646">
      <c r="F646" s="2"/>
      <c r="G646" s="2"/>
      <c r="H646" s="3"/>
      <c r="I646" s="3"/>
    </row>
    <row r="647">
      <c r="F647" s="2"/>
      <c r="G647" s="2"/>
      <c r="H647" s="3"/>
      <c r="I647" s="3"/>
    </row>
    <row r="648">
      <c r="F648" s="2"/>
      <c r="G648" s="2"/>
      <c r="H648" s="3"/>
      <c r="I648" s="3"/>
    </row>
    <row r="649">
      <c r="F649" s="2"/>
      <c r="G649" s="2"/>
      <c r="H649" s="3"/>
      <c r="I649" s="3"/>
    </row>
    <row r="650">
      <c r="F650" s="2"/>
      <c r="G650" s="2"/>
      <c r="H650" s="3"/>
      <c r="I650" s="3"/>
    </row>
    <row r="651">
      <c r="F651" s="2"/>
      <c r="G651" s="2"/>
      <c r="H651" s="3"/>
      <c r="I651" s="3"/>
    </row>
    <row r="652">
      <c r="F652" s="2"/>
      <c r="G652" s="2"/>
      <c r="H652" s="3"/>
      <c r="I652" s="3"/>
    </row>
    <row r="653">
      <c r="F653" s="2"/>
      <c r="G653" s="2"/>
      <c r="H653" s="3"/>
      <c r="I653" s="3"/>
    </row>
    <row r="654">
      <c r="F654" s="2"/>
      <c r="G654" s="2"/>
      <c r="H654" s="3"/>
      <c r="I654" s="3"/>
    </row>
    <row r="655">
      <c r="F655" s="2"/>
      <c r="G655" s="2"/>
      <c r="H655" s="3"/>
      <c r="I655" s="3"/>
    </row>
    <row r="656">
      <c r="F656" s="2"/>
      <c r="G656" s="2"/>
      <c r="H656" s="3"/>
      <c r="I656" s="3"/>
    </row>
    <row r="657">
      <c r="F657" s="2"/>
      <c r="G657" s="2"/>
      <c r="H657" s="3"/>
      <c r="I657" s="3"/>
    </row>
    <row r="658">
      <c r="F658" s="2"/>
      <c r="G658" s="2"/>
      <c r="H658" s="3"/>
      <c r="I658" s="3"/>
    </row>
    <row r="659">
      <c r="F659" s="2"/>
      <c r="G659" s="2"/>
      <c r="H659" s="3"/>
      <c r="I659" s="3"/>
    </row>
    <row r="660">
      <c r="F660" s="2"/>
      <c r="G660" s="2"/>
      <c r="H660" s="3"/>
      <c r="I660" s="3"/>
    </row>
    <row r="661">
      <c r="F661" s="2"/>
      <c r="G661" s="2"/>
      <c r="H661" s="3"/>
      <c r="I661" s="3"/>
    </row>
    <row r="662">
      <c r="F662" s="2"/>
      <c r="G662" s="2"/>
      <c r="H662" s="3"/>
      <c r="I662" s="3"/>
    </row>
    <row r="663">
      <c r="F663" s="2"/>
      <c r="G663" s="2"/>
      <c r="H663" s="3"/>
      <c r="I663" s="3"/>
    </row>
    <row r="664">
      <c r="F664" s="2"/>
      <c r="G664" s="2"/>
      <c r="H664" s="3"/>
      <c r="I664" s="3"/>
    </row>
    <row r="665">
      <c r="F665" s="2"/>
      <c r="G665" s="2"/>
      <c r="H665" s="3"/>
      <c r="I665" s="3"/>
    </row>
    <row r="666">
      <c r="F666" s="2"/>
      <c r="G666" s="2"/>
      <c r="H666" s="3"/>
      <c r="I666" s="3"/>
    </row>
    <row r="667">
      <c r="F667" s="2"/>
      <c r="G667" s="2"/>
      <c r="H667" s="3"/>
      <c r="I667" s="3"/>
    </row>
    <row r="668">
      <c r="F668" s="2"/>
      <c r="G668" s="2"/>
      <c r="H668" s="3"/>
      <c r="I668" s="3"/>
    </row>
    <row r="669">
      <c r="F669" s="2"/>
      <c r="G669" s="2"/>
      <c r="H669" s="3"/>
      <c r="I669" s="3"/>
    </row>
    <row r="670">
      <c r="F670" s="2"/>
      <c r="G670" s="2"/>
      <c r="H670" s="3"/>
      <c r="I670" s="3"/>
    </row>
    <row r="671">
      <c r="F671" s="2"/>
      <c r="G671" s="2"/>
      <c r="H671" s="3"/>
      <c r="I671" s="3"/>
    </row>
    <row r="672">
      <c r="F672" s="2"/>
      <c r="G672" s="2"/>
      <c r="H672" s="3"/>
      <c r="I672" s="3"/>
    </row>
    <row r="673">
      <c r="F673" s="2"/>
      <c r="G673" s="2"/>
      <c r="H673" s="3"/>
      <c r="I673" s="3"/>
    </row>
    <row r="674">
      <c r="F674" s="2"/>
      <c r="G674" s="2"/>
      <c r="H674" s="3"/>
      <c r="I674" s="3"/>
    </row>
    <row r="675">
      <c r="F675" s="2"/>
      <c r="G675" s="2"/>
      <c r="H675" s="3"/>
      <c r="I675" s="3"/>
    </row>
    <row r="676">
      <c r="F676" s="2"/>
      <c r="G676" s="2"/>
      <c r="H676" s="3"/>
      <c r="I676" s="3"/>
    </row>
    <row r="677">
      <c r="F677" s="2"/>
      <c r="G677" s="2"/>
      <c r="H677" s="3"/>
      <c r="I677" s="3"/>
    </row>
    <row r="678">
      <c r="F678" s="2"/>
      <c r="G678" s="2"/>
      <c r="H678" s="3"/>
      <c r="I678" s="3"/>
    </row>
    <row r="679">
      <c r="F679" s="2"/>
      <c r="G679" s="2"/>
      <c r="H679" s="3"/>
      <c r="I679" s="3"/>
    </row>
    <row r="680">
      <c r="F680" s="2"/>
      <c r="G680" s="2"/>
      <c r="H680" s="3"/>
      <c r="I680" s="3"/>
    </row>
    <row r="681">
      <c r="F681" s="2"/>
      <c r="G681" s="2"/>
      <c r="H681" s="3"/>
      <c r="I681" s="3"/>
    </row>
    <row r="682">
      <c r="F682" s="2"/>
      <c r="G682" s="2"/>
      <c r="H682" s="3"/>
      <c r="I682" s="3"/>
    </row>
    <row r="683">
      <c r="F683" s="2"/>
      <c r="G683" s="2"/>
      <c r="H683" s="3"/>
      <c r="I683" s="3"/>
    </row>
    <row r="684">
      <c r="F684" s="2"/>
      <c r="G684" s="2"/>
      <c r="H684" s="3"/>
      <c r="I684" s="3"/>
    </row>
    <row r="685">
      <c r="F685" s="2"/>
      <c r="G685" s="2"/>
      <c r="H685" s="3"/>
      <c r="I685" s="3"/>
    </row>
    <row r="686">
      <c r="F686" s="2"/>
      <c r="G686" s="2"/>
      <c r="H686" s="3"/>
      <c r="I686" s="3"/>
    </row>
    <row r="687">
      <c r="F687" s="2"/>
      <c r="G687" s="2"/>
      <c r="H687" s="3"/>
      <c r="I687" s="3"/>
    </row>
    <row r="688">
      <c r="F688" s="2"/>
      <c r="G688" s="2"/>
      <c r="H688" s="3"/>
      <c r="I688" s="3"/>
    </row>
    <row r="689">
      <c r="F689" s="2"/>
      <c r="G689" s="2"/>
      <c r="H689" s="3"/>
      <c r="I689" s="3"/>
    </row>
    <row r="690">
      <c r="F690" s="2"/>
      <c r="G690" s="2"/>
      <c r="H690" s="3"/>
      <c r="I690" s="3"/>
    </row>
    <row r="691">
      <c r="F691" s="2"/>
      <c r="G691" s="2"/>
      <c r="H691" s="3"/>
      <c r="I691" s="3"/>
    </row>
    <row r="692">
      <c r="F692" s="2"/>
      <c r="G692" s="2"/>
      <c r="H692" s="3"/>
      <c r="I692" s="3"/>
    </row>
    <row r="693">
      <c r="F693" s="2"/>
      <c r="G693" s="2"/>
      <c r="H693" s="3"/>
      <c r="I693" s="3"/>
    </row>
    <row r="694">
      <c r="F694" s="2"/>
      <c r="G694" s="2"/>
      <c r="H694" s="3"/>
      <c r="I694" s="3"/>
    </row>
    <row r="695">
      <c r="F695" s="2"/>
      <c r="G695" s="2"/>
      <c r="H695" s="3"/>
      <c r="I695" s="3"/>
    </row>
    <row r="696">
      <c r="F696" s="2"/>
      <c r="G696" s="2"/>
      <c r="H696" s="3"/>
      <c r="I696" s="3"/>
    </row>
    <row r="697">
      <c r="F697" s="2"/>
      <c r="G697" s="2"/>
      <c r="H697" s="3"/>
      <c r="I697" s="3"/>
    </row>
    <row r="698">
      <c r="F698" s="2"/>
      <c r="G698" s="2"/>
      <c r="H698" s="3"/>
      <c r="I698" s="3"/>
    </row>
    <row r="699">
      <c r="F699" s="2"/>
      <c r="G699" s="2"/>
      <c r="H699" s="3"/>
      <c r="I699" s="3"/>
    </row>
    <row r="700">
      <c r="F700" s="2"/>
      <c r="G700" s="2"/>
      <c r="H700" s="3"/>
      <c r="I700" s="3"/>
    </row>
    <row r="701">
      <c r="F701" s="2"/>
      <c r="G701" s="2"/>
      <c r="H701" s="3"/>
      <c r="I701" s="3"/>
    </row>
    <row r="702">
      <c r="F702" s="2"/>
      <c r="G702" s="2"/>
      <c r="H702" s="3"/>
      <c r="I702" s="3"/>
    </row>
    <row r="703">
      <c r="F703" s="2"/>
      <c r="G703" s="2"/>
      <c r="H703" s="3"/>
      <c r="I703" s="3"/>
    </row>
    <row r="704">
      <c r="F704" s="2"/>
      <c r="G704" s="2"/>
      <c r="H704" s="3"/>
      <c r="I704" s="3"/>
    </row>
    <row r="705">
      <c r="F705" s="2"/>
      <c r="G705" s="2"/>
      <c r="H705" s="3"/>
      <c r="I705" s="3"/>
    </row>
    <row r="706">
      <c r="F706" s="2"/>
      <c r="G706" s="2"/>
      <c r="H706" s="3"/>
      <c r="I706" s="3"/>
    </row>
    <row r="707">
      <c r="F707" s="2"/>
      <c r="G707" s="2"/>
      <c r="H707" s="3"/>
      <c r="I707" s="3"/>
    </row>
    <row r="708">
      <c r="F708" s="2"/>
      <c r="G708" s="2"/>
      <c r="H708" s="3"/>
      <c r="I708" s="3"/>
    </row>
    <row r="709">
      <c r="F709" s="2"/>
      <c r="G709" s="2"/>
      <c r="H709" s="3"/>
      <c r="I709" s="3"/>
    </row>
    <row r="710">
      <c r="F710" s="2"/>
      <c r="G710" s="2"/>
      <c r="H710" s="3"/>
      <c r="I710" s="3"/>
    </row>
    <row r="711">
      <c r="F711" s="2"/>
      <c r="G711" s="2"/>
      <c r="H711" s="3"/>
      <c r="I711" s="3"/>
    </row>
    <row r="712">
      <c r="F712" s="2"/>
      <c r="G712" s="2"/>
      <c r="H712" s="3"/>
      <c r="I712" s="3"/>
    </row>
    <row r="713">
      <c r="F713" s="2"/>
      <c r="G713" s="2"/>
      <c r="H713" s="3"/>
      <c r="I713" s="3"/>
    </row>
    <row r="714">
      <c r="F714" s="2"/>
      <c r="G714" s="2"/>
      <c r="H714" s="3"/>
      <c r="I714" s="3"/>
    </row>
    <row r="715">
      <c r="F715" s="2"/>
      <c r="G715" s="2"/>
      <c r="H715" s="3"/>
      <c r="I715" s="3"/>
    </row>
    <row r="716">
      <c r="F716" s="2"/>
      <c r="G716" s="2"/>
      <c r="H716" s="3"/>
      <c r="I716" s="3"/>
    </row>
    <row r="717">
      <c r="F717" s="2"/>
      <c r="G717" s="2"/>
      <c r="H717" s="3"/>
      <c r="I717" s="3"/>
    </row>
    <row r="718">
      <c r="F718" s="2"/>
      <c r="G718" s="2"/>
      <c r="H718" s="3"/>
      <c r="I718" s="3"/>
    </row>
    <row r="719">
      <c r="F719" s="2"/>
      <c r="G719" s="2"/>
      <c r="H719" s="3"/>
      <c r="I719" s="3"/>
    </row>
    <row r="720">
      <c r="F720" s="2"/>
      <c r="G720" s="2"/>
      <c r="H720" s="3"/>
      <c r="I720" s="3"/>
    </row>
    <row r="721">
      <c r="F721" s="2"/>
      <c r="G721" s="2"/>
      <c r="H721" s="3"/>
      <c r="I721" s="3"/>
    </row>
    <row r="722">
      <c r="F722" s="2"/>
      <c r="G722" s="2"/>
      <c r="H722" s="3"/>
      <c r="I722" s="3"/>
    </row>
    <row r="723">
      <c r="F723" s="2"/>
      <c r="G723" s="2"/>
      <c r="H723" s="3"/>
      <c r="I723" s="3"/>
    </row>
    <row r="724">
      <c r="F724" s="2"/>
      <c r="G724" s="2"/>
      <c r="H724" s="3"/>
      <c r="I724" s="3"/>
    </row>
    <row r="725">
      <c r="F725" s="2"/>
      <c r="G725" s="2"/>
      <c r="H725" s="3"/>
      <c r="I725" s="3"/>
    </row>
    <row r="726">
      <c r="F726" s="2"/>
      <c r="G726" s="2"/>
      <c r="H726" s="3"/>
      <c r="I726" s="3"/>
    </row>
    <row r="727">
      <c r="F727" s="2"/>
      <c r="G727" s="2"/>
      <c r="H727" s="3"/>
      <c r="I727" s="3"/>
    </row>
    <row r="728">
      <c r="F728" s="2"/>
      <c r="G728" s="2"/>
      <c r="H728" s="3"/>
      <c r="I728" s="3"/>
    </row>
    <row r="729">
      <c r="F729" s="2"/>
      <c r="G729" s="2"/>
      <c r="H729" s="3"/>
      <c r="I729" s="3"/>
    </row>
    <row r="730">
      <c r="F730" s="2"/>
      <c r="G730" s="2"/>
      <c r="H730" s="3"/>
      <c r="I730" s="3"/>
    </row>
    <row r="731">
      <c r="F731" s="2"/>
      <c r="G731" s="2"/>
      <c r="H731" s="3"/>
      <c r="I731" s="3"/>
    </row>
    <row r="732">
      <c r="F732" s="2"/>
      <c r="G732" s="2"/>
      <c r="H732" s="3"/>
      <c r="I732" s="3"/>
    </row>
    <row r="733">
      <c r="F733" s="2"/>
      <c r="G733" s="2"/>
      <c r="H733" s="3"/>
      <c r="I733" s="3"/>
    </row>
    <row r="734">
      <c r="F734" s="2"/>
      <c r="G734" s="2"/>
      <c r="H734" s="3"/>
      <c r="I734" s="3"/>
    </row>
    <row r="735">
      <c r="F735" s="2"/>
      <c r="G735" s="2"/>
      <c r="H735" s="3"/>
      <c r="I735" s="3"/>
    </row>
    <row r="736">
      <c r="F736" s="2"/>
      <c r="G736" s="2"/>
      <c r="H736" s="3"/>
      <c r="I736" s="3"/>
    </row>
    <row r="737">
      <c r="F737" s="2"/>
      <c r="G737" s="2"/>
      <c r="H737" s="3"/>
      <c r="I737" s="3"/>
    </row>
    <row r="738">
      <c r="F738" s="2"/>
      <c r="G738" s="2"/>
      <c r="H738" s="3"/>
      <c r="I738" s="3"/>
    </row>
    <row r="739">
      <c r="F739" s="2"/>
      <c r="G739" s="2"/>
      <c r="H739" s="3"/>
      <c r="I739" s="3"/>
    </row>
    <row r="740">
      <c r="F740" s="2"/>
      <c r="G740" s="2"/>
      <c r="H740" s="3"/>
      <c r="I740" s="3"/>
    </row>
    <row r="741">
      <c r="F741" s="2"/>
      <c r="G741" s="2"/>
      <c r="H741" s="3"/>
      <c r="I741" s="3"/>
    </row>
    <row r="742">
      <c r="F742" s="2"/>
      <c r="G742" s="2"/>
      <c r="H742" s="3"/>
      <c r="I742" s="3"/>
    </row>
    <row r="743">
      <c r="F743" s="2"/>
      <c r="G743" s="2"/>
      <c r="H743" s="3"/>
      <c r="I743" s="3"/>
    </row>
    <row r="744">
      <c r="F744" s="2"/>
      <c r="G744" s="2"/>
      <c r="H744" s="3"/>
      <c r="I744" s="3"/>
    </row>
    <row r="745">
      <c r="F745" s="2"/>
      <c r="G745" s="2"/>
      <c r="H745" s="3"/>
      <c r="I745" s="3"/>
    </row>
    <row r="746">
      <c r="F746" s="2"/>
      <c r="G746" s="2"/>
      <c r="H746" s="3"/>
      <c r="I746" s="3"/>
    </row>
    <row r="747">
      <c r="F747" s="2"/>
      <c r="G747" s="2"/>
      <c r="H747" s="3"/>
      <c r="I747" s="3"/>
    </row>
    <row r="748">
      <c r="F748" s="2"/>
      <c r="G748" s="2"/>
      <c r="H748" s="3"/>
      <c r="I748" s="3"/>
    </row>
    <row r="749">
      <c r="F749" s="2"/>
      <c r="G749" s="2"/>
      <c r="H749" s="3"/>
      <c r="I749" s="3"/>
    </row>
    <row r="750">
      <c r="F750" s="2"/>
      <c r="G750" s="2"/>
      <c r="H750" s="3"/>
      <c r="I750" s="3"/>
    </row>
    <row r="751">
      <c r="F751" s="2"/>
      <c r="G751" s="2"/>
      <c r="H751" s="3"/>
      <c r="I751" s="3"/>
    </row>
    <row r="752">
      <c r="F752" s="2"/>
      <c r="G752" s="2"/>
      <c r="H752" s="3"/>
      <c r="I752" s="3"/>
    </row>
    <row r="753">
      <c r="F753" s="2"/>
      <c r="G753" s="2"/>
      <c r="H753" s="3"/>
      <c r="I753" s="3"/>
    </row>
    <row r="754">
      <c r="F754" s="2"/>
      <c r="G754" s="2"/>
      <c r="H754" s="3"/>
      <c r="I754" s="3"/>
    </row>
    <row r="755">
      <c r="F755" s="2"/>
      <c r="G755" s="2"/>
      <c r="H755" s="3"/>
      <c r="I755" s="3"/>
    </row>
    <row r="756">
      <c r="F756" s="2"/>
      <c r="G756" s="2"/>
      <c r="H756" s="3"/>
      <c r="I756" s="3"/>
    </row>
    <row r="757">
      <c r="F757" s="2"/>
      <c r="G757" s="2"/>
      <c r="H757" s="3"/>
      <c r="I757" s="3"/>
    </row>
    <row r="758">
      <c r="F758" s="2"/>
      <c r="G758" s="2"/>
      <c r="H758" s="3"/>
      <c r="I758" s="3"/>
    </row>
    <row r="759">
      <c r="F759" s="2"/>
      <c r="G759" s="2"/>
      <c r="H759" s="3"/>
      <c r="I759" s="3"/>
    </row>
    <row r="760">
      <c r="F760" s="2"/>
      <c r="G760" s="2"/>
      <c r="H760" s="3"/>
      <c r="I760" s="3"/>
    </row>
    <row r="761">
      <c r="F761" s="2"/>
      <c r="G761" s="2"/>
      <c r="H761" s="3"/>
      <c r="I761" s="3"/>
    </row>
    <row r="762">
      <c r="F762" s="2"/>
      <c r="G762" s="2"/>
      <c r="H762" s="3"/>
      <c r="I762" s="3"/>
    </row>
    <row r="763">
      <c r="F763" s="2"/>
      <c r="G763" s="2"/>
      <c r="H763" s="3"/>
      <c r="I763" s="3"/>
    </row>
    <row r="764">
      <c r="F764" s="2"/>
      <c r="G764" s="2"/>
      <c r="H764" s="3"/>
      <c r="I764" s="3"/>
    </row>
    <row r="765">
      <c r="F765" s="2"/>
      <c r="G765" s="2"/>
      <c r="H765" s="3"/>
      <c r="I765" s="3"/>
    </row>
    <row r="766">
      <c r="F766" s="2"/>
      <c r="G766" s="2"/>
      <c r="H766" s="3"/>
      <c r="I766" s="3"/>
    </row>
    <row r="767">
      <c r="F767" s="2"/>
      <c r="G767" s="2"/>
      <c r="H767" s="3"/>
      <c r="I767" s="3"/>
    </row>
    <row r="768">
      <c r="F768" s="2"/>
      <c r="G768" s="2"/>
      <c r="H768" s="3"/>
      <c r="I768" s="3"/>
    </row>
    <row r="769">
      <c r="F769" s="2"/>
      <c r="G769" s="2"/>
      <c r="H769" s="3"/>
      <c r="I769" s="3"/>
    </row>
    <row r="770">
      <c r="F770" s="2"/>
      <c r="G770" s="2"/>
      <c r="H770" s="3"/>
      <c r="I770" s="3"/>
    </row>
    <row r="771">
      <c r="F771" s="2"/>
      <c r="G771" s="2"/>
      <c r="H771" s="3"/>
      <c r="I771" s="3"/>
    </row>
    <row r="772">
      <c r="F772" s="2"/>
      <c r="G772" s="2"/>
      <c r="H772" s="3"/>
      <c r="I772" s="3"/>
    </row>
    <row r="773">
      <c r="F773" s="2"/>
      <c r="G773" s="2"/>
      <c r="H773" s="3"/>
      <c r="I773" s="3"/>
    </row>
    <row r="774">
      <c r="F774" s="2"/>
      <c r="G774" s="2"/>
      <c r="H774" s="3"/>
      <c r="I774" s="3"/>
    </row>
    <row r="775">
      <c r="F775" s="2"/>
      <c r="G775" s="2"/>
      <c r="H775" s="3"/>
      <c r="I775" s="3"/>
    </row>
    <row r="776">
      <c r="F776" s="2"/>
      <c r="G776" s="2"/>
      <c r="H776" s="3"/>
      <c r="I776" s="3"/>
    </row>
    <row r="777">
      <c r="F777" s="2"/>
      <c r="G777" s="2"/>
      <c r="H777" s="3"/>
      <c r="I777" s="3"/>
    </row>
    <row r="778">
      <c r="F778" s="2"/>
      <c r="G778" s="2"/>
      <c r="H778" s="3"/>
      <c r="I778" s="3"/>
    </row>
    <row r="779">
      <c r="F779" s="2"/>
      <c r="G779" s="2"/>
      <c r="H779" s="3"/>
      <c r="I779" s="3"/>
    </row>
    <row r="780">
      <c r="F780" s="2"/>
      <c r="G780" s="2"/>
      <c r="H780" s="3"/>
      <c r="I780" s="3"/>
    </row>
    <row r="781">
      <c r="F781" s="2"/>
      <c r="G781" s="2"/>
      <c r="H781" s="3"/>
      <c r="I781" s="3"/>
    </row>
    <row r="782">
      <c r="F782" s="2"/>
      <c r="G782" s="2"/>
      <c r="H782" s="3"/>
      <c r="I782" s="3"/>
    </row>
    <row r="783">
      <c r="F783" s="2"/>
      <c r="G783" s="2"/>
      <c r="H783" s="3"/>
      <c r="I783" s="3"/>
    </row>
    <row r="784">
      <c r="F784" s="2"/>
      <c r="G784" s="2"/>
      <c r="H784" s="3"/>
      <c r="I784" s="3"/>
    </row>
    <row r="785">
      <c r="F785" s="2"/>
      <c r="G785" s="2"/>
      <c r="H785" s="3"/>
      <c r="I785" s="3"/>
    </row>
    <row r="786">
      <c r="F786" s="2"/>
      <c r="G786" s="2"/>
      <c r="H786" s="3"/>
      <c r="I786" s="3"/>
    </row>
    <row r="787">
      <c r="F787" s="2"/>
      <c r="G787" s="2"/>
      <c r="H787" s="3"/>
      <c r="I787" s="3"/>
    </row>
    <row r="788">
      <c r="F788" s="2"/>
      <c r="G788" s="2"/>
      <c r="H788" s="3"/>
      <c r="I788" s="3"/>
    </row>
    <row r="789">
      <c r="F789" s="2"/>
      <c r="G789" s="2"/>
      <c r="H789" s="3"/>
      <c r="I789" s="3"/>
    </row>
    <row r="790">
      <c r="F790" s="2"/>
      <c r="G790" s="2"/>
      <c r="H790" s="3"/>
      <c r="I790" s="3"/>
    </row>
    <row r="791">
      <c r="F791" s="2"/>
      <c r="G791" s="2"/>
      <c r="H791" s="3"/>
      <c r="I791" s="3"/>
    </row>
    <row r="792">
      <c r="F792" s="2"/>
      <c r="G792" s="2"/>
      <c r="H792" s="3"/>
      <c r="I792" s="3"/>
    </row>
    <row r="793">
      <c r="F793" s="2"/>
      <c r="G793" s="2"/>
      <c r="H793" s="3"/>
      <c r="I793" s="3"/>
    </row>
    <row r="794">
      <c r="F794" s="2"/>
      <c r="G794" s="2"/>
      <c r="H794" s="3"/>
      <c r="I794" s="3"/>
    </row>
    <row r="795">
      <c r="F795" s="2"/>
      <c r="G795" s="2"/>
      <c r="H795" s="3"/>
      <c r="I795" s="3"/>
    </row>
    <row r="796">
      <c r="F796" s="2"/>
      <c r="G796" s="2"/>
      <c r="H796" s="3"/>
      <c r="I796" s="3"/>
    </row>
    <row r="797">
      <c r="F797" s="2"/>
      <c r="G797" s="2"/>
      <c r="H797" s="3"/>
      <c r="I797" s="3"/>
    </row>
    <row r="798">
      <c r="F798" s="2"/>
      <c r="G798" s="2"/>
      <c r="H798" s="3"/>
      <c r="I798" s="3"/>
    </row>
    <row r="799">
      <c r="F799" s="2"/>
      <c r="G799" s="2"/>
      <c r="H799" s="3"/>
      <c r="I799" s="3"/>
    </row>
    <row r="800">
      <c r="F800" s="2"/>
      <c r="G800" s="2"/>
      <c r="H800" s="3"/>
      <c r="I800" s="3"/>
    </row>
    <row r="801">
      <c r="F801" s="2"/>
      <c r="G801" s="2"/>
      <c r="H801" s="3"/>
      <c r="I801" s="3"/>
    </row>
    <row r="802">
      <c r="F802" s="2"/>
      <c r="G802" s="2"/>
      <c r="H802" s="3"/>
      <c r="I802" s="3"/>
    </row>
    <row r="803">
      <c r="F803" s="2"/>
      <c r="G803" s="2"/>
      <c r="H803" s="3"/>
      <c r="I803" s="3"/>
    </row>
    <row r="804">
      <c r="F804" s="2"/>
      <c r="G804" s="2"/>
      <c r="H804" s="3"/>
      <c r="I804" s="3"/>
    </row>
    <row r="805">
      <c r="F805" s="2"/>
      <c r="G805" s="2"/>
      <c r="H805" s="3"/>
      <c r="I805" s="3"/>
    </row>
    <row r="806">
      <c r="F806" s="2"/>
      <c r="G806" s="2"/>
      <c r="H806" s="3"/>
      <c r="I806" s="3"/>
    </row>
    <row r="807">
      <c r="F807" s="2"/>
      <c r="G807" s="2"/>
      <c r="H807" s="3"/>
      <c r="I807" s="3"/>
    </row>
    <row r="808">
      <c r="F808" s="2"/>
      <c r="G808" s="2"/>
      <c r="H808" s="3"/>
      <c r="I808" s="3"/>
    </row>
    <row r="809">
      <c r="F809" s="2"/>
      <c r="G809" s="2"/>
      <c r="H809" s="3"/>
      <c r="I809" s="3"/>
    </row>
    <row r="810">
      <c r="F810" s="2"/>
      <c r="G810" s="2"/>
      <c r="H810" s="3"/>
      <c r="I810" s="3"/>
    </row>
    <row r="811">
      <c r="F811" s="2"/>
      <c r="G811" s="2"/>
      <c r="H811" s="3"/>
      <c r="I811" s="3"/>
    </row>
    <row r="812">
      <c r="F812" s="2"/>
      <c r="G812" s="2"/>
      <c r="H812" s="3"/>
      <c r="I812" s="3"/>
    </row>
    <row r="813">
      <c r="F813" s="2"/>
      <c r="G813" s="2"/>
      <c r="H813" s="3"/>
      <c r="I813" s="3"/>
    </row>
    <row r="814">
      <c r="F814" s="2"/>
      <c r="G814" s="2"/>
      <c r="H814" s="3"/>
      <c r="I814" s="3"/>
    </row>
    <row r="815">
      <c r="F815" s="2"/>
      <c r="G815" s="2"/>
      <c r="H815" s="3"/>
      <c r="I815" s="3"/>
    </row>
    <row r="816">
      <c r="F816" s="2"/>
      <c r="G816" s="2"/>
      <c r="H816" s="3"/>
      <c r="I816" s="3"/>
    </row>
    <row r="817">
      <c r="F817" s="2"/>
      <c r="G817" s="2"/>
      <c r="H817" s="3"/>
      <c r="I817" s="3"/>
    </row>
    <row r="818">
      <c r="F818" s="2"/>
      <c r="G818" s="2"/>
      <c r="H818" s="3"/>
      <c r="I818" s="3"/>
    </row>
    <row r="819">
      <c r="F819" s="2"/>
      <c r="G819" s="2"/>
      <c r="H819" s="3"/>
      <c r="I819" s="3"/>
    </row>
    <row r="820">
      <c r="F820" s="2"/>
      <c r="G820" s="2"/>
      <c r="H820" s="3"/>
      <c r="I820" s="3"/>
    </row>
    <row r="821">
      <c r="F821" s="2"/>
      <c r="G821" s="2"/>
      <c r="H821" s="3"/>
      <c r="I821" s="3"/>
    </row>
    <row r="822">
      <c r="F822" s="2"/>
      <c r="G822" s="2"/>
      <c r="H822" s="3"/>
      <c r="I822" s="3"/>
    </row>
    <row r="823">
      <c r="F823" s="2"/>
      <c r="G823" s="2"/>
      <c r="H823" s="3"/>
      <c r="I823" s="3"/>
    </row>
    <row r="824">
      <c r="F824" s="2"/>
      <c r="G824" s="2"/>
      <c r="H824" s="3"/>
      <c r="I824" s="3"/>
    </row>
    <row r="825">
      <c r="F825" s="2"/>
      <c r="G825" s="2"/>
      <c r="H825" s="3"/>
      <c r="I825" s="3"/>
    </row>
    <row r="826">
      <c r="F826" s="2"/>
      <c r="G826" s="2"/>
      <c r="H826" s="3"/>
      <c r="I826" s="3"/>
    </row>
    <row r="827">
      <c r="F827" s="2"/>
      <c r="G827" s="2"/>
      <c r="H827" s="3"/>
      <c r="I827" s="3"/>
    </row>
    <row r="828">
      <c r="F828" s="2"/>
      <c r="G828" s="2"/>
      <c r="H828" s="3"/>
      <c r="I828" s="3"/>
    </row>
    <row r="829">
      <c r="F829" s="2"/>
      <c r="G829" s="2"/>
      <c r="H829" s="3"/>
      <c r="I829" s="3"/>
    </row>
    <row r="830">
      <c r="F830" s="2"/>
      <c r="G830" s="2"/>
      <c r="H830" s="3"/>
      <c r="I830" s="3"/>
    </row>
    <row r="831">
      <c r="F831" s="2"/>
      <c r="G831" s="2"/>
      <c r="H831" s="3"/>
      <c r="I831" s="3"/>
    </row>
    <row r="832">
      <c r="F832" s="2"/>
      <c r="G832" s="2"/>
      <c r="H832" s="3"/>
      <c r="I832" s="3"/>
    </row>
    <row r="833">
      <c r="F833" s="2"/>
      <c r="G833" s="2"/>
      <c r="H833" s="3"/>
      <c r="I833" s="3"/>
    </row>
    <row r="834">
      <c r="F834" s="2"/>
      <c r="G834" s="2"/>
      <c r="H834" s="3"/>
      <c r="I834" s="3"/>
    </row>
    <row r="835">
      <c r="F835" s="2"/>
      <c r="G835" s="2"/>
      <c r="H835" s="3"/>
      <c r="I835" s="3"/>
    </row>
    <row r="836">
      <c r="F836" s="2"/>
      <c r="G836" s="2"/>
      <c r="H836" s="3"/>
      <c r="I836" s="3"/>
    </row>
    <row r="837">
      <c r="F837" s="2"/>
      <c r="G837" s="2"/>
      <c r="H837" s="3"/>
      <c r="I837" s="3"/>
    </row>
    <row r="838">
      <c r="F838" s="2"/>
      <c r="G838" s="2"/>
      <c r="H838" s="3"/>
      <c r="I838" s="3"/>
    </row>
    <row r="839">
      <c r="F839" s="2"/>
      <c r="G839" s="2"/>
      <c r="H839" s="3"/>
      <c r="I839" s="3"/>
    </row>
    <row r="840">
      <c r="F840" s="2"/>
      <c r="G840" s="2"/>
      <c r="H840" s="3"/>
      <c r="I840" s="3"/>
    </row>
    <row r="841">
      <c r="F841" s="2"/>
      <c r="G841" s="2"/>
      <c r="H841" s="3"/>
      <c r="I841" s="3"/>
    </row>
    <row r="842">
      <c r="F842" s="2"/>
      <c r="G842" s="2"/>
      <c r="H842" s="3"/>
      <c r="I842" s="3"/>
    </row>
    <row r="843">
      <c r="F843" s="2"/>
      <c r="G843" s="2"/>
      <c r="H843" s="3"/>
      <c r="I843" s="3"/>
    </row>
    <row r="844">
      <c r="F844" s="2"/>
      <c r="G844" s="2"/>
      <c r="H844" s="3"/>
      <c r="I844" s="3"/>
    </row>
    <row r="845">
      <c r="F845" s="2"/>
      <c r="G845" s="2"/>
      <c r="H845" s="3"/>
      <c r="I845" s="3"/>
    </row>
    <row r="846">
      <c r="F846" s="2"/>
      <c r="G846" s="2"/>
      <c r="H846" s="3"/>
      <c r="I846" s="3"/>
    </row>
    <row r="847">
      <c r="F847" s="2"/>
      <c r="G847" s="2"/>
      <c r="H847" s="3"/>
      <c r="I847" s="3"/>
    </row>
    <row r="848">
      <c r="F848" s="2"/>
      <c r="G848" s="2"/>
      <c r="H848" s="3"/>
      <c r="I848" s="3"/>
    </row>
    <row r="849">
      <c r="F849" s="2"/>
      <c r="G849" s="2"/>
      <c r="H849" s="3"/>
      <c r="I849" s="3"/>
    </row>
    <row r="850">
      <c r="F850" s="2"/>
      <c r="G850" s="2"/>
      <c r="H850" s="3"/>
      <c r="I850" s="3"/>
    </row>
    <row r="851">
      <c r="F851" s="2"/>
      <c r="G851" s="2"/>
      <c r="H851" s="3"/>
      <c r="I851" s="3"/>
    </row>
    <row r="852">
      <c r="F852" s="2"/>
      <c r="G852" s="2"/>
      <c r="H852" s="3"/>
      <c r="I852" s="3"/>
    </row>
    <row r="853">
      <c r="F853" s="2"/>
      <c r="G853" s="2"/>
      <c r="H853" s="3"/>
      <c r="I853" s="3"/>
    </row>
    <row r="854">
      <c r="F854" s="2"/>
      <c r="G854" s="2"/>
      <c r="H854" s="3"/>
      <c r="I854" s="3"/>
    </row>
    <row r="855">
      <c r="F855" s="2"/>
      <c r="G855" s="2"/>
      <c r="H855" s="3"/>
      <c r="I855" s="3"/>
    </row>
    <row r="856">
      <c r="F856" s="2"/>
      <c r="G856" s="2"/>
      <c r="H856" s="3"/>
      <c r="I856" s="3"/>
    </row>
    <row r="857">
      <c r="F857" s="2"/>
      <c r="G857" s="2"/>
      <c r="H857" s="3"/>
      <c r="I857" s="3"/>
    </row>
    <row r="858">
      <c r="F858" s="2"/>
      <c r="G858" s="2"/>
      <c r="H858" s="3"/>
      <c r="I858" s="3"/>
    </row>
    <row r="859">
      <c r="F859" s="2"/>
      <c r="G859" s="2"/>
      <c r="H859" s="3"/>
      <c r="I859" s="3"/>
    </row>
    <row r="860">
      <c r="F860" s="2"/>
      <c r="G860" s="2"/>
      <c r="H860" s="3"/>
      <c r="I860" s="3"/>
    </row>
    <row r="861">
      <c r="F861" s="2"/>
      <c r="G861" s="2"/>
      <c r="H861" s="3"/>
      <c r="I861" s="3"/>
    </row>
    <row r="862">
      <c r="F862" s="2"/>
      <c r="G862" s="2"/>
      <c r="H862" s="3"/>
      <c r="I862" s="3"/>
    </row>
    <row r="863">
      <c r="F863" s="2"/>
      <c r="G863" s="2"/>
      <c r="H863" s="3"/>
      <c r="I863" s="3"/>
    </row>
    <row r="864">
      <c r="F864" s="2"/>
      <c r="G864" s="2"/>
      <c r="H864" s="3"/>
      <c r="I864" s="3"/>
    </row>
    <row r="865">
      <c r="F865" s="2"/>
      <c r="G865" s="2"/>
      <c r="H865" s="3"/>
      <c r="I865" s="3"/>
    </row>
    <row r="866">
      <c r="F866" s="2"/>
      <c r="G866" s="2"/>
      <c r="H866" s="3"/>
      <c r="I866" s="3"/>
    </row>
    <row r="867">
      <c r="F867" s="2"/>
      <c r="G867" s="2"/>
      <c r="H867" s="3"/>
      <c r="I867" s="3"/>
    </row>
    <row r="868">
      <c r="F868" s="2"/>
      <c r="G868" s="2"/>
      <c r="H868" s="3"/>
      <c r="I868" s="3"/>
    </row>
    <row r="869">
      <c r="F869" s="2"/>
      <c r="G869" s="2"/>
      <c r="H869" s="3"/>
      <c r="I869" s="3"/>
    </row>
    <row r="870">
      <c r="F870" s="2"/>
      <c r="G870" s="2"/>
      <c r="H870" s="3"/>
      <c r="I870" s="3"/>
    </row>
    <row r="871">
      <c r="F871" s="2"/>
      <c r="G871" s="2"/>
      <c r="H871" s="3"/>
      <c r="I871" s="3"/>
    </row>
    <row r="872">
      <c r="F872" s="2"/>
      <c r="G872" s="2"/>
      <c r="H872" s="3"/>
      <c r="I872" s="3"/>
    </row>
    <row r="873">
      <c r="F873" s="2"/>
      <c r="G873" s="2"/>
      <c r="H873" s="3"/>
      <c r="I873" s="3"/>
    </row>
    <row r="874">
      <c r="F874" s="2"/>
      <c r="G874" s="2"/>
      <c r="H874" s="3"/>
      <c r="I874" s="3"/>
    </row>
    <row r="875">
      <c r="F875" s="2"/>
      <c r="G875" s="2"/>
      <c r="H875" s="3"/>
      <c r="I875" s="3"/>
    </row>
    <row r="876">
      <c r="F876" s="2"/>
      <c r="G876" s="2"/>
      <c r="H876" s="3"/>
      <c r="I876" s="3"/>
    </row>
    <row r="877">
      <c r="F877" s="2"/>
      <c r="G877" s="2"/>
      <c r="H877" s="3"/>
      <c r="I877" s="3"/>
    </row>
    <row r="878">
      <c r="F878" s="2"/>
      <c r="G878" s="2"/>
      <c r="H878" s="3"/>
      <c r="I878" s="3"/>
    </row>
    <row r="879">
      <c r="F879" s="2"/>
      <c r="G879" s="2"/>
      <c r="H879" s="3"/>
      <c r="I879" s="3"/>
    </row>
    <row r="880">
      <c r="F880" s="2"/>
      <c r="G880" s="2"/>
      <c r="H880" s="3"/>
      <c r="I880" s="3"/>
    </row>
    <row r="881">
      <c r="F881" s="2"/>
      <c r="G881" s="2"/>
      <c r="H881" s="3"/>
      <c r="I881" s="3"/>
    </row>
    <row r="882">
      <c r="F882" s="2"/>
      <c r="G882" s="2"/>
      <c r="H882" s="3"/>
      <c r="I882" s="3"/>
    </row>
    <row r="883">
      <c r="F883" s="2"/>
      <c r="G883" s="2"/>
      <c r="H883" s="3"/>
      <c r="I883" s="3"/>
    </row>
    <row r="884">
      <c r="F884" s="2"/>
      <c r="G884" s="2"/>
      <c r="H884" s="3"/>
      <c r="I884" s="3"/>
    </row>
    <row r="885">
      <c r="F885" s="2"/>
      <c r="G885" s="2"/>
      <c r="H885" s="3"/>
      <c r="I885" s="3"/>
    </row>
    <row r="886">
      <c r="F886" s="2"/>
      <c r="G886" s="2"/>
      <c r="H886" s="3"/>
      <c r="I886" s="3"/>
    </row>
    <row r="887">
      <c r="F887" s="2"/>
      <c r="G887" s="2"/>
      <c r="H887" s="3"/>
      <c r="I887" s="3"/>
    </row>
    <row r="888">
      <c r="F888" s="2"/>
      <c r="G888" s="2"/>
      <c r="H888" s="3"/>
      <c r="I888" s="3"/>
    </row>
    <row r="889">
      <c r="F889" s="2"/>
      <c r="G889" s="2"/>
      <c r="H889" s="3"/>
      <c r="I889" s="3"/>
    </row>
    <row r="890">
      <c r="F890" s="2"/>
      <c r="G890" s="2"/>
      <c r="H890" s="3"/>
      <c r="I890" s="3"/>
    </row>
    <row r="891">
      <c r="F891" s="2"/>
      <c r="G891" s="2"/>
      <c r="H891" s="3"/>
      <c r="I891" s="3"/>
    </row>
    <row r="892">
      <c r="F892" s="2"/>
      <c r="G892" s="2"/>
      <c r="H892" s="3"/>
      <c r="I892" s="3"/>
    </row>
    <row r="893">
      <c r="F893" s="2"/>
      <c r="G893" s="2"/>
      <c r="H893" s="3"/>
      <c r="I893" s="3"/>
    </row>
    <row r="894">
      <c r="F894" s="2"/>
      <c r="G894" s="2"/>
      <c r="H894" s="3"/>
      <c r="I894" s="3"/>
    </row>
    <row r="895">
      <c r="F895" s="2"/>
      <c r="G895" s="2"/>
      <c r="H895" s="3"/>
      <c r="I895" s="3"/>
    </row>
    <row r="896">
      <c r="F896" s="2"/>
      <c r="G896" s="2"/>
      <c r="H896" s="3"/>
      <c r="I896" s="3"/>
    </row>
    <row r="897">
      <c r="F897" s="2"/>
      <c r="G897" s="2"/>
      <c r="H897" s="3"/>
      <c r="I897" s="3"/>
    </row>
    <row r="898">
      <c r="F898" s="2"/>
      <c r="G898" s="2"/>
      <c r="H898" s="3"/>
      <c r="I898" s="3"/>
    </row>
    <row r="899">
      <c r="F899" s="2"/>
      <c r="G899" s="2"/>
      <c r="H899" s="3"/>
      <c r="I899" s="3"/>
    </row>
    <row r="900">
      <c r="F900" s="2"/>
      <c r="G900" s="2"/>
      <c r="H900" s="3"/>
      <c r="I900" s="3"/>
    </row>
    <row r="901">
      <c r="F901" s="2"/>
      <c r="G901" s="2"/>
      <c r="H901" s="3"/>
      <c r="I901" s="3"/>
    </row>
    <row r="902">
      <c r="F902" s="2"/>
      <c r="G902" s="2"/>
      <c r="H902" s="3"/>
      <c r="I902" s="3"/>
    </row>
    <row r="903">
      <c r="F903" s="2"/>
      <c r="G903" s="2"/>
      <c r="H903" s="3"/>
      <c r="I903" s="3"/>
    </row>
    <row r="904">
      <c r="F904" s="2"/>
      <c r="G904" s="2"/>
      <c r="H904" s="3"/>
      <c r="I904" s="3"/>
    </row>
    <row r="905">
      <c r="F905" s="2"/>
      <c r="G905" s="2"/>
      <c r="H905" s="3"/>
      <c r="I905" s="3"/>
    </row>
    <row r="906">
      <c r="F906" s="2"/>
      <c r="G906" s="2"/>
      <c r="H906" s="3"/>
      <c r="I906" s="3"/>
    </row>
    <row r="907">
      <c r="F907" s="2"/>
      <c r="G907" s="2"/>
      <c r="H907" s="3"/>
      <c r="I907" s="3"/>
    </row>
    <row r="908">
      <c r="F908" s="2"/>
      <c r="G908" s="2"/>
      <c r="H908" s="3"/>
      <c r="I908" s="3"/>
    </row>
    <row r="909">
      <c r="F909" s="2"/>
      <c r="G909" s="2"/>
      <c r="H909" s="3"/>
      <c r="I909" s="3"/>
    </row>
    <row r="910">
      <c r="F910" s="2"/>
      <c r="G910" s="2"/>
      <c r="H910" s="3"/>
      <c r="I910" s="3"/>
    </row>
    <row r="911">
      <c r="F911" s="2"/>
      <c r="G911" s="2"/>
      <c r="H911" s="3"/>
      <c r="I911" s="3"/>
    </row>
    <row r="912">
      <c r="F912" s="2"/>
      <c r="G912" s="2"/>
      <c r="H912" s="3"/>
      <c r="I912" s="3"/>
    </row>
    <row r="913">
      <c r="F913" s="2"/>
      <c r="G913" s="2"/>
      <c r="H913" s="3"/>
      <c r="I913" s="3"/>
    </row>
    <row r="914">
      <c r="F914" s="2"/>
      <c r="G914" s="2"/>
      <c r="H914" s="3"/>
      <c r="I914" s="3"/>
    </row>
    <row r="915">
      <c r="F915" s="2"/>
      <c r="G915" s="2"/>
      <c r="H915" s="3"/>
      <c r="I915" s="3"/>
    </row>
    <row r="916">
      <c r="F916" s="2"/>
      <c r="G916" s="2"/>
      <c r="H916" s="3"/>
      <c r="I916" s="3"/>
    </row>
    <row r="917">
      <c r="F917" s="2"/>
      <c r="G917" s="2"/>
      <c r="H917" s="3"/>
      <c r="I917" s="3"/>
    </row>
    <row r="918">
      <c r="F918" s="2"/>
      <c r="G918" s="2"/>
      <c r="H918" s="3"/>
      <c r="I918" s="3"/>
    </row>
    <row r="919">
      <c r="F919" s="2"/>
      <c r="G919" s="2"/>
      <c r="H919" s="3"/>
      <c r="I919" s="3"/>
    </row>
    <row r="920">
      <c r="F920" s="2"/>
      <c r="G920" s="2"/>
      <c r="H920" s="3"/>
      <c r="I920" s="3"/>
    </row>
    <row r="921">
      <c r="F921" s="2"/>
      <c r="G921" s="2"/>
      <c r="H921" s="3"/>
      <c r="I921" s="3"/>
    </row>
    <row r="922">
      <c r="F922" s="2"/>
      <c r="G922" s="2"/>
      <c r="H922" s="3"/>
      <c r="I922" s="3"/>
    </row>
    <row r="923">
      <c r="F923" s="2"/>
      <c r="G923" s="2"/>
      <c r="H923" s="3"/>
      <c r="I923" s="3"/>
    </row>
    <row r="924">
      <c r="F924" s="2"/>
      <c r="G924" s="2"/>
      <c r="H924" s="3"/>
      <c r="I924" s="3"/>
    </row>
    <row r="925">
      <c r="F925" s="2"/>
      <c r="G925" s="2"/>
      <c r="H925" s="3"/>
      <c r="I925" s="3"/>
    </row>
    <row r="926">
      <c r="F926" s="2"/>
      <c r="G926" s="2"/>
      <c r="H926" s="3"/>
      <c r="I926" s="3"/>
    </row>
    <row r="927">
      <c r="F927" s="2"/>
      <c r="G927" s="2"/>
      <c r="H927" s="3"/>
      <c r="I927" s="3"/>
    </row>
    <row r="928">
      <c r="F928" s="2"/>
      <c r="G928" s="2"/>
      <c r="H928" s="3"/>
      <c r="I928" s="3"/>
    </row>
    <row r="929">
      <c r="F929" s="2"/>
      <c r="G929" s="2"/>
      <c r="H929" s="3"/>
      <c r="I929" s="3"/>
    </row>
    <row r="930">
      <c r="F930" s="2"/>
      <c r="G930" s="2"/>
      <c r="H930" s="3"/>
      <c r="I930" s="3"/>
    </row>
    <row r="931">
      <c r="F931" s="2"/>
      <c r="G931" s="2"/>
      <c r="H931" s="3"/>
      <c r="I931" s="3"/>
    </row>
    <row r="932">
      <c r="F932" s="2"/>
      <c r="G932" s="2"/>
      <c r="H932" s="3"/>
      <c r="I932" s="3"/>
    </row>
    <row r="933">
      <c r="F933" s="2"/>
      <c r="G933" s="2"/>
      <c r="H933" s="3"/>
      <c r="I933" s="3"/>
    </row>
    <row r="934">
      <c r="F934" s="2"/>
      <c r="G934" s="2"/>
      <c r="H934" s="3"/>
      <c r="I934" s="3"/>
    </row>
    <row r="935">
      <c r="F935" s="2"/>
      <c r="G935" s="2"/>
      <c r="H935" s="3"/>
      <c r="I935" s="3"/>
    </row>
    <row r="936">
      <c r="F936" s="2"/>
      <c r="G936" s="2"/>
      <c r="H936" s="3"/>
      <c r="I936" s="3"/>
    </row>
    <row r="937">
      <c r="F937" s="2"/>
      <c r="G937" s="2"/>
      <c r="H937" s="3"/>
      <c r="I937" s="3"/>
    </row>
    <row r="938">
      <c r="F938" s="2"/>
      <c r="G938" s="2"/>
      <c r="H938" s="3"/>
      <c r="I938" s="3"/>
    </row>
    <row r="939">
      <c r="F939" s="2"/>
      <c r="G939" s="2"/>
      <c r="H939" s="3"/>
      <c r="I939" s="3"/>
    </row>
    <row r="940">
      <c r="F940" s="2"/>
      <c r="G940" s="2"/>
      <c r="H940" s="3"/>
      <c r="I940" s="3"/>
    </row>
    <row r="941">
      <c r="F941" s="2"/>
      <c r="G941" s="2"/>
      <c r="H941" s="3"/>
      <c r="I941" s="3"/>
    </row>
    <row r="942">
      <c r="F942" s="2"/>
      <c r="G942" s="2"/>
      <c r="H942" s="3"/>
      <c r="I942" s="3"/>
    </row>
    <row r="943">
      <c r="F943" s="2"/>
      <c r="G943" s="2"/>
      <c r="H943" s="3"/>
      <c r="I943" s="3"/>
    </row>
    <row r="944">
      <c r="F944" s="2"/>
      <c r="G944" s="2"/>
      <c r="H944" s="3"/>
      <c r="I944" s="3"/>
    </row>
    <row r="945">
      <c r="F945" s="2"/>
      <c r="G945" s="2"/>
      <c r="H945" s="3"/>
      <c r="I945" s="3"/>
    </row>
    <row r="946">
      <c r="F946" s="2"/>
      <c r="G946" s="2"/>
      <c r="H946" s="3"/>
      <c r="I946" s="3"/>
    </row>
    <row r="947">
      <c r="F947" s="2"/>
      <c r="G947" s="2"/>
      <c r="H947" s="3"/>
      <c r="I947" s="3"/>
    </row>
    <row r="948">
      <c r="F948" s="2"/>
      <c r="G948" s="2"/>
      <c r="H948" s="3"/>
      <c r="I948" s="3"/>
    </row>
    <row r="949">
      <c r="F949" s="2"/>
      <c r="G949" s="2"/>
      <c r="H949" s="3"/>
      <c r="I949" s="3"/>
    </row>
    <row r="950">
      <c r="F950" s="2"/>
      <c r="G950" s="2"/>
      <c r="H950" s="3"/>
      <c r="I950" s="3"/>
    </row>
    <row r="951">
      <c r="F951" s="2"/>
      <c r="G951" s="2"/>
      <c r="H951" s="3"/>
      <c r="I951" s="3"/>
    </row>
    <row r="952">
      <c r="F952" s="2"/>
      <c r="G952" s="2"/>
      <c r="H952" s="3"/>
      <c r="I952" s="3"/>
    </row>
    <row r="953">
      <c r="F953" s="2"/>
      <c r="G953" s="2"/>
      <c r="H953" s="3"/>
      <c r="I953" s="3"/>
    </row>
    <row r="954">
      <c r="F954" s="2"/>
      <c r="G954" s="2"/>
      <c r="H954" s="3"/>
      <c r="I954" s="3"/>
    </row>
    <row r="955">
      <c r="F955" s="2"/>
      <c r="G955" s="2"/>
      <c r="H955" s="3"/>
      <c r="I955" s="3"/>
    </row>
    <row r="956">
      <c r="F956" s="2"/>
      <c r="G956" s="2"/>
      <c r="H956" s="3"/>
      <c r="I956" s="3"/>
    </row>
    <row r="957">
      <c r="F957" s="2"/>
      <c r="G957" s="2"/>
      <c r="H957" s="3"/>
      <c r="I957" s="3"/>
    </row>
    <row r="958">
      <c r="F958" s="2"/>
      <c r="G958" s="2"/>
      <c r="H958" s="3"/>
      <c r="I958" s="3"/>
    </row>
    <row r="959">
      <c r="F959" s="2"/>
      <c r="G959" s="2"/>
      <c r="H959" s="3"/>
      <c r="I959" s="3"/>
    </row>
    <row r="960">
      <c r="F960" s="2"/>
      <c r="G960" s="2"/>
      <c r="H960" s="3"/>
      <c r="I960" s="3"/>
    </row>
    <row r="961">
      <c r="F961" s="2"/>
      <c r="G961" s="2"/>
      <c r="H961" s="3"/>
      <c r="I961" s="3"/>
    </row>
    <row r="962">
      <c r="F962" s="2"/>
      <c r="G962" s="2"/>
      <c r="H962" s="3"/>
      <c r="I962" s="3"/>
    </row>
    <row r="963">
      <c r="F963" s="2"/>
      <c r="G963" s="2"/>
      <c r="H963" s="3"/>
      <c r="I963" s="3"/>
    </row>
    <row r="964">
      <c r="F964" s="2"/>
      <c r="G964" s="2"/>
      <c r="H964" s="3"/>
      <c r="I964" s="3"/>
    </row>
    <row r="965">
      <c r="F965" s="2"/>
      <c r="G965" s="2"/>
      <c r="H965" s="3"/>
      <c r="I965" s="3"/>
    </row>
    <row r="966">
      <c r="F966" s="2"/>
      <c r="G966" s="2"/>
      <c r="H966" s="3"/>
      <c r="I966" s="3"/>
    </row>
    <row r="967">
      <c r="F967" s="2"/>
      <c r="G967" s="2"/>
      <c r="H967" s="3"/>
      <c r="I967" s="3"/>
    </row>
    <row r="968">
      <c r="F968" s="2"/>
      <c r="G968" s="2"/>
      <c r="H968" s="3"/>
      <c r="I968" s="3"/>
    </row>
    <row r="969">
      <c r="F969" s="2"/>
      <c r="G969" s="2"/>
      <c r="H969" s="3"/>
      <c r="I969" s="3"/>
    </row>
    <row r="970">
      <c r="F970" s="2"/>
      <c r="G970" s="2"/>
      <c r="H970" s="3"/>
      <c r="I970" s="3"/>
    </row>
    <row r="971">
      <c r="F971" s="2"/>
      <c r="G971" s="2"/>
      <c r="H971" s="3"/>
      <c r="I971" s="3"/>
    </row>
    <row r="972">
      <c r="F972" s="2"/>
      <c r="G972" s="2"/>
      <c r="H972" s="3"/>
      <c r="I972" s="3"/>
    </row>
    <row r="973">
      <c r="F973" s="2"/>
      <c r="G973" s="2"/>
      <c r="H973" s="3"/>
      <c r="I973" s="3"/>
    </row>
    <row r="974">
      <c r="F974" s="2"/>
      <c r="G974" s="2"/>
      <c r="H974" s="3"/>
      <c r="I974" s="3"/>
    </row>
    <row r="975">
      <c r="F975" s="2"/>
      <c r="G975" s="2"/>
      <c r="H975" s="3"/>
      <c r="I975" s="3"/>
    </row>
    <row r="976">
      <c r="F976" s="2"/>
      <c r="G976" s="2"/>
      <c r="H976" s="3"/>
      <c r="I976" s="3"/>
    </row>
    <row r="977">
      <c r="F977" s="2"/>
      <c r="G977" s="2"/>
      <c r="H977" s="3"/>
      <c r="I977" s="3"/>
    </row>
    <row r="978">
      <c r="F978" s="2"/>
      <c r="G978" s="2"/>
      <c r="H978" s="3"/>
      <c r="I978" s="3"/>
    </row>
    <row r="979">
      <c r="F979" s="2"/>
      <c r="G979" s="2"/>
      <c r="H979" s="3"/>
      <c r="I979" s="3"/>
    </row>
    <row r="980">
      <c r="F980" s="2"/>
      <c r="G980" s="2"/>
      <c r="H980" s="3"/>
      <c r="I980" s="3"/>
    </row>
    <row r="981">
      <c r="F981" s="2"/>
      <c r="G981" s="2"/>
      <c r="H981" s="3"/>
      <c r="I981" s="3"/>
    </row>
    <row r="982">
      <c r="F982" s="2"/>
      <c r="G982" s="2"/>
      <c r="H982" s="3"/>
      <c r="I982" s="3"/>
    </row>
    <row r="983">
      <c r="F983" s="2"/>
      <c r="G983" s="2"/>
      <c r="H983" s="3"/>
      <c r="I983" s="3"/>
    </row>
    <row r="984">
      <c r="F984" s="2"/>
      <c r="G984" s="2"/>
      <c r="H984" s="3"/>
      <c r="I984" s="3"/>
    </row>
    <row r="985">
      <c r="F985" s="2"/>
      <c r="G985" s="2"/>
      <c r="H985" s="3"/>
      <c r="I985" s="3"/>
    </row>
    <row r="986">
      <c r="F986" s="2"/>
      <c r="G986" s="2"/>
      <c r="H986" s="3"/>
      <c r="I986" s="3"/>
    </row>
    <row r="987">
      <c r="F987" s="2"/>
      <c r="G987" s="2"/>
      <c r="H987" s="3"/>
      <c r="I987" s="3"/>
    </row>
    <row r="988">
      <c r="F988" s="2"/>
      <c r="G988" s="2"/>
      <c r="H988" s="3"/>
      <c r="I988" s="3"/>
    </row>
    <row r="989">
      <c r="F989" s="2"/>
      <c r="G989" s="2"/>
      <c r="H989" s="3"/>
      <c r="I989" s="3"/>
    </row>
    <row r="990">
      <c r="F990" s="2"/>
      <c r="G990" s="2"/>
      <c r="H990" s="3"/>
      <c r="I990" s="3"/>
    </row>
    <row r="991">
      <c r="F991" s="2"/>
      <c r="G991" s="2"/>
      <c r="H991" s="3"/>
      <c r="I991" s="3"/>
    </row>
    <row r="992">
      <c r="F992" s="2"/>
      <c r="G992" s="2"/>
      <c r="H992" s="3"/>
      <c r="I992" s="3"/>
    </row>
    <row r="993">
      <c r="F993" s="2"/>
      <c r="G993" s="2"/>
      <c r="H993" s="3"/>
      <c r="I993" s="3"/>
    </row>
    <row r="994">
      <c r="F994" s="2"/>
      <c r="G994" s="2"/>
      <c r="H994" s="3"/>
      <c r="I994" s="3"/>
    </row>
    <row r="995">
      <c r="F995" s="2"/>
      <c r="G995" s="2"/>
      <c r="H995" s="3"/>
      <c r="I995" s="3"/>
    </row>
    <row r="996">
      <c r="F996" s="2"/>
      <c r="G996" s="2"/>
      <c r="H996" s="3"/>
      <c r="I996" s="3"/>
    </row>
    <row r="997">
      <c r="F997" s="2"/>
      <c r="G997" s="2"/>
      <c r="H997" s="3"/>
      <c r="I997" s="3"/>
    </row>
    <row r="998">
      <c r="F998" s="2"/>
      <c r="G998" s="2"/>
      <c r="H998" s="3"/>
      <c r="I998" s="3"/>
    </row>
    <row r="999">
      <c r="F999" s="2"/>
      <c r="G999" s="2"/>
      <c r="H999" s="3"/>
      <c r="I999" s="3"/>
    </row>
    <row r="1000">
      <c r="F1000" s="2"/>
      <c r="G1000" s="2"/>
      <c r="H1000" s="3"/>
      <c r="I1000" s="3"/>
    </row>
  </sheetData>
  <dataValidations>
    <dataValidation type="list" allowBlank="1" sqref="I2:I1000">
      <formula1>Settings!$C$2:$C1000</formula1>
    </dataValidation>
    <dataValidation type="list" allowBlank="1" sqref="H2:H1000">
      <formula1>Settings!$E$2:$E1000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5"/>
    <col customWidth="1" min="2" max="2" width="23.0"/>
    <col customWidth="1" min="3" max="3" width="15.38"/>
    <col customWidth="1" min="4" max="4" width="23.5"/>
    <col customWidth="1" min="5" max="5" width="22.75"/>
    <col customWidth="1" min="6" max="6" width="23.0"/>
    <col customWidth="1" min="7" max="7" width="14.75"/>
    <col customWidth="1" min="8" max="8" width="16.75"/>
    <col customWidth="1" min="9" max="9" width="13.25"/>
  </cols>
  <sheetData>
    <row r="1">
      <c r="A1" s="1" t="s">
        <v>153</v>
      </c>
      <c r="B1" s="1" t="s">
        <v>154</v>
      </c>
      <c r="C1" s="1" t="s">
        <v>13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17</v>
      </c>
      <c r="I1" s="1" t="s">
        <v>19</v>
      </c>
    </row>
    <row r="2">
      <c r="B2" s="22" t="s">
        <v>72</v>
      </c>
      <c r="D2" s="30">
        <v>2399.0</v>
      </c>
      <c r="E2" s="2"/>
      <c r="F2" s="22" t="s">
        <v>159</v>
      </c>
      <c r="G2" s="22" t="s">
        <v>143</v>
      </c>
      <c r="H2" s="22" t="s">
        <v>94</v>
      </c>
    </row>
    <row r="3">
      <c r="B3" s="22" t="s">
        <v>72</v>
      </c>
      <c r="D3" s="30">
        <v>2399.0</v>
      </c>
      <c r="E3" s="2"/>
      <c r="F3" s="22" t="s">
        <v>160</v>
      </c>
      <c r="G3" s="22" t="s">
        <v>143</v>
      </c>
      <c r="H3" s="22" t="s">
        <v>94</v>
      </c>
    </row>
    <row r="4">
      <c r="B4" s="22" t="s">
        <v>161</v>
      </c>
      <c r="D4" s="30">
        <v>2000.0</v>
      </c>
      <c r="E4" s="2"/>
      <c r="F4" s="22" t="s">
        <v>162</v>
      </c>
      <c r="G4" s="22" t="s">
        <v>163</v>
      </c>
      <c r="H4" s="22" t="s">
        <v>94</v>
      </c>
    </row>
    <row r="5">
      <c r="D5" s="2"/>
      <c r="E5" s="2"/>
      <c r="G5" s="3"/>
      <c r="H5" s="3"/>
    </row>
    <row r="6">
      <c r="D6" s="2"/>
      <c r="E6" s="2"/>
      <c r="G6" s="3"/>
      <c r="H6" s="3"/>
    </row>
    <row r="7">
      <c r="D7" s="2"/>
      <c r="E7" s="2"/>
      <c r="G7" s="3"/>
      <c r="H7" s="3"/>
    </row>
    <row r="8">
      <c r="D8" s="2"/>
      <c r="E8" s="2"/>
      <c r="G8" s="3"/>
      <c r="H8" s="3"/>
    </row>
    <row r="9">
      <c r="D9" s="2"/>
      <c r="E9" s="2"/>
      <c r="G9" s="3"/>
      <c r="H9" s="3"/>
    </row>
    <row r="10">
      <c r="D10" s="2"/>
      <c r="E10" s="2"/>
      <c r="G10" s="3"/>
      <c r="H10" s="3"/>
    </row>
    <row r="11">
      <c r="D11" s="2"/>
      <c r="E11" s="2"/>
      <c r="G11" s="3"/>
      <c r="H11" s="3"/>
    </row>
    <row r="12">
      <c r="D12" s="2"/>
      <c r="E12" s="2"/>
      <c r="G12" s="3"/>
      <c r="H12" s="3"/>
    </row>
    <row r="13">
      <c r="D13" s="2"/>
      <c r="E13" s="2"/>
      <c r="G13" s="3"/>
      <c r="H13" s="3"/>
    </row>
    <row r="14">
      <c r="D14" s="2"/>
      <c r="E14" s="2"/>
      <c r="G14" s="3"/>
      <c r="H14" s="3"/>
    </row>
    <row r="15">
      <c r="D15" s="2"/>
      <c r="E15" s="2"/>
      <c r="G15" s="3"/>
      <c r="H15" s="3"/>
    </row>
    <row r="16">
      <c r="D16" s="2"/>
      <c r="E16" s="2"/>
      <c r="G16" s="3"/>
      <c r="H16" s="3"/>
    </row>
    <row r="17">
      <c r="D17" s="2"/>
      <c r="E17" s="2"/>
      <c r="G17" s="3"/>
      <c r="H17" s="3"/>
    </row>
    <row r="18">
      <c r="D18" s="2"/>
      <c r="E18" s="2"/>
      <c r="G18" s="3"/>
      <c r="H18" s="3"/>
    </row>
    <row r="19">
      <c r="D19" s="2"/>
      <c r="E19" s="2"/>
      <c r="G19" s="3"/>
      <c r="H19" s="3"/>
    </row>
    <row r="20">
      <c r="D20" s="2"/>
      <c r="E20" s="2"/>
      <c r="G20" s="3"/>
      <c r="H20" s="3"/>
    </row>
    <row r="21">
      <c r="D21" s="2"/>
      <c r="E21" s="2"/>
      <c r="G21" s="3"/>
      <c r="H21" s="3"/>
    </row>
    <row r="22">
      <c r="D22" s="2"/>
      <c r="E22" s="2"/>
      <c r="G22" s="3"/>
      <c r="H22" s="3"/>
    </row>
    <row r="23">
      <c r="D23" s="2"/>
      <c r="E23" s="2"/>
      <c r="G23" s="3"/>
      <c r="H23" s="3"/>
    </row>
    <row r="24">
      <c r="D24" s="2"/>
      <c r="E24" s="2"/>
      <c r="G24" s="3"/>
      <c r="H24" s="3"/>
    </row>
    <row r="25">
      <c r="D25" s="2"/>
      <c r="E25" s="2"/>
      <c r="G25" s="3"/>
      <c r="H25" s="3"/>
    </row>
    <row r="26">
      <c r="D26" s="2"/>
      <c r="E26" s="2"/>
      <c r="G26" s="3"/>
      <c r="H26" s="3"/>
    </row>
    <row r="27">
      <c r="D27" s="2"/>
      <c r="E27" s="2"/>
      <c r="G27" s="3"/>
      <c r="H27" s="3"/>
    </row>
    <row r="28">
      <c r="D28" s="2"/>
      <c r="E28" s="2"/>
      <c r="G28" s="3"/>
      <c r="H28" s="3"/>
    </row>
    <row r="29">
      <c r="D29" s="2"/>
      <c r="E29" s="2"/>
      <c r="G29" s="3"/>
      <c r="H29" s="3"/>
    </row>
    <row r="30">
      <c r="D30" s="2"/>
      <c r="E30" s="2"/>
      <c r="G30" s="3"/>
      <c r="H30" s="3"/>
    </row>
    <row r="31">
      <c r="D31" s="2"/>
      <c r="E31" s="2"/>
      <c r="G31" s="3"/>
      <c r="H31" s="3"/>
    </row>
    <row r="32">
      <c r="D32" s="2"/>
      <c r="E32" s="2"/>
      <c r="G32" s="3"/>
      <c r="H32" s="3"/>
    </row>
    <row r="33">
      <c r="D33" s="2"/>
      <c r="E33" s="2"/>
      <c r="G33" s="3"/>
      <c r="H33" s="3"/>
    </row>
    <row r="34">
      <c r="D34" s="2"/>
      <c r="E34" s="2"/>
      <c r="G34" s="3"/>
      <c r="H34" s="3"/>
    </row>
    <row r="35">
      <c r="D35" s="2"/>
      <c r="E35" s="2"/>
      <c r="G35" s="3"/>
      <c r="H35" s="3"/>
    </row>
    <row r="36">
      <c r="D36" s="2"/>
      <c r="E36" s="2"/>
      <c r="G36" s="3"/>
      <c r="H36" s="3"/>
    </row>
    <row r="37">
      <c r="D37" s="2"/>
      <c r="E37" s="2"/>
      <c r="G37" s="3"/>
      <c r="H37" s="3"/>
    </row>
    <row r="38">
      <c r="D38" s="2"/>
      <c r="E38" s="2"/>
      <c r="G38" s="3"/>
      <c r="H38" s="3"/>
    </row>
    <row r="39">
      <c r="D39" s="2"/>
      <c r="E39" s="2"/>
      <c r="G39" s="3"/>
      <c r="H39" s="3"/>
    </row>
    <row r="40">
      <c r="D40" s="2"/>
      <c r="E40" s="2"/>
      <c r="G40" s="3"/>
      <c r="H40" s="3"/>
    </row>
    <row r="41">
      <c r="D41" s="2"/>
      <c r="E41" s="2"/>
      <c r="G41" s="3"/>
      <c r="H41" s="3"/>
    </row>
    <row r="42">
      <c r="D42" s="2"/>
      <c r="E42" s="2"/>
      <c r="G42" s="3"/>
      <c r="H42" s="3"/>
    </row>
    <row r="43">
      <c r="D43" s="2"/>
      <c r="E43" s="2"/>
      <c r="G43" s="3"/>
      <c r="H43" s="3"/>
    </row>
    <row r="44">
      <c r="D44" s="2"/>
      <c r="E44" s="2"/>
      <c r="G44" s="3"/>
      <c r="H44" s="3"/>
    </row>
    <row r="45">
      <c r="D45" s="2"/>
      <c r="E45" s="2"/>
      <c r="G45" s="3"/>
      <c r="H45" s="3"/>
    </row>
    <row r="46">
      <c r="D46" s="2"/>
      <c r="E46" s="2"/>
      <c r="G46" s="3"/>
      <c r="H46" s="3"/>
    </row>
    <row r="47">
      <c r="D47" s="2"/>
      <c r="E47" s="2"/>
      <c r="G47" s="3"/>
      <c r="H47" s="3"/>
    </row>
    <row r="48">
      <c r="D48" s="2"/>
      <c r="E48" s="2"/>
      <c r="G48" s="3"/>
      <c r="H48" s="3"/>
    </row>
    <row r="49">
      <c r="D49" s="2"/>
      <c r="E49" s="2"/>
      <c r="G49" s="3"/>
      <c r="H49" s="3"/>
    </row>
    <row r="50">
      <c r="D50" s="2"/>
      <c r="E50" s="2"/>
      <c r="G50" s="3"/>
      <c r="H50" s="3"/>
    </row>
    <row r="51">
      <c r="D51" s="2"/>
      <c r="E51" s="2"/>
      <c r="G51" s="3"/>
      <c r="H51" s="3"/>
    </row>
    <row r="52">
      <c r="D52" s="2"/>
      <c r="E52" s="2"/>
      <c r="G52" s="3"/>
      <c r="H52" s="3"/>
    </row>
    <row r="53">
      <c r="D53" s="2"/>
      <c r="E53" s="2"/>
      <c r="G53" s="3"/>
      <c r="H53" s="3"/>
    </row>
    <row r="54">
      <c r="D54" s="2"/>
      <c r="E54" s="2"/>
      <c r="G54" s="3"/>
      <c r="H54" s="3"/>
    </row>
    <row r="55">
      <c r="D55" s="2"/>
      <c r="E55" s="2"/>
      <c r="G55" s="3"/>
      <c r="H55" s="3"/>
    </row>
    <row r="56">
      <c r="D56" s="2"/>
      <c r="E56" s="2"/>
      <c r="G56" s="3"/>
      <c r="H56" s="3"/>
    </row>
    <row r="57">
      <c r="D57" s="2"/>
      <c r="E57" s="2"/>
      <c r="G57" s="3"/>
      <c r="H57" s="3"/>
    </row>
    <row r="58">
      <c r="D58" s="2"/>
      <c r="E58" s="2"/>
      <c r="G58" s="3"/>
      <c r="H58" s="3"/>
    </row>
    <row r="59">
      <c r="D59" s="2"/>
      <c r="E59" s="2"/>
      <c r="G59" s="3"/>
      <c r="H59" s="3"/>
    </row>
    <row r="60">
      <c r="D60" s="2"/>
      <c r="E60" s="2"/>
      <c r="G60" s="3"/>
      <c r="H60" s="3"/>
    </row>
    <row r="61">
      <c r="D61" s="2"/>
      <c r="E61" s="2"/>
      <c r="G61" s="3"/>
      <c r="H61" s="3"/>
    </row>
    <row r="62">
      <c r="D62" s="2"/>
      <c r="E62" s="2"/>
      <c r="G62" s="3"/>
      <c r="H62" s="3"/>
    </row>
    <row r="63">
      <c r="D63" s="2"/>
      <c r="E63" s="2"/>
      <c r="G63" s="3"/>
      <c r="H63" s="3"/>
    </row>
    <row r="64">
      <c r="D64" s="2"/>
      <c r="E64" s="2"/>
      <c r="G64" s="3"/>
      <c r="H64" s="3"/>
    </row>
    <row r="65">
      <c r="D65" s="2"/>
      <c r="E65" s="2"/>
      <c r="G65" s="3"/>
      <c r="H65" s="3"/>
    </row>
    <row r="66">
      <c r="D66" s="2"/>
      <c r="E66" s="2"/>
      <c r="G66" s="3"/>
      <c r="H66" s="3"/>
    </row>
    <row r="67">
      <c r="D67" s="2"/>
      <c r="E67" s="2"/>
      <c r="G67" s="3"/>
      <c r="H67" s="3"/>
    </row>
    <row r="68">
      <c r="D68" s="2"/>
      <c r="E68" s="2"/>
      <c r="G68" s="3"/>
      <c r="H68" s="3"/>
    </row>
    <row r="69">
      <c r="D69" s="2"/>
      <c r="E69" s="2"/>
      <c r="G69" s="3"/>
      <c r="H69" s="3"/>
    </row>
    <row r="70">
      <c r="D70" s="2"/>
      <c r="E70" s="2"/>
      <c r="G70" s="3"/>
      <c r="H70" s="3"/>
    </row>
    <row r="71">
      <c r="D71" s="2"/>
      <c r="E71" s="2"/>
      <c r="G71" s="3"/>
      <c r="H71" s="3"/>
    </row>
    <row r="72">
      <c r="D72" s="2"/>
      <c r="E72" s="2"/>
      <c r="G72" s="3"/>
      <c r="H72" s="3"/>
    </row>
    <row r="73">
      <c r="D73" s="2"/>
      <c r="E73" s="2"/>
      <c r="G73" s="3"/>
      <c r="H73" s="3"/>
    </row>
    <row r="74">
      <c r="D74" s="2"/>
      <c r="E74" s="2"/>
      <c r="G74" s="3"/>
      <c r="H74" s="3"/>
    </row>
    <row r="75">
      <c r="D75" s="2"/>
      <c r="E75" s="2"/>
      <c r="G75" s="3"/>
      <c r="H75" s="3"/>
    </row>
    <row r="76">
      <c r="D76" s="2"/>
      <c r="E76" s="2"/>
      <c r="G76" s="3"/>
      <c r="H76" s="3"/>
    </row>
    <row r="77">
      <c r="D77" s="2"/>
      <c r="E77" s="2"/>
      <c r="G77" s="3"/>
      <c r="H77" s="3"/>
    </row>
    <row r="78">
      <c r="D78" s="2"/>
      <c r="E78" s="2"/>
      <c r="G78" s="3"/>
      <c r="H78" s="3"/>
    </row>
    <row r="79">
      <c r="D79" s="2"/>
      <c r="E79" s="2"/>
      <c r="G79" s="3"/>
      <c r="H79" s="3"/>
    </row>
    <row r="80">
      <c r="D80" s="2"/>
      <c r="E80" s="2"/>
      <c r="G80" s="3"/>
      <c r="H80" s="3"/>
    </row>
    <row r="81">
      <c r="D81" s="2"/>
      <c r="E81" s="2"/>
      <c r="G81" s="3"/>
      <c r="H81" s="3"/>
    </row>
    <row r="82">
      <c r="D82" s="2"/>
      <c r="E82" s="2"/>
      <c r="G82" s="3"/>
      <c r="H82" s="3"/>
    </row>
    <row r="83">
      <c r="D83" s="2"/>
      <c r="E83" s="2"/>
      <c r="G83" s="3"/>
      <c r="H83" s="3"/>
    </row>
    <row r="84">
      <c r="D84" s="2"/>
      <c r="E84" s="2"/>
      <c r="G84" s="3"/>
      <c r="H84" s="3"/>
    </row>
    <row r="85">
      <c r="D85" s="2"/>
      <c r="E85" s="2"/>
      <c r="G85" s="3"/>
      <c r="H85" s="3"/>
    </row>
    <row r="86">
      <c r="D86" s="2"/>
      <c r="E86" s="2"/>
      <c r="G86" s="3"/>
      <c r="H86" s="3"/>
    </row>
    <row r="87">
      <c r="D87" s="2"/>
      <c r="E87" s="2"/>
      <c r="G87" s="3"/>
      <c r="H87" s="3"/>
    </row>
    <row r="88">
      <c r="D88" s="2"/>
      <c r="E88" s="2"/>
      <c r="G88" s="3"/>
      <c r="H88" s="3"/>
    </row>
    <row r="89">
      <c r="D89" s="2"/>
      <c r="E89" s="2"/>
      <c r="G89" s="3"/>
      <c r="H89" s="3"/>
    </row>
    <row r="90">
      <c r="D90" s="2"/>
      <c r="E90" s="2"/>
      <c r="G90" s="3"/>
      <c r="H90" s="3"/>
    </row>
    <row r="91">
      <c r="D91" s="2"/>
      <c r="E91" s="2"/>
      <c r="G91" s="3"/>
      <c r="H91" s="3"/>
    </row>
    <row r="92">
      <c r="D92" s="2"/>
      <c r="E92" s="2"/>
      <c r="G92" s="3"/>
      <c r="H92" s="3"/>
    </row>
    <row r="93">
      <c r="D93" s="2"/>
      <c r="E93" s="2"/>
      <c r="G93" s="3"/>
      <c r="H93" s="3"/>
    </row>
    <row r="94">
      <c r="D94" s="2"/>
      <c r="E94" s="2"/>
      <c r="G94" s="3"/>
      <c r="H94" s="3"/>
    </row>
    <row r="95">
      <c r="D95" s="2"/>
      <c r="E95" s="2"/>
      <c r="G95" s="3"/>
      <c r="H95" s="3"/>
    </row>
    <row r="96">
      <c r="D96" s="2"/>
      <c r="E96" s="2"/>
      <c r="G96" s="3"/>
      <c r="H96" s="3"/>
    </row>
    <row r="97">
      <c r="D97" s="2"/>
      <c r="E97" s="2"/>
      <c r="G97" s="3"/>
      <c r="H97" s="3"/>
    </row>
    <row r="98">
      <c r="D98" s="2"/>
      <c r="E98" s="2"/>
      <c r="G98" s="3"/>
      <c r="H98" s="3"/>
    </row>
    <row r="99">
      <c r="D99" s="2"/>
      <c r="E99" s="2"/>
      <c r="G99" s="3"/>
      <c r="H99" s="3"/>
    </row>
    <row r="100">
      <c r="D100" s="2"/>
      <c r="E100" s="2"/>
      <c r="G100" s="3"/>
      <c r="H100" s="3"/>
    </row>
    <row r="101">
      <c r="D101" s="2"/>
      <c r="E101" s="2"/>
      <c r="G101" s="3"/>
      <c r="H101" s="3"/>
    </row>
    <row r="102">
      <c r="D102" s="2"/>
      <c r="E102" s="2"/>
      <c r="G102" s="3"/>
      <c r="H102" s="3"/>
    </row>
    <row r="103">
      <c r="D103" s="2"/>
      <c r="E103" s="2"/>
      <c r="G103" s="3"/>
      <c r="H103" s="3"/>
    </row>
    <row r="104">
      <c r="D104" s="2"/>
      <c r="E104" s="2"/>
      <c r="G104" s="3"/>
      <c r="H104" s="3"/>
    </row>
    <row r="105">
      <c r="D105" s="2"/>
      <c r="E105" s="2"/>
      <c r="G105" s="3"/>
      <c r="H105" s="3"/>
    </row>
    <row r="106">
      <c r="D106" s="2"/>
      <c r="E106" s="2"/>
      <c r="G106" s="3"/>
      <c r="H106" s="3"/>
    </row>
    <row r="107">
      <c r="D107" s="2"/>
      <c r="E107" s="2"/>
      <c r="G107" s="3"/>
      <c r="H107" s="3"/>
    </row>
    <row r="108">
      <c r="D108" s="2"/>
      <c r="E108" s="2"/>
      <c r="G108" s="3"/>
      <c r="H108" s="3"/>
    </row>
    <row r="109">
      <c r="D109" s="2"/>
      <c r="E109" s="2"/>
      <c r="G109" s="3"/>
      <c r="H109" s="3"/>
    </row>
    <row r="110">
      <c r="D110" s="2"/>
      <c r="E110" s="2"/>
      <c r="G110" s="3"/>
      <c r="H110" s="3"/>
    </row>
    <row r="111">
      <c r="D111" s="2"/>
      <c r="E111" s="2"/>
      <c r="G111" s="3"/>
      <c r="H111" s="3"/>
    </row>
    <row r="112">
      <c r="D112" s="2"/>
      <c r="E112" s="2"/>
      <c r="G112" s="3"/>
      <c r="H112" s="3"/>
    </row>
    <row r="113">
      <c r="D113" s="2"/>
      <c r="E113" s="2"/>
      <c r="G113" s="3"/>
      <c r="H113" s="3"/>
    </row>
    <row r="114">
      <c r="D114" s="2"/>
      <c r="E114" s="2"/>
      <c r="G114" s="3"/>
      <c r="H114" s="3"/>
    </row>
    <row r="115">
      <c r="D115" s="2"/>
      <c r="E115" s="2"/>
      <c r="G115" s="3"/>
      <c r="H115" s="3"/>
    </row>
    <row r="116">
      <c r="D116" s="2"/>
      <c r="E116" s="2"/>
      <c r="G116" s="3"/>
      <c r="H116" s="3"/>
    </row>
    <row r="117">
      <c r="D117" s="2"/>
      <c r="E117" s="2"/>
      <c r="G117" s="3"/>
      <c r="H117" s="3"/>
    </row>
    <row r="118">
      <c r="D118" s="2"/>
      <c r="E118" s="2"/>
      <c r="G118" s="3"/>
      <c r="H118" s="3"/>
    </row>
    <row r="119">
      <c r="D119" s="2"/>
      <c r="E119" s="2"/>
      <c r="G119" s="3"/>
      <c r="H119" s="3"/>
    </row>
    <row r="120">
      <c r="D120" s="2"/>
      <c r="E120" s="2"/>
      <c r="G120" s="3"/>
      <c r="H120" s="3"/>
    </row>
    <row r="121">
      <c r="D121" s="2"/>
      <c r="E121" s="2"/>
      <c r="G121" s="3"/>
      <c r="H121" s="3"/>
    </row>
    <row r="122">
      <c r="D122" s="2"/>
      <c r="E122" s="2"/>
      <c r="G122" s="3"/>
      <c r="H122" s="3"/>
    </row>
    <row r="123">
      <c r="D123" s="2"/>
      <c r="E123" s="2"/>
      <c r="G123" s="3"/>
      <c r="H123" s="3"/>
    </row>
    <row r="124">
      <c r="D124" s="2"/>
      <c r="E124" s="2"/>
      <c r="G124" s="3"/>
      <c r="H124" s="3"/>
    </row>
    <row r="125">
      <c r="D125" s="2"/>
      <c r="E125" s="2"/>
      <c r="G125" s="3"/>
      <c r="H125" s="3"/>
    </row>
    <row r="126">
      <c r="D126" s="2"/>
      <c r="E126" s="2"/>
      <c r="G126" s="3"/>
      <c r="H126" s="3"/>
    </row>
    <row r="127">
      <c r="D127" s="2"/>
      <c r="E127" s="2"/>
      <c r="G127" s="3"/>
      <c r="H127" s="3"/>
    </row>
    <row r="128">
      <c r="D128" s="2"/>
      <c r="E128" s="2"/>
      <c r="G128" s="3"/>
      <c r="H128" s="3"/>
    </row>
    <row r="129">
      <c r="D129" s="2"/>
      <c r="E129" s="2"/>
      <c r="G129" s="3"/>
      <c r="H129" s="3"/>
    </row>
    <row r="130">
      <c r="D130" s="2"/>
      <c r="E130" s="2"/>
      <c r="G130" s="3"/>
      <c r="H130" s="3"/>
    </row>
    <row r="131">
      <c r="D131" s="2"/>
      <c r="E131" s="2"/>
      <c r="G131" s="3"/>
      <c r="H131" s="3"/>
    </row>
    <row r="132">
      <c r="D132" s="2"/>
      <c r="E132" s="2"/>
      <c r="G132" s="3"/>
      <c r="H132" s="3"/>
    </row>
    <row r="133">
      <c r="D133" s="2"/>
      <c r="E133" s="2"/>
      <c r="G133" s="3"/>
      <c r="H133" s="3"/>
    </row>
    <row r="134">
      <c r="D134" s="2"/>
      <c r="E134" s="2"/>
      <c r="G134" s="3"/>
      <c r="H134" s="3"/>
    </row>
    <row r="135">
      <c r="D135" s="2"/>
      <c r="E135" s="2"/>
      <c r="G135" s="3"/>
      <c r="H135" s="3"/>
    </row>
    <row r="136">
      <c r="D136" s="2"/>
      <c r="E136" s="2"/>
      <c r="G136" s="3"/>
      <c r="H136" s="3"/>
    </row>
    <row r="137">
      <c r="D137" s="2"/>
      <c r="E137" s="2"/>
      <c r="G137" s="3"/>
      <c r="H137" s="3"/>
    </row>
    <row r="138">
      <c r="D138" s="2"/>
      <c r="E138" s="2"/>
      <c r="G138" s="3"/>
      <c r="H138" s="3"/>
    </row>
    <row r="139">
      <c r="D139" s="2"/>
      <c r="E139" s="2"/>
      <c r="G139" s="3"/>
      <c r="H139" s="3"/>
    </row>
    <row r="140">
      <c r="D140" s="2"/>
      <c r="E140" s="2"/>
      <c r="G140" s="3"/>
      <c r="H140" s="3"/>
    </row>
    <row r="141">
      <c r="D141" s="2"/>
      <c r="E141" s="2"/>
      <c r="G141" s="3"/>
      <c r="H141" s="3"/>
    </row>
    <row r="142">
      <c r="D142" s="2"/>
      <c r="E142" s="2"/>
      <c r="G142" s="3"/>
      <c r="H142" s="3"/>
    </row>
    <row r="143">
      <c r="D143" s="2"/>
      <c r="E143" s="2"/>
      <c r="G143" s="3"/>
      <c r="H143" s="3"/>
    </row>
    <row r="144">
      <c r="D144" s="2"/>
      <c r="E144" s="2"/>
      <c r="G144" s="3"/>
      <c r="H144" s="3"/>
    </row>
    <row r="145">
      <c r="D145" s="2"/>
      <c r="E145" s="2"/>
      <c r="G145" s="3"/>
      <c r="H145" s="3"/>
    </row>
    <row r="146">
      <c r="D146" s="2"/>
      <c r="E146" s="2"/>
      <c r="G146" s="3"/>
      <c r="H146" s="3"/>
    </row>
    <row r="147">
      <c r="D147" s="2"/>
      <c r="E147" s="2"/>
      <c r="G147" s="3"/>
      <c r="H147" s="3"/>
    </row>
    <row r="148">
      <c r="D148" s="2"/>
      <c r="E148" s="2"/>
      <c r="G148" s="3"/>
      <c r="H148" s="3"/>
    </row>
    <row r="149">
      <c r="D149" s="2"/>
      <c r="E149" s="2"/>
      <c r="G149" s="3"/>
      <c r="H149" s="3"/>
    </row>
    <row r="150">
      <c r="D150" s="2"/>
      <c r="E150" s="2"/>
      <c r="G150" s="3"/>
      <c r="H150" s="3"/>
    </row>
    <row r="151">
      <c r="D151" s="2"/>
      <c r="E151" s="2"/>
      <c r="G151" s="3"/>
      <c r="H151" s="3"/>
    </row>
    <row r="152">
      <c r="D152" s="2"/>
      <c r="E152" s="2"/>
      <c r="G152" s="3"/>
      <c r="H152" s="3"/>
    </row>
    <row r="153">
      <c r="D153" s="2"/>
      <c r="E153" s="2"/>
      <c r="G153" s="3"/>
      <c r="H153" s="3"/>
    </row>
    <row r="154">
      <c r="D154" s="2"/>
      <c r="E154" s="2"/>
      <c r="G154" s="3"/>
      <c r="H154" s="3"/>
    </row>
    <row r="155">
      <c r="D155" s="2"/>
      <c r="E155" s="2"/>
      <c r="G155" s="3"/>
      <c r="H155" s="3"/>
    </row>
    <row r="156">
      <c r="D156" s="2"/>
      <c r="E156" s="2"/>
      <c r="G156" s="3"/>
      <c r="H156" s="3"/>
    </row>
    <row r="157">
      <c r="D157" s="2"/>
      <c r="E157" s="2"/>
      <c r="G157" s="3"/>
      <c r="H157" s="3"/>
    </row>
    <row r="158">
      <c r="D158" s="2"/>
      <c r="E158" s="2"/>
      <c r="G158" s="3"/>
      <c r="H158" s="3"/>
    </row>
    <row r="159">
      <c r="D159" s="2"/>
      <c r="E159" s="2"/>
      <c r="G159" s="3"/>
      <c r="H159" s="3"/>
    </row>
    <row r="160">
      <c r="D160" s="2"/>
      <c r="E160" s="2"/>
      <c r="G160" s="3"/>
      <c r="H160" s="3"/>
    </row>
    <row r="161">
      <c r="D161" s="2"/>
      <c r="E161" s="2"/>
      <c r="G161" s="3"/>
      <c r="H161" s="3"/>
    </row>
    <row r="162">
      <c r="D162" s="2"/>
      <c r="E162" s="2"/>
      <c r="G162" s="3"/>
      <c r="H162" s="3"/>
    </row>
    <row r="163">
      <c r="D163" s="2"/>
      <c r="E163" s="2"/>
      <c r="G163" s="3"/>
      <c r="H163" s="3"/>
    </row>
    <row r="164">
      <c r="D164" s="2"/>
      <c r="E164" s="2"/>
      <c r="G164" s="3"/>
      <c r="H164" s="3"/>
    </row>
    <row r="165">
      <c r="D165" s="2"/>
      <c r="E165" s="2"/>
      <c r="G165" s="3"/>
      <c r="H165" s="3"/>
    </row>
    <row r="166">
      <c r="D166" s="2"/>
      <c r="E166" s="2"/>
      <c r="G166" s="3"/>
      <c r="H166" s="3"/>
    </row>
    <row r="167">
      <c r="D167" s="2"/>
      <c r="E167" s="2"/>
      <c r="G167" s="3"/>
      <c r="H167" s="3"/>
    </row>
    <row r="168">
      <c r="D168" s="2"/>
      <c r="E168" s="2"/>
      <c r="G168" s="3"/>
      <c r="H168" s="3"/>
    </row>
    <row r="169">
      <c r="D169" s="2"/>
      <c r="E169" s="2"/>
      <c r="G169" s="3"/>
      <c r="H169" s="3"/>
    </row>
    <row r="170">
      <c r="D170" s="2"/>
      <c r="E170" s="2"/>
      <c r="G170" s="3"/>
      <c r="H170" s="3"/>
    </row>
    <row r="171">
      <c r="D171" s="2"/>
      <c r="E171" s="2"/>
      <c r="G171" s="3"/>
      <c r="H171" s="3"/>
    </row>
    <row r="172">
      <c r="D172" s="2"/>
      <c r="E172" s="2"/>
      <c r="G172" s="3"/>
      <c r="H172" s="3"/>
    </row>
    <row r="173">
      <c r="D173" s="2"/>
      <c r="E173" s="2"/>
      <c r="G173" s="3"/>
      <c r="H173" s="3"/>
    </row>
    <row r="174">
      <c r="D174" s="2"/>
      <c r="E174" s="2"/>
      <c r="G174" s="3"/>
      <c r="H174" s="3"/>
    </row>
    <row r="175">
      <c r="D175" s="2"/>
      <c r="E175" s="2"/>
      <c r="G175" s="3"/>
      <c r="H175" s="3"/>
    </row>
    <row r="176">
      <c r="D176" s="2"/>
      <c r="E176" s="2"/>
      <c r="G176" s="3"/>
      <c r="H176" s="3"/>
    </row>
    <row r="177">
      <c r="D177" s="2"/>
      <c r="E177" s="2"/>
      <c r="G177" s="3"/>
      <c r="H177" s="3"/>
    </row>
    <row r="178">
      <c r="D178" s="2"/>
      <c r="E178" s="2"/>
      <c r="G178" s="3"/>
      <c r="H178" s="3"/>
    </row>
    <row r="179">
      <c r="D179" s="2"/>
      <c r="E179" s="2"/>
      <c r="G179" s="3"/>
      <c r="H179" s="3"/>
    </row>
    <row r="180">
      <c r="D180" s="2"/>
      <c r="E180" s="2"/>
      <c r="G180" s="3"/>
      <c r="H180" s="3"/>
    </row>
    <row r="181">
      <c r="D181" s="2"/>
      <c r="E181" s="2"/>
      <c r="G181" s="3"/>
      <c r="H181" s="3"/>
    </row>
    <row r="182">
      <c r="D182" s="2"/>
      <c r="E182" s="2"/>
      <c r="G182" s="3"/>
      <c r="H182" s="3"/>
    </row>
    <row r="183">
      <c r="D183" s="2"/>
      <c r="E183" s="2"/>
      <c r="G183" s="3"/>
      <c r="H183" s="3"/>
    </row>
    <row r="184">
      <c r="D184" s="2"/>
      <c r="E184" s="2"/>
      <c r="G184" s="3"/>
      <c r="H184" s="3"/>
    </row>
    <row r="185">
      <c r="D185" s="2"/>
      <c r="E185" s="2"/>
      <c r="G185" s="3"/>
      <c r="H185" s="3"/>
    </row>
    <row r="186">
      <c r="D186" s="2"/>
      <c r="E186" s="2"/>
      <c r="G186" s="3"/>
      <c r="H186" s="3"/>
    </row>
    <row r="187">
      <c r="D187" s="2"/>
      <c r="E187" s="2"/>
      <c r="G187" s="3"/>
      <c r="H187" s="3"/>
    </row>
    <row r="188">
      <c r="D188" s="2"/>
      <c r="E188" s="2"/>
      <c r="G188" s="3"/>
      <c r="H188" s="3"/>
    </row>
    <row r="189">
      <c r="D189" s="2"/>
      <c r="E189" s="2"/>
      <c r="G189" s="3"/>
      <c r="H189" s="3"/>
    </row>
    <row r="190">
      <c r="D190" s="2"/>
      <c r="E190" s="2"/>
      <c r="G190" s="3"/>
      <c r="H190" s="3"/>
    </row>
    <row r="191">
      <c r="D191" s="2"/>
      <c r="E191" s="2"/>
      <c r="G191" s="3"/>
      <c r="H191" s="3"/>
    </row>
    <row r="192">
      <c r="D192" s="2"/>
      <c r="E192" s="2"/>
      <c r="G192" s="3"/>
      <c r="H192" s="3"/>
    </row>
    <row r="193">
      <c r="D193" s="2"/>
      <c r="E193" s="2"/>
      <c r="G193" s="3"/>
      <c r="H193" s="3"/>
    </row>
    <row r="194">
      <c r="D194" s="2"/>
      <c r="E194" s="2"/>
      <c r="G194" s="3"/>
      <c r="H194" s="3"/>
    </row>
    <row r="195">
      <c r="D195" s="2"/>
      <c r="E195" s="2"/>
      <c r="G195" s="3"/>
      <c r="H195" s="3"/>
    </row>
    <row r="196">
      <c r="D196" s="2"/>
      <c r="E196" s="2"/>
      <c r="G196" s="3"/>
      <c r="H196" s="3"/>
    </row>
    <row r="197">
      <c r="D197" s="2"/>
      <c r="E197" s="2"/>
      <c r="G197" s="3"/>
      <c r="H197" s="3"/>
    </row>
    <row r="198">
      <c r="D198" s="2"/>
      <c r="E198" s="2"/>
      <c r="G198" s="3"/>
      <c r="H198" s="3"/>
    </row>
    <row r="199">
      <c r="D199" s="2"/>
      <c r="E199" s="2"/>
      <c r="G199" s="3"/>
      <c r="H199" s="3"/>
    </row>
    <row r="200">
      <c r="D200" s="2"/>
      <c r="E200" s="2"/>
      <c r="G200" s="3"/>
      <c r="H200" s="3"/>
    </row>
    <row r="201">
      <c r="D201" s="2"/>
      <c r="E201" s="2"/>
      <c r="G201" s="3"/>
      <c r="H201" s="3"/>
    </row>
    <row r="202">
      <c r="D202" s="2"/>
      <c r="E202" s="2"/>
      <c r="G202" s="3"/>
      <c r="H202" s="3"/>
    </row>
    <row r="203">
      <c r="D203" s="2"/>
      <c r="E203" s="2"/>
      <c r="G203" s="3"/>
      <c r="H203" s="3"/>
    </row>
    <row r="204">
      <c r="D204" s="2"/>
      <c r="E204" s="2"/>
      <c r="G204" s="3"/>
      <c r="H204" s="3"/>
    </row>
    <row r="205">
      <c r="D205" s="2"/>
      <c r="E205" s="2"/>
      <c r="G205" s="3"/>
      <c r="H205" s="3"/>
    </row>
    <row r="206">
      <c r="D206" s="2"/>
      <c r="E206" s="2"/>
      <c r="G206" s="3"/>
      <c r="H206" s="3"/>
    </row>
    <row r="207">
      <c r="D207" s="2"/>
      <c r="E207" s="2"/>
      <c r="G207" s="3"/>
      <c r="H207" s="3"/>
    </row>
    <row r="208">
      <c r="D208" s="2"/>
      <c r="E208" s="2"/>
      <c r="G208" s="3"/>
      <c r="H208" s="3"/>
    </row>
    <row r="209">
      <c r="D209" s="2"/>
      <c r="E209" s="2"/>
      <c r="G209" s="3"/>
      <c r="H209" s="3"/>
    </row>
    <row r="210">
      <c r="D210" s="2"/>
      <c r="E210" s="2"/>
      <c r="G210" s="3"/>
      <c r="H210" s="3"/>
    </row>
    <row r="211">
      <c r="D211" s="2"/>
      <c r="E211" s="2"/>
      <c r="G211" s="3"/>
      <c r="H211" s="3"/>
    </row>
    <row r="212">
      <c r="D212" s="2"/>
      <c r="E212" s="2"/>
      <c r="G212" s="3"/>
      <c r="H212" s="3"/>
    </row>
    <row r="213">
      <c r="D213" s="2"/>
      <c r="E213" s="2"/>
      <c r="G213" s="3"/>
      <c r="H213" s="3"/>
    </row>
    <row r="214">
      <c r="D214" s="2"/>
      <c r="E214" s="2"/>
      <c r="G214" s="3"/>
      <c r="H214" s="3"/>
    </row>
    <row r="215">
      <c r="D215" s="2"/>
      <c r="E215" s="2"/>
      <c r="G215" s="3"/>
      <c r="H215" s="3"/>
    </row>
    <row r="216">
      <c r="D216" s="2"/>
      <c r="E216" s="2"/>
      <c r="G216" s="3"/>
      <c r="H216" s="3"/>
    </row>
    <row r="217">
      <c r="D217" s="2"/>
      <c r="E217" s="2"/>
      <c r="G217" s="3"/>
      <c r="H217" s="3"/>
    </row>
    <row r="218">
      <c r="D218" s="2"/>
      <c r="E218" s="2"/>
      <c r="G218" s="3"/>
      <c r="H218" s="3"/>
    </row>
    <row r="219">
      <c r="D219" s="2"/>
      <c r="E219" s="2"/>
      <c r="G219" s="3"/>
      <c r="H219" s="3"/>
    </row>
    <row r="220">
      <c r="D220" s="2"/>
      <c r="E220" s="2"/>
      <c r="G220" s="3"/>
      <c r="H220" s="3"/>
    </row>
    <row r="221">
      <c r="D221" s="2"/>
      <c r="E221" s="2"/>
      <c r="G221" s="3"/>
      <c r="H221" s="3"/>
    </row>
    <row r="222">
      <c r="D222" s="2"/>
      <c r="E222" s="2"/>
      <c r="G222" s="3"/>
      <c r="H222" s="3"/>
    </row>
    <row r="223">
      <c r="D223" s="2"/>
      <c r="E223" s="2"/>
      <c r="G223" s="3"/>
      <c r="H223" s="3"/>
    </row>
    <row r="224">
      <c r="D224" s="2"/>
      <c r="E224" s="2"/>
      <c r="G224" s="3"/>
      <c r="H224" s="3"/>
    </row>
    <row r="225">
      <c r="D225" s="2"/>
      <c r="E225" s="2"/>
      <c r="G225" s="3"/>
      <c r="H225" s="3"/>
    </row>
    <row r="226">
      <c r="D226" s="2"/>
      <c r="E226" s="2"/>
      <c r="G226" s="3"/>
      <c r="H226" s="3"/>
    </row>
    <row r="227">
      <c r="D227" s="2"/>
      <c r="E227" s="2"/>
      <c r="G227" s="3"/>
      <c r="H227" s="3"/>
    </row>
    <row r="228">
      <c r="D228" s="2"/>
      <c r="E228" s="2"/>
      <c r="G228" s="3"/>
      <c r="H228" s="3"/>
    </row>
    <row r="229">
      <c r="D229" s="2"/>
      <c r="E229" s="2"/>
      <c r="G229" s="3"/>
      <c r="H229" s="3"/>
    </row>
    <row r="230">
      <c r="D230" s="2"/>
      <c r="E230" s="2"/>
      <c r="G230" s="3"/>
      <c r="H230" s="3"/>
    </row>
    <row r="231">
      <c r="D231" s="2"/>
      <c r="E231" s="2"/>
      <c r="G231" s="3"/>
      <c r="H231" s="3"/>
    </row>
    <row r="232">
      <c r="D232" s="2"/>
      <c r="E232" s="2"/>
      <c r="G232" s="3"/>
      <c r="H232" s="3"/>
    </row>
    <row r="233">
      <c r="D233" s="2"/>
      <c r="E233" s="2"/>
      <c r="G233" s="3"/>
      <c r="H233" s="3"/>
    </row>
    <row r="234">
      <c r="D234" s="2"/>
      <c r="E234" s="2"/>
      <c r="G234" s="3"/>
      <c r="H234" s="3"/>
    </row>
    <row r="235">
      <c r="D235" s="2"/>
      <c r="E235" s="2"/>
      <c r="G235" s="3"/>
      <c r="H235" s="3"/>
    </row>
    <row r="236">
      <c r="D236" s="2"/>
      <c r="E236" s="2"/>
      <c r="G236" s="3"/>
      <c r="H236" s="3"/>
    </row>
    <row r="237">
      <c r="D237" s="2"/>
      <c r="E237" s="2"/>
      <c r="G237" s="3"/>
      <c r="H237" s="3"/>
    </row>
    <row r="238">
      <c r="D238" s="2"/>
      <c r="E238" s="2"/>
      <c r="G238" s="3"/>
      <c r="H238" s="3"/>
    </row>
    <row r="239">
      <c r="D239" s="2"/>
      <c r="E239" s="2"/>
      <c r="G239" s="3"/>
      <c r="H239" s="3"/>
    </row>
    <row r="240">
      <c r="D240" s="2"/>
      <c r="E240" s="2"/>
      <c r="G240" s="3"/>
      <c r="H240" s="3"/>
    </row>
    <row r="241">
      <c r="D241" s="2"/>
      <c r="E241" s="2"/>
      <c r="G241" s="3"/>
      <c r="H241" s="3"/>
    </row>
    <row r="242">
      <c r="D242" s="2"/>
      <c r="E242" s="2"/>
      <c r="G242" s="3"/>
      <c r="H242" s="3"/>
    </row>
    <row r="243">
      <c r="D243" s="2"/>
      <c r="E243" s="2"/>
      <c r="G243" s="3"/>
      <c r="H243" s="3"/>
    </row>
    <row r="244">
      <c r="D244" s="2"/>
      <c r="E244" s="2"/>
      <c r="G244" s="3"/>
      <c r="H244" s="3"/>
    </row>
    <row r="245">
      <c r="D245" s="2"/>
      <c r="E245" s="2"/>
      <c r="G245" s="3"/>
      <c r="H245" s="3"/>
    </row>
    <row r="246">
      <c r="D246" s="2"/>
      <c r="E246" s="2"/>
      <c r="G246" s="3"/>
      <c r="H246" s="3"/>
    </row>
    <row r="247">
      <c r="D247" s="2"/>
      <c r="E247" s="2"/>
      <c r="G247" s="3"/>
      <c r="H247" s="3"/>
    </row>
    <row r="248">
      <c r="D248" s="2"/>
      <c r="E248" s="2"/>
      <c r="G248" s="3"/>
      <c r="H248" s="3"/>
    </row>
    <row r="249">
      <c r="D249" s="2"/>
      <c r="E249" s="2"/>
      <c r="G249" s="3"/>
      <c r="H249" s="3"/>
    </row>
    <row r="250">
      <c r="D250" s="2"/>
      <c r="E250" s="2"/>
      <c r="G250" s="3"/>
      <c r="H250" s="3"/>
    </row>
    <row r="251">
      <c r="D251" s="2"/>
      <c r="E251" s="2"/>
      <c r="G251" s="3"/>
      <c r="H251" s="3"/>
    </row>
    <row r="252">
      <c r="D252" s="2"/>
      <c r="E252" s="2"/>
      <c r="G252" s="3"/>
      <c r="H252" s="3"/>
    </row>
    <row r="253">
      <c r="D253" s="2"/>
      <c r="E253" s="2"/>
      <c r="G253" s="3"/>
      <c r="H253" s="3"/>
    </row>
    <row r="254">
      <c r="D254" s="2"/>
      <c r="E254" s="2"/>
      <c r="G254" s="3"/>
      <c r="H254" s="3"/>
    </row>
    <row r="255">
      <c r="D255" s="2"/>
      <c r="E255" s="2"/>
      <c r="G255" s="3"/>
      <c r="H255" s="3"/>
    </row>
    <row r="256">
      <c r="D256" s="2"/>
      <c r="E256" s="2"/>
      <c r="G256" s="3"/>
      <c r="H256" s="3"/>
    </row>
    <row r="257">
      <c r="D257" s="2"/>
      <c r="E257" s="2"/>
      <c r="G257" s="3"/>
      <c r="H257" s="3"/>
    </row>
    <row r="258">
      <c r="D258" s="2"/>
      <c r="E258" s="2"/>
      <c r="G258" s="3"/>
      <c r="H258" s="3"/>
    </row>
    <row r="259">
      <c r="D259" s="2"/>
      <c r="E259" s="2"/>
      <c r="G259" s="3"/>
      <c r="H259" s="3"/>
    </row>
    <row r="260">
      <c r="D260" s="2"/>
      <c r="E260" s="2"/>
      <c r="G260" s="3"/>
      <c r="H260" s="3"/>
    </row>
    <row r="261">
      <c r="D261" s="2"/>
      <c r="E261" s="2"/>
      <c r="G261" s="3"/>
      <c r="H261" s="3"/>
    </row>
    <row r="262">
      <c r="D262" s="2"/>
      <c r="E262" s="2"/>
      <c r="G262" s="3"/>
      <c r="H262" s="3"/>
    </row>
    <row r="263">
      <c r="D263" s="2"/>
      <c r="E263" s="2"/>
      <c r="G263" s="3"/>
      <c r="H263" s="3"/>
    </row>
    <row r="264">
      <c r="D264" s="2"/>
      <c r="E264" s="2"/>
      <c r="G264" s="3"/>
      <c r="H264" s="3"/>
    </row>
    <row r="265">
      <c r="D265" s="2"/>
      <c r="E265" s="2"/>
      <c r="G265" s="3"/>
      <c r="H265" s="3"/>
    </row>
    <row r="266">
      <c r="D266" s="2"/>
      <c r="E266" s="2"/>
      <c r="G266" s="3"/>
      <c r="H266" s="3"/>
    </row>
    <row r="267">
      <c r="D267" s="2"/>
      <c r="E267" s="2"/>
      <c r="G267" s="3"/>
      <c r="H267" s="3"/>
    </row>
    <row r="268">
      <c r="D268" s="2"/>
      <c r="E268" s="2"/>
      <c r="G268" s="3"/>
      <c r="H268" s="3"/>
    </row>
    <row r="269">
      <c r="D269" s="2"/>
      <c r="E269" s="2"/>
      <c r="G269" s="3"/>
      <c r="H269" s="3"/>
    </row>
    <row r="270">
      <c r="D270" s="2"/>
      <c r="E270" s="2"/>
      <c r="G270" s="3"/>
      <c r="H270" s="3"/>
    </row>
    <row r="271">
      <c r="D271" s="2"/>
      <c r="E271" s="2"/>
      <c r="G271" s="3"/>
      <c r="H271" s="3"/>
    </row>
    <row r="272">
      <c r="D272" s="2"/>
      <c r="E272" s="2"/>
      <c r="G272" s="3"/>
      <c r="H272" s="3"/>
    </row>
    <row r="273">
      <c r="D273" s="2"/>
      <c r="E273" s="2"/>
      <c r="G273" s="3"/>
      <c r="H273" s="3"/>
    </row>
    <row r="274">
      <c r="D274" s="2"/>
      <c r="E274" s="2"/>
      <c r="G274" s="3"/>
      <c r="H274" s="3"/>
    </row>
    <row r="275">
      <c r="D275" s="2"/>
      <c r="E275" s="2"/>
      <c r="G275" s="3"/>
      <c r="H275" s="3"/>
    </row>
    <row r="276">
      <c r="D276" s="2"/>
      <c r="E276" s="2"/>
      <c r="G276" s="3"/>
      <c r="H276" s="3"/>
    </row>
    <row r="277">
      <c r="D277" s="2"/>
      <c r="E277" s="2"/>
      <c r="G277" s="3"/>
      <c r="H277" s="3"/>
    </row>
    <row r="278">
      <c r="D278" s="2"/>
      <c r="E278" s="2"/>
      <c r="G278" s="3"/>
      <c r="H278" s="3"/>
    </row>
    <row r="279">
      <c r="D279" s="2"/>
      <c r="E279" s="2"/>
      <c r="G279" s="3"/>
      <c r="H279" s="3"/>
    </row>
    <row r="280">
      <c r="D280" s="2"/>
      <c r="E280" s="2"/>
      <c r="G280" s="3"/>
      <c r="H280" s="3"/>
    </row>
    <row r="281">
      <c r="D281" s="2"/>
      <c r="E281" s="2"/>
      <c r="G281" s="3"/>
      <c r="H281" s="3"/>
    </row>
    <row r="282">
      <c r="D282" s="2"/>
      <c r="E282" s="2"/>
      <c r="G282" s="3"/>
      <c r="H282" s="3"/>
    </row>
    <row r="283">
      <c r="D283" s="2"/>
      <c r="E283" s="2"/>
      <c r="G283" s="3"/>
      <c r="H283" s="3"/>
    </row>
    <row r="284">
      <c r="D284" s="2"/>
      <c r="E284" s="2"/>
      <c r="G284" s="3"/>
      <c r="H284" s="3"/>
    </row>
    <row r="285">
      <c r="D285" s="2"/>
      <c r="E285" s="2"/>
      <c r="G285" s="3"/>
      <c r="H285" s="3"/>
    </row>
    <row r="286">
      <c r="D286" s="2"/>
      <c r="E286" s="2"/>
      <c r="G286" s="3"/>
      <c r="H286" s="3"/>
    </row>
    <row r="287">
      <c r="D287" s="2"/>
      <c r="E287" s="2"/>
      <c r="G287" s="3"/>
      <c r="H287" s="3"/>
    </row>
    <row r="288">
      <c r="D288" s="2"/>
      <c r="E288" s="2"/>
      <c r="G288" s="3"/>
      <c r="H288" s="3"/>
    </row>
    <row r="289">
      <c r="D289" s="2"/>
      <c r="E289" s="2"/>
      <c r="G289" s="3"/>
      <c r="H289" s="3"/>
    </row>
    <row r="290">
      <c r="D290" s="2"/>
      <c r="E290" s="2"/>
      <c r="G290" s="3"/>
      <c r="H290" s="3"/>
    </row>
    <row r="291">
      <c r="D291" s="2"/>
      <c r="E291" s="2"/>
      <c r="G291" s="3"/>
      <c r="H291" s="3"/>
    </row>
    <row r="292">
      <c r="D292" s="2"/>
      <c r="E292" s="2"/>
      <c r="G292" s="3"/>
      <c r="H292" s="3"/>
    </row>
    <row r="293">
      <c r="D293" s="2"/>
      <c r="E293" s="2"/>
      <c r="G293" s="3"/>
      <c r="H293" s="3"/>
    </row>
    <row r="294">
      <c r="D294" s="2"/>
      <c r="E294" s="2"/>
      <c r="G294" s="3"/>
      <c r="H294" s="3"/>
    </row>
    <row r="295">
      <c r="D295" s="2"/>
      <c r="E295" s="2"/>
      <c r="G295" s="3"/>
      <c r="H295" s="3"/>
    </row>
    <row r="296">
      <c r="D296" s="2"/>
      <c r="E296" s="2"/>
      <c r="G296" s="3"/>
      <c r="H296" s="3"/>
    </row>
    <row r="297">
      <c r="D297" s="2"/>
      <c r="E297" s="2"/>
      <c r="G297" s="3"/>
      <c r="H297" s="3"/>
    </row>
    <row r="298">
      <c r="D298" s="2"/>
      <c r="E298" s="2"/>
      <c r="G298" s="3"/>
      <c r="H298" s="3"/>
    </row>
    <row r="299">
      <c r="D299" s="2"/>
      <c r="E299" s="2"/>
      <c r="G299" s="3"/>
      <c r="H299" s="3"/>
    </row>
    <row r="300">
      <c r="D300" s="2"/>
      <c r="E300" s="2"/>
      <c r="G300" s="3"/>
      <c r="H300" s="3"/>
    </row>
    <row r="301">
      <c r="D301" s="2"/>
      <c r="E301" s="2"/>
      <c r="G301" s="3"/>
      <c r="H301" s="3"/>
    </row>
    <row r="302">
      <c r="D302" s="2"/>
      <c r="E302" s="2"/>
      <c r="G302" s="3"/>
      <c r="H302" s="3"/>
    </row>
    <row r="303">
      <c r="D303" s="2"/>
      <c r="E303" s="2"/>
      <c r="G303" s="3"/>
      <c r="H303" s="3"/>
    </row>
    <row r="304">
      <c r="D304" s="2"/>
      <c r="E304" s="2"/>
      <c r="G304" s="3"/>
      <c r="H304" s="3"/>
    </row>
    <row r="305">
      <c r="D305" s="2"/>
      <c r="E305" s="2"/>
      <c r="G305" s="3"/>
      <c r="H305" s="3"/>
    </row>
    <row r="306">
      <c r="D306" s="2"/>
      <c r="E306" s="2"/>
      <c r="G306" s="3"/>
      <c r="H306" s="3"/>
    </row>
    <row r="307">
      <c r="D307" s="2"/>
      <c r="E307" s="2"/>
      <c r="G307" s="3"/>
      <c r="H307" s="3"/>
    </row>
    <row r="308">
      <c r="D308" s="2"/>
      <c r="E308" s="2"/>
      <c r="G308" s="3"/>
      <c r="H308" s="3"/>
    </row>
    <row r="309">
      <c r="D309" s="2"/>
      <c r="E309" s="2"/>
      <c r="G309" s="3"/>
      <c r="H309" s="3"/>
    </row>
    <row r="310">
      <c r="D310" s="2"/>
      <c r="E310" s="2"/>
      <c r="G310" s="3"/>
      <c r="H310" s="3"/>
    </row>
    <row r="311">
      <c r="D311" s="2"/>
      <c r="E311" s="2"/>
      <c r="G311" s="3"/>
      <c r="H311" s="3"/>
    </row>
    <row r="312">
      <c r="D312" s="2"/>
      <c r="E312" s="2"/>
      <c r="G312" s="3"/>
      <c r="H312" s="3"/>
    </row>
    <row r="313">
      <c r="D313" s="2"/>
      <c r="E313" s="2"/>
      <c r="G313" s="3"/>
      <c r="H313" s="3"/>
    </row>
    <row r="314">
      <c r="D314" s="2"/>
      <c r="E314" s="2"/>
      <c r="G314" s="3"/>
      <c r="H314" s="3"/>
    </row>
    <row r="315">
      <c r="D315" s="2"/>
      <c r="E315" s="2"/>
      <c r="G315" s="3"/>
      <c r="H315" s="3"/>
    </row>
    <row r="316">
      <c r="D316" s="2"/>
      <c r="E316" s="2"/>
      <c r="G316" s="3"/>
      <c r="H316" s="3"/>
    </row>
    <row r="317">
      <c r="D317" s="2"/>
      <c r="E317" s="2"/>
      <c r="G317" s="3"/>
      <c r="H317" s="3"/>
    </row>
    <row r="318">
      <c r="D318" s="2"/>
      <c r="E318" s="2"/>
      <c r="G318" s="3"/>
      <c r="H318" s="3"/>
    </row>
    <row r="319">
      <c r="D319" s="2"/>
      <c r="E319" s="2"/>
      <c r="G319" s="3"/>
      <c r="H319" s="3"/>
    </row>
    <row r="320">
      <c r="D320" s="2"/>
      <c r="E320" s="2"/>
      <c r="G320" s="3"/>
      <c r="H320" s="3"/>
    </row>
    <row r="321">
      <c r="D321" s="2"/>
      <c r="E321" s="2"/>
      <c r="G321" s="3"/>
      <c r="H321" s="3"/>
    </row>
    <row r="322">
      <c r="D322" s="2"/>
      <c r="E322" s="2"/>
      <c r="G322" s="3"/>
      <c r="H322" s="3"/>
    </row>
    <row r="323">
      <c r="D323" s="2"/>
      <c r="E323" s="2"/>
      <c r="G323" s="3"/>
      <c r="H323" s="3"/>
    </row>
    <row r="324">
      <c r="D324" s="2"/>
      <c r="E324" s="2"/>
      <c r="G324" s="3"/>
      <c r="H324" s="3"/>
    </row>
    <row r="325">
      <c r="D325" s="2"/>
      <c r="E325" s="2"/>
      <c r="G325" s="3"/>
      <c r="H325" s="3"/>
    </row>
    <row r="326">
      <c r="D326" s="2"/>
      <c r="E326" s="2"/>
      <c r="G326" s="3"/>
      <c r="H326" s="3"/>
    </row>
    <row r="327">
      <c r="D327" s="2"/>
      <c r="E327" s="2"/>
      <c r="G327" s="3"/>
      <c r="H327" s="3"/>
    </row>
    <row r="328">
      <c r="D328" s="2"/>
      <c r="E328" s="2"/>
      <c r="G328" s="3"/>
      <c r="H328" s="3"/>
    </row>
    <row r="329">
      <c r="D329" s="2"/>
      <c r="E329" s="2"/>
      <c r="G329" s="3"/>
      <c r="H329" s="3"/>
    </row>
    <row r="330">
      <c r="D330" s="2"/>
      <c r="E330" s="2"/>
      <c r="G330" s="3"/>
      <c r="H330" s="3"/>
    </row>
    <row r="331">
      <c r="D331" s="2"/>
      <c r="E331" s="2"/>
      <c r="G331" s="3"/>
      <c r="H331" s="3"/>
    </row>
    <row r="332">
      <c r="D332" s="2"/>
      <c r="E332" s="2"/>
      <c r="G332" s="3"/>
      <c r="H332" s="3"/>
    </row>
    <row r="333">
      <c r="D333" s="2"/>
      <c r="E333" s="2"/>
      <c r="G333" s="3"/>
      <c r="H333" s="3"/>
    </row>
    <row r="334">
      <c r="D334" s="2"/>
      <c r="E334" s="2"/>
      <c r="G334" s="3"/>
      <c r="H334" s="3"/>
    </row>
    <row r="335">
      <c r="D335" s="2"/>
      <c r="E335" s="2"/>
      <c r="G335" s="3"/>
      <c r="H335" s="3"/>
    </row>
    <row r="336">
      <c r="D336" s="2"/>
      <c r="E336" s="2"/>
      <c r="G336" s="3"/>
      <c r="H336" s="3"/>
    </row>
    <row r="337">
      <c r="D337" s="2"/>
      <c r="E337" s="2"/>
      <c r="G337" s="3"/>
      <c r="H337" s="3"/>
    </row>
    <row r="338">
      <c r="D338" s="2"/>
      <c r="E338" s="2"/>
      <c r="G338" s="3"/>
      <c r="H338" s="3"/>
    </row>
    <row r="339">
      <c r="D339" s="2"/>
      <c r="E339" s="2"/>
      <c r="G339" s="3"/>
      <c r="H339" s="3"/>
    </row>
    <row r="340">
      <c r="D340" s="2"/>
      <c r="E340" s="2"/>
      <c r="G340" s="3"/>
      <c r="H340" s="3"/>
    </row>
    <row r="341">
      <c r="D341" s="2"/>
      <c r="E341" s="2"/>
      <c r="G341" s="3"/>
      <c r="H341" s="3"/>
    </row>
    <row r="342">
      <c r="D342" s="2"/>
      <c r="E342" s="2"/>
      <c r="G342" s="3"/>
      <c r="H342" s="3"/>
    </row>
    <row r="343">
      <c r="D343" s="2"/>
      <c r="E343" s="2"/>
      <c r="G343" s="3"/>
      <c r="H343" s="3"/>
    </row>
    <row r="344">
      <c r="D344" s="2"/>
      <c r="E344" s="2"/>
      <c r="G344" s="3"/>
      <c r="H344" s="3"/>
    </row>
    <row r="345">
      <c r="D345" s="2"/>
      <c r="E345" s="2"/>
      <c r="G345" s="3"/>
      <c r="H345" s="3"/>
    </row>
    <row r="346">
      <c r="D346" s="2"/>
      <c r="E346" s="2"/>
      <c r="G346" s="3"/>
      <c r="H346" s="3"/>
    </row>
    <row r="347">
      <c r="D347" s="2"/>
      <c r="E347" s="2"/>
      <c r="G347" s="3"/>
      <c r="H347" s="3"/>
    </row>
    <row r="348">
      <c r="D348" s="2"/>
      <c r="E348" s="2"/>
      <c r="G348" s="3"/>
      <c r="H348" s="3"/>
    </row>
    <row r="349">
      <c r="D349" s="2"/>
      <c r="E349" s="2"/>
      <c r="G349" s="3"/>
      <c r="H349" s="3"/>
    </row>
    <row r="350">
      <c r="D350" s="2"/>
      <c r="E350" s="2"/>
      <c r="G350" s="3"/>
      <c r="H350" s="3"/>
    </row>
    <row r="351">
      <c r="D351" s="2"/>
      <c r="E351" s="2"/>
      <c r="G351" s="3"/>
      <c r="H351" s="3"/>
    </row>
    <row r="352">
      <c r="D352" s="2"/>
      <c r="E352" s="2"/>
      <c r="G352" s="3"/>
      <c r="H352" s="3"/>
    </row>
    <row r="353">
      <c r="D353" s="2"/>
      <c r="E353" s="2"/>
      <c r="G353" s="3"/>
      <c r="H353" s="3"/>
    </row>
    <row r="354">
      <c r="D354" s="2"/>
      <c r="E354" s="2"/>
      <c r="G354" s="3"/>
      <c r="H354" s="3"/>
    </row>
    <row r="355">
      <c r="D355" s="2"/>
      <c r="E355" s="2"/>
      <c r="G355" s="3"/>
      <c r="H355" s="3"/>
    </row>
    <row r="356">
      <c r="D356" s="2"/>
      <c r="E356" s="2"/>
      <c r="G356" s="3"/>
      <c r="H356" s="3"/>
    </row>
    <row r="357">
      <c r="D357" s="2"/>
      <c r="E357" s="2"/>
      <c r="G357" s="3"/>
      <c r="H357" s="3"/>
    </row>
    <row r="358">
      <c r="D358" s="2"/>
      <c r="E358" s="2"/>
      <c r="G358" s="3"/>
      <c r="H358" s="3"/>
    </row>
    <row r="359">
      <c r="D359" s="2"/>
      <c r="E359" s="2"/>
      <c r="G359" s="3"/>
      <c r="H359" s="3"/>
    </row>
    <row r="360">
      <c r="D360" s="2"/>
      <c r="E360" s="2"/>
      <c r="G360" s="3"/>
      <c r="H360" s="3"/>
    </row>
    <row r="361">
      <c r="D361" s="2"/>
      <c r="E361" s="2"/>
      <c r="G361" s="3"/>
      <c r="H361" s="3"/>
    </row>
    <row r="362">
      <c r="D362" s="2"/>
      <c r="E362" s="2"/>
      <c r="G362" s="3"/>
      <c r="H362" s="3"/>
    </row>
    <row r="363">
      <c r="D363" s="2"/>
      <c r="E363" s="2"/>
      <c r="G363" s="3"/>
      <c r="H363" s="3"/>
    </row>
    <row r="364">
      <c r="D364" s="2"/>
      <c r="E364" s="2"/>
      <c r="G364" s="3"/>
      <c r="H364" s="3"/>
    </row>
    <row r="365">
      <c r="D365" s="2"/>
      <c r="E365" s="2"/>
      <c r="G365" s="3"/>
      <c r="H365" s="3"/>
    </row>
    <row r="366">
      <c r="D366" s="2"/>
      <c r="E366" s="2"/>
      <c r="G366" s="3"/>
      <c r="H366" s="3"/>
    </row>
    <row r="367">
      <c r="D367" s="2"/>
      <c r="E367" s="2"/>
      <c r="G367" s="3"/>
      <c r="H367" s="3"/>
    </row>
    <row r="368">
      <c r="D368" s="2"/>
      <c r="E368" s="2"/>
      <c r="G368" s="3"/>
      <c r="H368" s="3"/>
    </row>
    <row r="369">
      <c r="D369" s="2"/>
      <c r="E369" s="2"/>
      <c r="G369" s="3"/>
      <c r="H369" s="3"/>
    </row>
    <row r="370">
      <c r="D370" s="2"/>
      <c r="E370" s="2"/>
      <c r="G370" s="3"/>
      <c r="H370" s="3"/>
    </row>
    <row r="371">
      <c r="D371" s="2"/>
      <c r="E371" s="2"/>
      <c r="G371" s="3"/>
      <c r="H371" s="3"/>
    </row>
    <row r="372">
      <c r="D372" s="2"/>
      <c r="E372" s="2"/>
      <c r="G372" s="3"/>
      <c r="H372" s="3"/>
    </row>
    <row r="373">
      <c r="D373" s="2"/>
      <c r="E373" s="2"/>
      <c r="G373" s="3"/>
      <c r="H373" s="3"/>
    </row>
    <row r="374">
      <c r="D374" s="2"/>
      <c r="E374" s="2"/>
      <c r="G374" s="3"/>
      <c r="H374" s="3"/>
    </row>
    <row r="375">
      <c r="D375" s="2"/>
      <c r="E375" s="2"/>
      <c r="G375" s="3"/>
      <c r="H375" s="3"/>
    </row>
    <row r="376">
      <c r="D376" s="2"/>
      <c r="E376" s="2"/>
      <c r="G376" s="3"/>
      <c r="H376" s="3"/>
    </row>
    <row r="377">
      <c r="D377" s="2"/>
      <c r="E377" s="2"/>
      <c r="G377" s="3"/>
      <c r="H377" s="3"/>
    </row>
    <row r="378">
      <c r="D378" s="2"/>
      <c r="E378" s="2"/>
      <c r="G378" s="3"/>
      <c r="H378" s="3"/>
    </row>
    <row r="379">
      <c r="D379" s="2"/>
      <c r="E379" s="2"/>
      <c r="G379" s="3"/>
      <c r="H379" s="3"/>
    </row>
    <row r="380">
      <c r="D380" s="2"/>
      <c r="E380" s="2"/>
      <c r="G380" s="3"/>
      <c r="H380" s="3"/>
    </row>
    <row r="381">
      <c r="D381" s="2"/>
      <c r="E381" s="2"/>
      <c r="G381" s="3"/>
      <c r="H381" s="3"/>
    </row>
    <row r="382">
      <c r="D382" s="2"/>
      <c r="E382" s="2"/>
      <c r="G382" s="3"/>
      <c r="H382" s="3"/>
    </row>
    <row r="383">
      <c r="D383" s="2"/>
      <c r="E383" s="2"/>
      <c r="G383" s="3"/>
      <c r="H383" s="3"/>
    </row>
    <row r="384">
      <c r="D384" s="2"/>
      <c r="E384" s="2"/>
      <c r="G384" s="3"/>
      <c r="H384" s="3"/>
    </row>
    <row r="385">
      <c r="D385" s="2"/>
      <c r="E385" s="2"/>
      <c r="G385" s="3"/>
      <c r="H385" s="3"/>
    </row>
    <row r="386">
      <c r="D386" s="2"/>
      <c r="E386" s="2"/>
      <c r="G386" s="3"/>
      <c r="H386" s="3"/>
    </row>
    <row r="387">
      <c r="D387" s="2"/>
      <c r="E387" s="2"/>
      <c r="G387" s="3"/>
      <c r="H387" s="3"/>
    </row>
    <row r="388">
      <c r="D388" s="2"/>
      <c r="E388" s="2"/>
      <c r="G388" s="3"/>
      <c r="H388" s="3"/>
    </row>
    <row r="389">
      <c r="D389" s="2"/>
      <c r="E389" s="2"/>
      <c r="G389" s="3"/>
      <c r="H389" s="3"/>
    </row>
    <row r="390">
      <c r="D390" s="2"/>
      <c r="E390" s="2"/>
      <c r="G390" s="3"/>
      <c r="H390" s="3"/>
    </row>
    <row r="391">
      <c r="D391" s="2"/>
      <c r="E391" s="2"/>
      <c r="G391" s="3"/>
      <c r="H391" s="3"/>
    </row>
    <row r="392">
      <c r="D392" s="2"/>
      <c r="E392" s="2"/>
      <c r="G392" s="3"/>
      <c r="H392" s="3"/>
    </row>
    <row r="393">
      <c r="D393" s="2"/>
      <c r="E393" s="2"/>
      <c r="G393" s="3"/>
      <c r="H393" s="3"/>
    </row>
    <row r="394">
      <c r="D394" s="2"/>
      <c r="E394" s="2"/>
      <c r="G394" s="3"/>
      <c r="H394" s="3"/>
    </row>
    <row r="395">
      <c r="D395" s="2"/>
      <c r="E395" s="2"/>
      <c r="G395" s="3"/>
      <c r="H395" s="3"/>
    </row>
    <row r="396">
      <c r="D396" s="2"/>
      <c r="E396" s="2"/>
      <c r="G396" s="3"/>
      <c r="H396" s="3"/>
    </row>
    <row r="397">
      <c r="D397" s="2"/>
      <c r="E397" s="2"/>
      <c r="G397" s="3"/>
      <c r="H397" s="3"/>
    </row>
    <row r="398">
      <c r="D398" s="2"/>
      <c r="E398" s="2"/>
      <c r="G398" s="3"/>
      <c r="H398" s="3"/>
    </row>
    <row r="399">
      <c r="D399" s="2"/>
      <c r="E399" s="2"/>
      <c r="G399" s="3"/>
      <c r="H399" s="3"/>
    </row>
    <row r="400">
      <c r="D400" s="2"/>
      <c r="E400" s="2"/>
      <c r="G400" s="3"/>
      <c r="H400" s="3"/>
    </row>
    <row r="401">
      <c r="D401" s="2"/>
      <c r="E401" s="2"/>
      <c r="G401" s="3"/>
      <c r="H401" s="3"/>
    </row>
    <row r="402">
      <c r="D402" s="2"/>
      <c r="E402" s="2"/>
      <c r="G402" s="3"/>
      <c r="H402" s="3"/>
    </row>
    <row r="403">
      <c r="D403" s="2"/>
      <c r="E403" s="2"/>
      <c r="G403" s="3"/>
      <c r="H403" s="3"/>
    </row>
    <row r="404">
      <c r="D404" s="2"/>
      <c r="E404" s="2"/>
      <c r="G404" s="3"/>
      <c r="H404" s="3"/>
    </row>
    <row r="405">
      <c r="D405" s="2"/>
      <c r="E405" s="2"/>
      <c r="G405" s="3"/>
      <c r="H405" s="3"/>
    </row>
    <row r="406">
      <c r="D406" s="2"/>
      <c r="E406" s="2"/>
      <c r="G406" s="3"/>
      <c r="H406" s="3"/>
    </row>
    <row r="407">
      <c r="D407" s="2"/>
      <c r="E407" s="2"/>
      <c r="G407" s="3"/>
      <c r="H407" s="3"/>
    </row>
    <row r="408">
      <c r="D408" s="2"/>
      <c r="E408" s="2"/>
      <c r="G408" s="3"/>
      <c r="H408" s="3"/>
    </row>
    <row r="409">
      <c r="D409" s="2"/>
      <c r="E409" s="2"/>
      <c r="G409" s="3"/>
      <c r="H409" s="3"/>
    </row>
    <row r="410">
      <c r="D410" s="2"/>
      <c r="E410" s="2"/>
      <c r="G410" s="3"/>
      <c r="H410" s="3"/>
    </row>
    <row r="411">
      <c r="D411" s="2"/>
      <c r="E411" s="2"/>
      <c r="G411" s="3"/>
      <c r="H411" s="3"/>
    </row>
    <row r="412">
      <c r="D412" s="2"/>
      <c r="E412" s="2"/>
      <c r="G412" s="3"/>
      <c r="H412" s="3"/>
    </row>
    <row r="413">
      <c r="D413" s="2"/>
      <c r="E413" s="2"/>
      <c r="G413" s="3"/>
      <c r="H413" s="3"/>
    </row>
    <row r="414">
      <c r="D414" s="2"/>
      <c r="E414" s="2"/>
      <c r="G414" s="3"/>
      <c r="H414" s="3"/>
    </row>
    <row r="415">
      <c r="D415" s="2"/>
      <c r="E415" s="2"/>
      <c r="G415" s="3"/>
      <c r="H415" s="3"/>
    </row>
    <row r="416">
      <c r="D416" s="2"/>
      <c r="E416" s="2"/>
      <c r="G416" s="3"/>
      <c r="H416" s="3"/>
    </row>
    <row r="417">
      <c r="D417" s="2"/>
      <c r="E417" s="2"/>
      <c r="G417" s="3"/>
      <c r="H417" s="3"/>
    </row>
    <row r="418">
      <c r="D418" s="2"/>
      <c r="E418" s="2"/>
      <c r="G418" s="3"/>
      <c r="H418" s="3"/>
    </row>
    <row r="419">
      <c r="D419" s="2"/>
      <c r="E419" s="2"/>
      <c r="G419" s="3"/>
      <c r="H419" s="3"/>
    </row>
    <row r="420">
      <c r="D420" s="2"/>
      <c r="E420" s="2"/>
      <c r="G420" s="3"/>
      <c r="H420" s="3"/>
    </row>
    <row r="421">
      <c r="D421" s="2"/>
      <c r="E421" s="2"/>
      <c r="G421" s="3"/>
      <c r="H421" s="3"/>
    </row>
    <row r="422">
      <c r="D422" s="2"/>
      <c r="E422" s="2"/>
      <c r="G422" s="3"/>
      <c r="H422" s="3"/>
    </row>
    <row r="423">
      <c r="D423" s="2"/>
      <c r="E423" s="2"/>
      <c r="G423" s="3"/>
      <c r="H423" s="3"/>
    </row>
    <row r="424">
      <c r="D424" s="2"/>
      <c r="E424" s="2"/>
      <c r="G424" s="3"/>
      <c r="H424" s="3"/>
    </row>
    <row r="425">
      <c r="D425" s="2"/>
      <c r="E425" s="2"/>
      <c r="G425" s="3"/>
      <c r="H425" s="3"/>
    </row>
    <row r="426">
      <c r="D426" s="2"/>
      <c r="E426" s="2"/>
      <c r="G426" s="3"/>
      <c r="H426" s="3"/>
    </row>
    <row r="427">
      <c r="D427" s="2"/>
      <c r="E427" s="2"/>
      <c r="G427" s="3"/>
      <c r="H427" s="3"/>
    </row>
    <row r="428">
      <c r="D428" s="2"/>
      <c r="E428" s="2"/>
      <c r="G428" s="3"/>
      <c r="H428" s="3"/>
    </row>
    <row r="429">
      <c r="D429" s="2"/>
      <c r="E429" s="2"/>
      <c r="G429" s="3"/>
      <c r="H429" s="3"/>
    </row>
    <row r="430">
      <c r="D430" s="2"/>
      <c r="E430" s="2"/>
      <c r="G430" s="3"/>
      <c r="H430" s="3"/>
    </row>
    <row r="431">
      <c r="D431" s="2"/>
      <c r="E431" s="2"/>
      <c r="G431" s="3"/>
      <c r="H431" s="3"/>
    </row>
    <row r="432">
      <c r="D432" s="2"/>
      <c r="E432" s="2"/>
      <c r="G432" s="3"/>
      <c r="H432" s="3"/>
    </row>
    <row r="433">
      <c r="D433" s="2"/>
      <c r="E433" s="2"/>
      <c r="G433" s="3"/>
      <c r="H433" s="3"/>
    </row>
    <row r="434">
      <c r="D434" s="2"/>
      <c r="E434" s="2"/>
      <c r="G434" s="3"/>
      <c r="H434" s="3"/>
    </row>
    <row r="435">
      <c r="D435" s="2"/>
      <c r="E435" s="2"/>
      <c r="G435" s="3"/>
      <c r="H435" s="3"/>
    </row>
    <row r="436">
      <c r="D436" s="2"/>
      <c r="E436" s="2"/>
      <c r="G436" s="3"/>
      <c r="H436" s="3"/>
    </row>
    <row r="437">
      <c r="D437" s="2"/>
      <c r="E437" s="2"/>
      <c r="G437" s="3"/>
      <c r="H437" s="3"/>
    </row>
    <row r="438">
      <c r="D438" s="2"/>
      <c r="E438" s="2"/>
      <c r="G438" s="3"/>
      <c r="H438" s="3"/>
    </row>
    <row r="439">
      <c r="D439" s="2"/>
      <c r="E439" s="2"/>
      <c r="G439" s="3"/>
      <c r="H439" s="3"/>
    </row>
    <row r="440">
      <c r="D440" s="2"/>
      <c r="E440" s="2"/>
      <c r="G440" s="3"/>
      <c r="H440" s="3"/>
    </row>
    <row r="441">
      <c r="D441" s="2"/>
      <c r="E441" s="2"/>
      <c r="G441" s="3"/>
      <c r="H441" s="3"/>
    </row>
    <row r="442">
      <c r="D442" s="2"/>
      <c r="E442" s="2"/>
      <c r="G442" s="3"/>
      <c r="H442" s="3"/>
    </row>
    <row r="443">
      <c r="D443" s="2"/>
      <c r="E443" s="2"/>
      <c r="G443" s="3"/>
      <c r="H443" s="3"/>
    </row>
    <row r="444">
      <c r="D444" s="2"/>
      <c r="E444" s="2"/>
      <c r="G444" s="3"/>
      <c r="H444" s="3"/>
    </row>
    <row r="445">
      <c r="D445" s="2"/>
      <c r="E445" s="2"/>
      <c r="G445" s="3"/>
      <c r="H445" s="3"/>
    </row>
    <row r="446">
      <c r="D446" s="2"/>
      <c r="E446" s="2"/>
      <c r="G446" s="3"/>
      <c r="H446" s="3"/>
    </row>
    <row r="447">
      <c r="D447" s="2"/>
      <c r="E447" s="2"/>
      <c r="G447" s="3"/>
      <c r="H447" s="3"/>
    </row>
    <row r="448">
      <c r="D448" s="2"/>
      <c r="E448" s="2"/>
      <c r="G448" s="3"/>
      <c r="H448" s="3"/>
    </row>
    <row r="449">
      <c r="D449" s="2"/>
      <c r="E449" s="2"/>
      <c r="G449" s="3"/>
      <c r="H449" s="3"/>
    </row>
    <row r="450">
      <c r="D450" s="2"/>
      <c r="E450" s="2"/>
      <c r="G450" s="3"/>
      <c r="H450" s="3"/>
    </row>
    <row r="451">
      <c r="D451" s="2"/>
      <c r="E451" s="2"/>
      <c r="G451" s="3"/>
      <c r="H451" s="3"/>
    </row>
    <row r="452">
      <c r="D452" s="2"/>
      <c r="E452" s="2"/>
      <c r="G452" s="3"/>
      <c r="H452" s="3"/>
    </row>
    <row r="453">
      <c r="D453" s="2"/>
      <c r="E453" s="2"/>
      <c r="G453" s="3"/>
      <c r="H453" s="3"/>
    </row>
    <row r="454">
      <c r="D454" s="2"/>
      <c r="E454" s="2"/>
      <c r="G454" s="3"/>
      <c r="H454" s="3"/>
    </row>
    <row r="455">
      <c r="D455" s="2"/>
      <c r="E455" s="2"/>
      <c r="G455" s="3"/>
      <c r="H455" s="3"/>
    </row>
    <row r="456">
      <c r="D456" s="2"/>
      <c r="E456" s="2"/>
      <c r="G456" s="3"/>
      <c r="H456" s="3"/>
    </row>
    <row r="457">
      <c r="D457" s="2"/>
      <c r="E457" s="2"/>
      <c r="G457" s="3"/>
      <c r="H457" s="3"/>
    </row>
    <row r="458">
      <c r="D458" s="2"/>
      <c r="E458" s="2"/>
      <c r="G458" s="3"/>
      <c r="H458" s="3"/>
    </row>
    <row r="459">
      <c r="D459" s="2"/>
      <c r="E459" s="2"/>
      <c r="G459" s="3"/>
      <c r="H459" s="3"/>
    </row>
    <row r="460">
      <c r="D460" s="2"/>
      <c r="E460" s="2"/>
      <c r="G460" s="3"/>
      <c r="H460" s="3"/>
    </row>
    <row r="461">
      <c r="D461" s="2"/>
      <c r="E461" s="2"/>
      <c r="G461" s="3"/>
      <c r="H461" s="3"/>
    </row>
    <row r="462">
      <c r="D462" s="2"/>
      <c r="E462" s="2"/>
      <c r="G462" s="3"/>
      <c r="H462" s="3"/>
    </row>
    <row r="463">
      <c r="D463" s="2"/>
      <c r="E463" s="2"/>
      <c r="G463" s="3"/>
      <c r="H463" s="3"/>
    </row>
    <row r="464">
      <c r="D464" s="2"/>
      <c r="E464" s="2"/>
      <c r="G464" s="3"/>
      <c r="H464" s="3"/>
    </row>
    <row r="465">
      <c r="D465" s="2"/>
      <c r="E465" s="2"/>
      <c r="G465" s="3"/>
      <c r="H465" s="3"/>
    </row>
    <row r="466">
      <c r="D466" s="2"/>
      <c r="E466" s="2"/>
      <c r="G466" s="3"/>
      <c r="H466" s="3"/>
    </row>
    <row r="467">
      <c r="D467" s="2"/>
      <c r="E467" s="2"/>
      <c r="G467" s="3"/>
      <c r="H467" s="3"/>
    </row>
    <row r="468">
      <c r="D468" s="2"/>
      <c r="E468" s="2"/>
      <c r="G468" s="3"/>
      <c r="H468" s="3"/>
    </row>
    <row r="469">
      <c r="D469" s="2"/>
      <c r="E469" s="2"/>
      <c r="G469" s="3"/>
      <c r="H469" s="3"/>
    </row>
    <row r="470">
      <c r="D470" s="2"/>
      <c r="E470" s="2"/>
      <c r="G470" s="3"/>
      <c r="H470" s="3"/>
    </row>
    <row r="471">
      <c r="D471" s="2"/>
      <c r="E471" s="2"/>
      <c r="G471" s="3"/>
      <c r="H471" s="3"/>
    </row>
    <row r="472">
      <c r="D472" s="2"/>
      <c r="E472" s="2"/>
      <c r="G472" s="3"/>
      <c r="H472" s="3"/>
    </row>
    <row r="473">
      <c r="D473" s="2"/>
      <c r="E473" s="2"/>
      <c r="G473" s="3"/>
      <c r="H473" s="3"/>
    </row>
    <row r="474">
      <c r="D474" s="2"/>
      <c r="E474" s="2"/>
      <c r="G474" s="3"/>
      <c r="H474" s="3"/>
    </row>
    <row r="475">
      <c r="D475" s="2"/>
      <c r="E475" s="2"/>
      <c r="G475" s="3"/>
      <c r="H475" s="3"/>
    </row>
    <row r="476">
      <c r="D476" s="2"/>
      <c r="E476" s="2"/>
      <c r="G476" s="3"/>
      <c r="H476" s="3"/>
    </row>
    <row r="477">
      <c r="D477" s="2"/>
      <c r="E477" s="2"/>
      <c r="G477" s="3"/>
      <c r="H477" s="3"/>
    </row>
    <row r="478">
      <c r="D478" s="2"/>
      <c r="E478" s="2"/>
      <c r="G478" s="3"/>
      <c r="H478" s="3"/>
    </row>
    <row r="479">
      <c r="D479" s="2"/>
      <c r="E479" s="2"/>
      <c r="G479" s="3"/>
      <c r="H479" s="3"/>
    </row>
    <row r="480">
      <c r="D480" s="2"/>
      <c r="E480" s="2"/>
      <c r="G480" s="3"/>
      <c r="H480" s="3"/>
    </row>
    <row r="481">
      <c r="D481" s="2"/>
      <c r="E481" s="2"/>
      <c r="G481" s="3"/>
      <c r="H481" s="3"/>
    </row>
    <row r="482">
      <c r="D482" s="2"/>
      <c r="E482" s="2"/>
      <c r="G482" s="3"/>
      <c r="H482" s="3"/>
    </row>
    <row r="483">
      <c r="D483" s="2"/>
      <c r="E483" s="2"/>
      <c r="G483" s="3"/>
      <c r="H483" s="3"/>
    </row>
    <row r="484">
      <c r="D484" s="2"/>
      <c r="E484" s="2"/>
      <c r="G484" s="3"/>
      <c r="H484" s="3"/>
    </row>
    <row r="485">
      <c r="D485" s="2"/>
      <c r="E485" s="2"/>
      <c r="G485" s="3"/>
      <c r="H485" s="3"/>
    </row>
    <row r="486">
      <c r="D486" s="2"/>
      <c r="E486" s="2"/>
      <c r="G486" s="3"/>
      <c r="H486" s="3"/>
    </row>
    <row r="487">
      <c r="D487" s="2"/>
      <c r="E487" s="2"/>
      <c r="G487" s="3"/>
      <c r="H487" s="3"/>
    </row>
    <row r="488">
      <c r="D488" s="2"/>
      <c r="E488" s="2"/>
      <c r="G488" s="3"/>
      <c r="H488" s="3"/>
    </row>
    <row r="489">
      <c r="D489" s="2"/>
      <c r="E489" s="2"/>
      <c r="G489" s="3"/>
      <c r="H489" s="3"/>
    </row>
    <row r="490">
      <c r="D490" s="2"/>
      <c r="E490" s="2"/>
      <c r="G490" s="3"/>
      <c r="H490" s="3"/>
    </row>
    <row r="491">
      <c r="D491" s="2"/>
      <c r="E491" s="2"/>
      <c r="G491" s="3"/>
      <c r="H491" s="3"/>
    </row>
    <row r="492">
      <c r="D492" s="2"/>
      <c r="E492" s="2"/>
      <c r="G492" s="3"/>
      <c r="H492" s="3"/>
    </row>
    <row r="493">
      <c r="D493" s="2"/>
      <c r="E493" s="2"/>
      <c r="G493" s="3"/>
      <c r="H493" s="3"/>
    </row>
    <row r="494">
      <c r="D494" s="2"/>
      <c r="E494" s="2"/>
      <c r="G494" s="3"/>
      <c r="H494" s="3"/>
    </row>
    <row r="495">
      <c r="D495" s="2"/>
      <c r="E495" s="2"/>
      <c r="G495" s="3"/>
      <c r="H495" s="3"/>
    </row>
    <row r="496">
      <c r="D496" s="2"/>
      <c r="E496" s="2"/>
      <c r="G496" s="3"/>
      <c r="H496" s="3"/>
    </row>
    <row r="497">
      <c r="D497" s="2"/>
      <c r="E497" s="2"/>
      <c r="G497" s="3"/>
      <c r="H497" s="3"/>
    </row>
    <row r="498">
      <c r="D498" s="2"/>
      <c r="E498" s="2"/>
      <c r="G498" s="3"/>
      <c r="H498" s="3"/>
    </row>
    <row r="499">
      <c r="D499" s="2"/>
      <c r="E499" s="2"/>
      <c r="G499" s="3"/>
      <c r="H499" s="3"/>
    </row>
    <row r="500">
      <c r="D500" s="2"/>
      <c r="E500" s="2"/>
      <c r="G500" s="3"/>
      <c r="H500" s="3"/>
    </row>
    <row r="501">
      <c r="D501" s="2"/>
      <c r="E501" s="2"/>
      <c r="G501" s="3"/>
      <c r="H501" s="3"/>
    </row>
    <row r="502">
      <c r="D502" s="2"/>
      <c r="E502" s="2"/>
      <c r="G502" s="3"/>
      <c r="H502" s="3"/>
    </row>
    <row r="503">
      <c r="D503" s="2"/>
      <c r="E503" s="2"/>
      <c r="G503" s="3"/>
      <c r="H503" s="3"/>
    </row>
    <row r="504">
      <c r="D504" s="2"/>
      <c r="E504" s="2"/>
      <c r="G504" s="3"/>
      <c r="H504" s="3"/>
    </row>
    <row r="505">
      <c r="D505" s="2"/>
      <c r="E505" s="2"/>
      <c r="G505" s="3"/>
      <c r="H505" s="3"/>
    </row>
    <row r="506">
      <c r="D506" s="2"/>
      <c r="E506" s="2"/>
      <c r="G506" s="3"/>
      <c r="H506" s="3"/>
    </row>
    <row r="507">
      <c r="D507" s="2"/>
      <c r="E507" s="2"/>
      <c r="G507" s="3"/>
      <c r="H507" s="3"/>
    </row>
    <row r="508">
      <c r="D508" s="2"/>
      <c r="E508" s="2"/>
      <c r="G508" s="3"/>
      <c r="H508" s="3"/>
    </row>
    <row r="509">
      <c r="D509" s="2"/>
      <c r="E509" s="2"/>
      <c r="G509" s="3"/>
      <c r="H509" s="3"/>
    </row>
    <row r="510">
      <c r="D510" s="2"/>
      <c r="E510" s="2"/>
      <c r="G510" s="3"/>
      <c r="H510" s="3"/>
    </row>
    <row r="511">
      <c r="D511" s="2"/>
      <c r="E511" s="2"/>
      <c r="G511" s="3"/>
      <c r="H511" s="3"/>
    </row>
    <row r="512">
      <c r="D512" s="2"/>
      <c r="E512" s="2"/>
      <c r="G512" s="3"/>
      <c r="H512" s="3"/>
    </row>
    <row r="513">
      <c r="D513" s="2"/>
      <c r="E513" s="2"/>
      <c r="G513" s="3"/>
      <c r="H513" s="3"/>
    </row>
    <row r="514">
      <c r="D514" s="2"/>
      <c r="E514" s="2"/>
      <c r="G514" s="3"/>
      <c r="H514" s="3"/>
    </row>
    <row r="515">
      <c r="D515" s="2"/>
      <c r="E515" s="2"/>
      <c r="G515" s="3"/>
      <c r="H515" s="3"/>
    </row>
    <row r="516">
      <c r="D516" s="2"/>
      <c r="E516" s="2"/>
      <c r="G516" s="3"/>
      <c r="H516" s="3"/>
    </row>
    <row r="517">
      <c r="D517" s="2"/>
      <c r="E517" s="2"/>
      <c r="G517" s="3"/>
      <c r="H517" s="3"/>
    </row>
    <row r="518">
      <c r="D518" s="2"/>
      <c r="E518" s="2"/>
      <c r="G518" s="3"/>
      <c r="H518" s="3"/>
    </row>
    <row r="519">
      <c r="D519" s="2"/>
      <c r="E519" s="2"/>
      <c r="G519" s="3"/>
      <c r="H519" s="3"/>
    </row>
    <row r="520">
      <c r="D520" s="2"/>
      <c r="E520" s="2"/>
      <c r="G520" s="3"/>
      <c r="H520" s="3"/>
    </row>
    <row r="521">
      <c r="D521" s="2"/>
      <c r="E521" s="2"/>
      <c r="G521" s="3"/>
      <c r="H521" s="3"/>
    </row>
    <row r="522">
      <c r="D522" s="2"/>
      <c r="E522" s="2"/>
      <c r="G522" s="3"/>
      <c r="H522" s="3"/>
    </row>
    <row r="523">
      <c r="D523" s="2"/>
      <c r="E523" s="2"/>
      <c r="G523" s="3"/>
      <c r="H523" s="3"/>
    </row>
    <row r="524">
      <c r="D524" s="2"/>
      <c r="E524" s="2"/>
      <c r="G524" s="3"/>
      <c r="H524" s="3"/>
    </row>
    <row r="525">
      <c r="D525" s="2"/>
      <c r="E525" s="2"/>
      <c r="G525" s="3"/>
      <c r="H525" s="3"/>
    </row>
    <row r="526">
      <c r="D526" s="2"/>
      <c r="E526" s="2"/>
      <c r="G526" s="3"/>
      <c r="H526" s="3"/>
    </row>
    <row r="527">
      <c r="D527" s="2"/>
      <c r="E527" s="2"/>
      <c r="G527" s="3"/>
      <c r="H527" s="3"/>
    </row>
    <row r="528">
      <c r="D528" s="2"/>
      <c r="E528" s="2"/>
      <c r="G528" s="3"/>
      <c r="H528" s="3"/>
    </row>
    <row r="529">
      <c r="D529" s="2"/>
      <c r="E529" s="2"/>
      <c r="G529" s="3"/>
      <c r="H529" s="3"/>
    </row>
    <row r="530">
      <c r="D530" s="2"/>
      <c r="E530" s="2"/>
      <c r="G530" s="3"/>
      <c r="H530" s="3"/>
    </row>
    <row r="531">
      <c r="D531" s="2"/>
      <c r="E531" s="2"/>
      <c r="G531" s="3"/>
      <c r="H531" s="3"/>
    </row>
    <row r="532">
      <c r="D532" s="2"/>
      <c r="E532" s="2"/>
      <c r="G532" s="3"/>
      <c r="H532" s="3"/>
    </row>
    <row r="533">
      <c r="D533" s="2"/>
      <c r="E533" s="2"/>
      <c r="G533" s="3"/>
      <c r="H533" s="3"/>
    </row>
    <row r="534">
      <c r="D534" s="2"/>
      <c r="E534" s="2"/>
      <c r="G534" s="3"/>
      <c r="H534" s="3"/>
    </row>
    <row r="535">
      <c r="D535" s="2"/>
      <c r="E535" s="2"/>
      <c r="G535" s="3"/>
      <c r="H535" s="3"/>
    </row>
    <row r="536">
      <c r="D536" s="2"/>
      <c r="E536" s="2"/>
      <c r="G536" s="3"/>
      <c r="H536" s="3"/>
    </row>
    <row r="537">
      <c r="D537" s="2"/>
      <c r="E537" s="2"/>
      <c r="G537" s="3"/>
      <c r="H537" s="3"/>
    </row>
    <row r="538">
      <c r="D538" s="2"/>
      <c r="E538" s="2"/>
      <c r="G538" s="3"/>
      <c r="H538" s="3"/>
    </row>
    <row r="539">
      <c r="D539" s="2"/>
      <c r="E539" s="2"/>
      <c r="G539" s="3"/>
      <c r="H539" s="3"/>
    </row>
    <row r="540">
      <c r="D540" s="2"/>
      <c r="E540" s="2"/>
      <c r="G540" s="3"/>
      <c r="H540" s="3"/>
    </row>
    <row r="541">
      <c r="D541" s="2"/>
      <c r="E541" s="2"/>
      <c r="G541" s="3"/>
      <c r="H541" s="3"/>
    </row>
    <row r="542">
      <c r="D542" s="2"/>
      <c r="E542" s="2"/>
      <c r="G542" s="3"/>
      <c r="H542" s="3"/>
    </row>
    <row r="543">
      <c r="D543" s="2"/>
      <c r="E543" s="2"/>
      <c r="G543" s="3"/>
      <c r="H543" s="3"/>
    </row>
    <row r="544">
      <c r="D544" s="2"/>
      <c r="E544" s="2"/>
      <c r="G544" s="3"/>
      <c r="H544" s="3"/>
    </row>
    <row r="545">
      <c r="D545" s="2"/>
      <c r="E545" s="2"/>
      <c r="G545" s="3"/>
      <c r="H545" s="3"/>
    </row>
    <row r="546">
      <c r="D546" s="2"/>
      <c r="E546" s="2"/>
      <c r="G546" s="3"/>
      <c r="H546" s="3"/>
    </row>
    <row r="547">
      <c r="D547" s="2"/>
      <c r="E547" s="2"/>
      <c r="G547" s="3"/>
      <c r="H547" s="3"/>
    </row>
    <row r="548">
      <c r="D548" s="2"/>
      <c r="E548" s="2"/>
      <c r="G548" s="3"/>
      <c r="H548" s="3"/>
    </row>
    <row r="549">
      <c r="D549" s="2"/>
      <c r="E549" s="2"/>
      <c r="G549" s="3"/>
      <c r="H549" s="3"/>
    </row>
    <row r="550">
      <c r="D550" s="2"/>
      <c r="E550" s="2"/>
      <c r="G550" s="3"/>
      <c r="H550" s="3"/>
    </row>
    <row r="551">
      <c r="D551" s="2"/>
      <c r="E551" s="2"/>
      <c r="G551" s="3"/>
      <c r="H551" s="3"/>
    </row>
    <row r="552">
      <c r="D552" s="2"/>
      <c r="E552" s="2"/>
      <c r="G552" s="3"/>
      <c r="H552" s="3"/>
    </row>
    <row r="553">
      <c r="D553" s="2"/>
      <c r="E553" s="2"/>
      <c r="G553" s="3"/>
      <c r="H553" s="3"/>
    </row>
    <row r="554">
      <c r="D554" s="2"/>
      <c r="E554" s="2"/>
      <c r="G554" s="3"/>
      <c r="H554" s="3"/>
    </row>
    <row r="555">
      <c r="D555" s="2"/>
      <c r="E555" s="2"/>
      <c r="G555" s="3"/>
      <c r="H555" s="3"/>
    </row>
    <row r="556">
      <c r="D556" s="2"/>
      <c r="E556" s="2"/>
      <c r="G556" s="3"/>
      <c r="H556" s="3"/>
    </row>
    <row r="557">
      <c r="D557" s="2"/>
      <c r="E557" s="2"/>
      <c r="G557" s="3"/>
      <c r="H557" s="3"/>
    </row>
    <row r="558">
      <c r="D558" s="2"/>
      <c r="E558" s="2"/>
      <c r="G558" s="3"/>
      <c r="H558" s="3"/>
    </row>
    <row r="559">
      <c r="D559" s="2"/>
      <c r="E559" s="2"/>
      <c r="G559" s="3"/>
      <c r="H559" s="3"/>
    </row>
    <row r="560">
      <c r="D560" s="2"/>
      <c r="E560" s="2"/>
      <c r="G560" s="3"/>
      <c r="H560" s="3"/>
    </row>
    <row r="561">
      <c r="D561" s="2"/>
      <c r="E561" s="2"/>
      <c r="G561" s="3"/>
      <c r="H561" s="3"/>
    </row>
    <row r="562">
      <c r="D562" s="2"/>
      <c r="E562" s="2"/>
      <c r="G562" s="3"/>
      <c r="H562" s="3"/>
    </row>
    <row r="563">
      <c r="D563" s="2"/>
      <c r="E563" s="2"/>
      <c r="G563" s="3"/>
      <c r="H563" s="3"/>
    </row>
    <row r="564">
      <c r="D564" s="2"/>
      <c r="E564" s="2"/>
      <c r="G564" s="3"/>
      <c r="H564" s="3"/>
    </row>
    <row r="565">
      <c r="D565" s="2"/>
      <c r="E565" s="2"/>
      <c r="G565" s="3"/>
      <c r="H565" s="3"/>
    </row>
    <row r="566">
      <c r="D566" s="2"/>
      <c r="E566" s="2"/>
      <c r="G566" s="3"/>
      <c r="H566" s="3"/>
    </row>
    <row r="567">
      <c r="D567" s="2"/>
      <c r="E567" s="2"/>
      <c r="G567" s="3"/>
      <c r="H567" s="3"/>
    </row>
    <row r="568">
      <c r="D568" s="2"/>
      <c r="E568" s="2"/>
      <c r="G568" s="3"/>
      <c r="H568" s="3"/>
    </row>
    <row r="569">
      <c r="D569" s="2"/>
      <c r="E569" s="2"/>
      <c r="G569" s="3"/>
      <c r="H569" s="3"/>
    </row>
    <row r="570">
      <c r="D570" s="2"/>
      <c r="E570" s="2"/>
      <c r="G570" s="3"/>
      <c r="H570" s="3"/>
    </row>
    <row r="571">
      <c r="D571" s="2"/>
      <c r="E571" s="2"/>
      <c r="G571" s="3"/>
      <c r="H571" s="3"/>
    </row>
    <row r="572">
      <c r="D572" s="2"/>
      <c r="E572" s="2"/>
      <c r="G572" s="3"/>
      <c r="H572" s="3"/>
    </row>
    <row r="573">
      <c r="D573" s="2"/>
      <c r="E573" s="2"/>
      <c r="G573" s="3"/>
      <c r="H573" s="3"/>
    </row>
    <row r="574">
      <c r="D574" s="2"/>
      <c r="E574" s="2"/>
      <c r="G574" s="3"/>
      <c r="H574" s="3"/>
    </row>
    <row r="575">
      <c r="D575" s="2"/>
      <c r="E575" s="2"/>
      <c r="G575" s="3"/>
      <c r="H575" s="3"/>
    </row>
    <row r="576">
      <c r="D576" s="2"/>
      <c r="E576" s="2"/>
      <c r="G576" s="3"/>
      <c r="H576" s="3"/>
    </row>
    <row r="577">
      <c r="D577" s="2"/>
      <c r="E577" s="2"/>
      <c r="G577" s="3"/>
      <c r="H577" s="3"/>
    </row>
    <row r="578">
      <c r="D578" s="2"/>
      <c r="E578" s="2"/>
      <c r="G578" s="3"/>
      <c r="H578" s="3"/>
    </row>
    <row r="579">
      <c r="D579" s="2"/>
      <c r="E579" s="2"/>
      <c r="G579" s="3"/>
      <c r="H579" s="3"/>
    </row>
    <row r="580">
      <c r="D580" s="2"/>
      <c r="E580" s="2"/>
      <c r="G580" s="3"/>
      <c r="H580" s="3"/>
    </row>
    <row r="581">
      <c r="D581" s="2"/>
      <c r="E581" s="2"/>
      <c r="G581" s="3"/>
      <c r="H581" s="3"/>
    </row>
    <row r="582">
      <c r="D582" s="2"/>
      <c r="E582" s="2"/>
      <c r="G582" s="3"/>
      <c r="H582" s="3"/>
    </row>
    <row r="583">
      <c r="D583" s="2"/>
      <c r="E583" s="2"/>
      <c r="G583" s="3"/>
      <c r="H583" s="3"/>
    </row>
    <row r="584">
      <c r="D584" s="2"/>
      <c r="E584" s="2"/>
      <c r="G584" s="3"/>
      <c r="H584" s="3"/>
    </row>
    <row r="585">
      <c r="D585" s="2"/>
      <c r="E585" s="2"/>
      <c r="G585" s="3"/>
      <c r="H585" s="3"/>
    </row>
    <row r="586">
      <c r="D586" s="2"/>
      <c r="E586" s="2"/>
      <c r="G586" s="3"/>
      <c r="H586" s="3"/>
    </row>
    <row r="587">
      <c r="D587" s="2"/>
      <c r="E587" s="2"/>
      <c r="G587" s="3"/>
      <c r="H587" s="3"/>
    </row>
    <row r="588">
      <c r="D588" s="2"/>
      <c r="E588" s="2"/>
      <c r="G588" s="3"/>
      <c r="H588" s="3"/>
    </row>
    <row r="589">
      <c r="D589" s="2"/>
      <c r="E589" s="2"/>
      <c r="G589" s="3"/>
      <c r="H589" s="3"/>
    </row>
    <row r="590">
      <c r="D590" s="2"/>
      <c r="E590" s="2"/>
      <c r="G590" s="3"/>
      <c r="H590" s="3"/>
    </row>
    <row r="591">
      <c r="D591" s="2"/>
      <c r="E591" s="2"/>
      <c r="G591" s="3"/>
      <c r="H591" s="3"/>
    </row>
    <row r="592">
      <c r="D592" s="2"/>
      <c r="E592" s="2"/>
      <c r="G592" s="3"/>
      <c r="H592" s="3"/>
    </row>
    <row r="593">
      <c r="D593" s="2"/>
      <c r="E593" s="2"/>
      <c r="G593" s="3"/>
      <c r="H593" s="3"/>
    </row>
    <row r="594">
      <c r="D594" s="2"/>
      <c r="E594" s="2"/>
      <c r="G594" s="3"/>
      <c r="H594" s="3"/>
    </row>
    <row r="595">
      <c r="D595" s="2"/>
      <c r="E595" s="2"/>
      <c r="G595" s="3"/>
      <c r="H595" s="3"/>
    </row>
    <row r="596">
      <c r="D596" s="2"/>
      <c r="E596" s="2"/>
      <c r="G596" s="3"/>
      <c r="H596" s="3"/>
    </row>
    <row r="597">
      <c r="D597" s="2"/>
      <c r="E597" s="2"/>
      <c r="G597" s="3"/>
      <c r="H597" s="3"/>
    </row>
    <row r="598">
      <c r="D598" s="2"/>
      <c r="E598" s="2"/>
      <c r="G598" s="3"/>
      <c r="H598" s="3"/>
    </row>
    <row r="599">
      <c r="D599" s="2"/>
      <c r="E599" s="2"/>
      <c r="G599" s="3"/>
      <c r="H599" s="3"/>
    </row>
    <row r="600">
      <c r="D600" s="2"/>
      <c r="E600" s="2"/>
      <c r="G600" s="3"/>
      <c r="H600" s="3"/>
    </row>
    <row r="601">
      <c r="D601" s="2"/>
      <c r="E601" s="2"/>
      <c r="G601" s="3"/>
      <c r="H601" s="3"/>
    </row>
    <row r="602">
      <c r="D602" s="2"/>
      <c r="E602" s="2"/>
      <c r="G602" s="3"/>
      <c r="H602" s="3"/>
    </row>
    <row r="603">
      <c r="D603" s="2"/>
      <c r="E603" s="2"/>
      <c r="G603" s="3"/>
      <c r="H603" s="3"/>
    </row>
    <row r="604">
      <c r="D604" s="2"/>
      <c r="E604" s="2"/>
      <c r="G604" s="3"/>
      <c r="H604" s="3"/>
    </row>
    <row r="605">
      <c r="D605" s="2"/>
      <c r="E605" s="2"/>
      <c r="G605" s="3"/>
      <c r="H605" s="3"/>
    </row>
    <row r="606">
      <c r="D606" s="2"/>
      <c r="E606" s="2"/>
      <c r="G606" s="3"/>
      <c r="H606" s="3"/>
    </row>
    <row r="607">
      <c r="D607" s="2"/>
      <c r="E607" s="2"/>
      <c r="G607" s="3"/>
      <c r="H607" s="3"/>
    </row>
    <row r="608">
      <c r="D608" s="2"/>
      <c r="E608" s="2"/>
      <c r="G608" s="3"/>
      <c r="H608" s="3"/>
    </row>
    <row r="609">
      <c r="D609" s="2"/>
      <c r="E609" s="2"/>
      <c r="G609" s="3"/>
      <c r="H609" s="3"/>
    </row>
    <row r="610">
      <c r="D610" s="2"/>
      <c r="E610" s="2"/>
      <c r="G610" s="3"/>
      <c r="H610" s="3"/>
    </row>
    <row r="611">
      <c r="D611" s="2"/>
      <c r="E611" s="2"/>
      <c r="G611" s="3"/>
      <c r="H611" s="3"/>
    </row>
    <row r="612">
      <c r="D612" s="2"/>
      <c r="E612" s="2"/>
      <c r="G612" s="3"/>
      <c r="H612" s="3"/>
    </row>
    <row r="613">
      <c r="D613" s="2"/>
      <c r="E613" s="2"/>
      <c r="G613" s="3"/>
      <c r="H613" s="3"/>
    </row>
    <row r="614">
      <c r="D614" s="2"/>
      <c r="E614" s="2"/>
      <c r="G614" s="3"/>
      <c r="H614" s="3"/>
    </row>
    <row r="615">
      <c r="D615" s="2"/>
      <c r="E615" s="2"/>
      <c r="G615" s="3"/>
      <c r="H615" s="3"/>
    </row>
    <row r="616">
      <c r="D616" s="2"/>
      <c r="E616" s="2"/>
      <c r="G616" s="3"/>
      <c r="H616" s="3"/>
    </row>
    <row r="617">
      <c r="D617" s="2"/>
      <c r="E617" s="2"/>
      <c r="G617" s="3"/>
      <c r="H617" s="3"/>
    </row>
    <row r="618">
      <c r="D618" s="2"/>
      <c r="E618" s="2"/>
      <c r="G618" s="3"/>
      <c r="H618" s="3"/>
    </row>
    <row r="619">
      <c r="D619" s="2"/>
      <c r="E619" s="2"/>
      <c r="G619" s="3"/>
      <c r="H619" s="3"/>
    </row>
    <row r="620">
      <c r="D620" s="2"/>
      <c r="E620" s="2"/>
      <c r="G620" s="3"/>
      <c r="H620" s="3"/>
    </row>
    <row r="621">
      <c r="D621" s="2"/>
      <c r="E621" s="2"/>
      <c r="G621" s="3"/>
      <c r="H621" s="3"/>
    </row>
    <row r="622">
      <c r="D622" s="2"/>
      <c r="E622" s="2"/>
      <c r="G622" s="3"/>
      <c r="H622" s="3"/>
    </row>
    <row r="623">
      <c r="D623" s="2"/>
      <c r="E623" s="2"/>
      <c r="G623" s="3"/>
      <c r="H623" s="3"/>
    </row>
    <row r="624">
      <c r="D624" s="2"/>
      <c r="E624" s="2"/>
      <c r="G624" s="3"/>
      <c r="H624" s="3"/>
    </row>
    <row r="625">
      <c r="D625" s="2"/>
      <c r="E625" s="2"/>
      <c r="G625" s="3"/>
      <c r="H625" s="3"/>
    </row>
    <row r="626">
      <c r="D626" s="2"/>
      <c r="E626" s="2"/>
      <c r="G626" s="3"/>
      <c r="H626" s="3"/>
    </row>
    <row r="627">
      <c r="D627" s="2"/>
      <c r="E627" s="2"/>
      <c r="G627" s="3"/>
      <c r="H627" s="3"/>
    </row>
    <row r="628">
      <c r="D628" s="2"/>
      <c r="E628" s="2"/>
      <c r="G628" s="3"/>
      <c r="H628" s="3"/>
    </row>
    <row r="629">
      <c r="D629" s="2"/>
      <c r="E629" s="2"/>
      <c r="G629" s="3"/>
      <c r="H629" s="3"/>
    </row>
    <row r="630">
      <c r="D630" s="2"/>
      <c r="E630" s="2"/>
      <c r="G630" s="3"/>
      <c r="H630" s="3"/>
    </row>
    <row r="631">
      <c r="D631" s="2"/>
      <c r="E631" s="2"/>
      <c r="G631" s="3"/>
      <c r="H631" s="3"/>
    </row>
    <row r="632">
      <c r="D632" s="2"/>
      <c r="E632" s="2"/>
      <c r="G632" s="3"/>
      <c r="H632" s="3"/>
    </row>
    <row r="633">
      <c r="D633" s="2"/>
      <c r="E633" s="2"/>
      <c r="G633" s="3"/>
      <c r="H633" s="3"/>
    </row>
    <row r="634">
      <c r="D634" s="2"/>
      <c r="E634" s="2"/>
      <c r="G634" s="3"/>
      <c r="H634" s="3"/>
    </row>
    <row r="635">
      <c r="D635" s="2"/>
      <c r="E635" s="2"/>
      <c r="G635" s="3"/>
      <c r="H635" s="3"/>
    </row>
    <row r="636">
      <c r="D636" s="2"/>
      <c r="E636" s="2"/>
      <c r="G636" s="3"/>
      <c r="H636" s="3"/>
    </row>
    <row r="637">
      <c r="D637" s="2"/>
      <c r="E637" s="2"/>
      <c r="G637" s="3"/>
      <c r="H637" s="3"/>
    </row>
    <row r="638">
      <c r="D638" s="2"/>
      <c r="E638" s="2"/>
      <c r="G638" s="3"/>
      <c r="H638" s="3"/>
    </row>
    <row r="639">
      <c r="D639" s="2"/>
      <c r="E639" s="2"/>
      <c r="G639" s="3"/>
      <c r="H639" s="3"/>
    </row>
    <row r="640">
      <c r="D640" s="2"/>
      <c r="E640" s="2"/>
      <c r="G640" s="3"/>
      <c r="H640" s="3"/>
    </row>
    <row r="641">
      <c r="D641" s="2"/>
      <c r="E641" s="2"/>
      <c r="G641" s="3"/>
      <c r="H641" s="3"/>
    </row>
    <row r="642">
      <c r="D642" s="2"/>
      <c r="E642" s="2"/>
      <c r="G642" s="3"/>
      <c r="H642" s="3"/>
    </row>
    <row r="643">
      <c r="D643" s="2"/>
      <c r="E643" s="2"/>
      <c r="G643" s="3"/>
      <c r="H643" s="3"/>
    </row>
    <row r="644">
      <c r="D644" s="2"/>
      <c r="E644" s="2"/>
      <c r="G644" s="3"/>
      <c r="H644" s="3"/>
    </row>
    <row r="645">
      <c r="D645" s="2"/>
      <c r="E645" s="2"/>
      <c r="G645" s="3"/>
      <c r="H645" s="3"/>
    </row>
    <row r="646">
      <c r="D646" s="2"/>
      <c r="E646" s="2"/>
      <c r="G646" s="3"/>
      <c r="H646" s="3"/>
    </row>
    <row r="647">
      <c r="D647" s="2"/>
      <c r="E647" s="2"/>
      <c r="G647" s="3"/>
      <c r="H647" s="3"/>
    </row>
    <row r="648">
      <c r="D648" s="2"/>
      <c r="E648" s="2"/>
      <c r="G648" s="3"/>
      <c r="H648" s="3"/>
    </row>
    <row r="649">
      <c r="D649" s="2"/>
      <c r="E649" s="2"/>
      <c r="G649" s="3"/>
      <c r="H649" s="3"/>
    </row>
    <row r="650">
      <c r="D650" s="2"/>
      <c r="E650" s="2"/>
      <c r="G650" s="3"/>
      <c r="H650" s="3"/>
    </row>
    <row r="651">
      <c r="D651" s="2"/>
      <c r="E651" s="2"/>
      <c r="G651" s="3"/>
      <c r="H651" s="3"/>
    </row>
    <row r="652">
      <c r="D652" s="2"/>
      <c r="E652" s="2"/>
      <c r="G652" s="3"/>
      <c r="H652" s="3"/>
    </row>
    <row r="653">
      <c r="D653" s="2"/>
      <c r="E653" s="2"/>
      <c r="G653" s="3"/>
      <c r="H653" s="3"/>
    </row>
    <row r="654">
      <c r="D654" s="2"/>
      <c r="E654" s="2"/>
      <c r="G654" s="3"/>
      <c r="H654" s="3"/>
    </row>
    <row r="655">
      <c r="D655" s="2"/>
      <c r="E655" s="2"/>
      <c r="G655" s="3"/>
      <c r="H655" s="3"/>
    </row>
    <row r="656">
      <c r="D656" s="2"/>
      <c r="E656" s="2"/>
      <c r="G656" s="3"/>
      <c r="H656" s="3"/>
    </row>
    <row r="657">
      <c r="D657" s="2"/>
      <c r="E657" s="2"/>
      <c r="G657" s="3"/>
      <c r="H657" s="3"/>
    </row>
    <row r="658">
      <c r="D658" s="2"/>
      <c r="E658" s="2"/>
      <c r="G658" s="3"/>
      <c r="H658" s="3"/>
    </row>
    <row r="659">
      <c r="D659" s="2"/>
      <c r="E659" s="2"/>
      <c r="G659" s="3"/>
      <c r="H659" s="3"/>
    </row>
    <row r="660">
      <c r="D660" s="2"/>
      <c r="E660" s="2"/>
      <c r="G660" s="3"/>
      <c r="H660" s="3"/>
    </row>
    <row r="661">
      <c r="D661" s="2"/>
      <c r="E661" s="2"/>
      <c r="G661" s="3"/>
      <c r="H661" s="3"/>
    </row>
    <row r="662">
      <c r="D662" s="2"/>
      <c r="E662" s="2"/>
      <c r="G662" s="3"/>
      <c r="H662" s="3"/>
    </row>
    <row r="663">
      <c r="D663" s="2"/>
      <c r="E663" s="2"/>
      <c r="G663" s="3"/>
      <c r="H663" s="3"/>
    </row>
    <row r="664">
      <c r="D664" s="2"/>
      <c r="E664" s="2"/>
      <c r="G664" s="3"/>
      <c r="H664" s="3"/>
    </row>
    <row r="665">
      <c r="D665" s="2"/>
      <c r="E665" s="2"/>
      <c r="G665" s="3"/>
      <c r="H665" s="3"/>
    </row>
    <row r="666">
      <c r="D666" s="2"/>
      <c r="E666" s="2"/>
      <c r="G666" s="3"/>
      <c r="H666" s="3"/>
    </row>
    <row r="667">
      <c r="D667" s="2"/>
      <c r="E667" s="2"/>
      <c r="G667" s="3"/>
      <c r="H667" s="3"/>
    </row>
    <row r="668">
      <c r="D668" s="2"/>
      <c r="E668" s="2"/>
      <c r="G668" s="3"/>
      <c r="H668" s="3"/>
    </row>
    <row r="669">
      <c r="D669" s="2"/>
      <c r="E669" s="2"/>
      <c r="G669" s="3"/>
      <c r="H669" s="3"/>
    </row>
    <row r="670">
      <c r="D670" s="2"/>
      <c r="E670" s="2"/>
      <c r="G670" s="3"/>
      <c r="H670" s="3"/>
    </row>
    <row r="671">
      <c r="D671" s="2"/>
      <c r="E671" s="2"/>
      <c r="G671" s="3"/>
      <c r="H671" s="3"/>
    </row>
    <row r="672">
      <c r="D672" s="2"/>
      <c r="E672" s="2"/>
      <c r="G672" s="3"/>
      <c r="H672" s="3"/>
    </row>
    <row r="673">
      <c r="D673" s="2"/>
      <c r="E673" s="2"/>
      <c r="G673" s="3"/>
      <c r="H673" s="3"/>
    </row>
    <row r="674">
      <c r="D674" s="2"/>
      <c r="E674" s="2"/>
      <c r="G674" s="3"/>
      <c r="H674" s="3"/>
    </row>
    <row r="675">
      <c r="D675" s="2"/>
      <c r="E675" s="2"/>
      <c r="G675" s="3"/>
      <c r="H675" s="3"/>
    </row>
    <row r="676">
      <c r="D676" s="2"/>
      <c r="E676" s="2"/>
      <c r="G676" s="3"/>
      <c r="H676" s="3"/>
    </row>
    <row r="677">
      <c r="D677" s="2"/>
      <c r="E677" s="2"/>
      <c r="G677" s="3"/>
      <c r="H677" s="3"/>
    </row>
    <row r="678">
      <c r="D678" s="2"/>
      <c r="E678" s="2"/>
      <c r="G678" s="3"/>
      <c r="H678" s="3"/>
    </row>
    <row r="679">
      <c r="D679" s="2"/>
      <c r="E679" s="2"/>
      <c r="G679" s="3"/>
      <c r="H679" s="3"/>
    </row>
    <row r="680">
      <c r="D680" s="2"/>
      <c r="E680" s="2"/>
      <c r="G680" s="3"/>
      <c r="H680" s="3"/>
    </row>
    <row r="681">
      <c r="D681" s="2"/>
      <c r="E681" s="2"/>
      <c r="G681" s="3"/>
      <c r="H681" s="3"/>
    </row>
    <row r="682">
      <c r="D682" s="2"/>
      <c r="E682" s="2"/>
      <c r="G682" s="3"/>
      <c r="H682" s="3"/>
    </row>
    <row r="683">
      <c r="D683" s="2"/>
      <c r="E683" s="2"/>
      <c r="G683" s="3"/>
      <c r="H683" s="3"/>
    </row>
    <row r="684">
      <c r="D684" s="2"/>
      <c r="E684" s="2"/>
      <c r="G684" s="3"/>
      <c r="H684" s="3"/>
    </row>
    <row r="685">
      <c r="D685" s="2"/>
      <c r="E685" s="2"/>
      <c r="G685" s="3"/>
      <c r="H685" s="3"/>
    </row>
    <row r="686">
      <c r="D686" s="2"/>
      <c r="E686" s="2"/>
      <c r="G686" s="3"/>
      <c r="H686" s="3"/>
    </row>
    <row r="687">
      <c r="D687" s="2"/>
      <c r="E687" s="2"/>
      <c r="G687" s="3"/>
      <c r="H687" s="3"/>
    </row>
    <row r="688">
      <c r="D688" s="2"/>
      <c r="E688" s="2"/>
      <c r="G688" s="3"/>
      <c r="H688" s="3"/>
    </row>
    <row r="689">
      <c r="D689" s="2"/>
      <c r="E689" s="2"/>
      <c r="G689" s="3"/>
      <c r="H689" s="3"/>
    </row>
    <row r="690">
      <c r="D690" s="2"/>
      <c r="E690" s="2"/>
      <c r="G690" s="3"/>
      <c r="H690" s="3"/>
    </row>
    <row r="691">
      <c r="D691" s="2"/>
      <c r="E691" s="2"/>
      <c r="G691" s="3"/>
      <c r="H691" s="3"/>
    </row>
    <row r="692">
      <c r="D692" s="2"/>
      <c r="E692" s="2"/>
      <c r="G692" s="3"/>
      <c r="H692" s="3"/>
    </row>
    <row r="693">
      <c r="D693" s="2"/>
      <c r="E693" s="2"/>
      <c r="G693" s="3"/>
      <c r="H693" s="3"/>
    </row>
    <row r="694">
      <c r="D694" s="2"/>
      <c r="E694" s="2"/>
      <c r="G694" s="3"/>
      <c r="H694" s="3"/>
    </row>
    <row r="695">
      <c r="D695" s="2"/>
      <c r="E695" s="2"/>
      <c r="G695" s="3"/>
      <c r="H695" s="3"/>
    </row>
    <row r="696">
      <c r="D696" s="2"/>
      <c r="E696" s="2"/>
      <c r="G696" s="3"/>
      <c r="H696" s="3"/>
    </row>
    <row r="697">
      <c r="D697" s="2"/>
      <c r="E697" s="2"/>
      <c r="G697" s="3"/>
      <c r="H697" s="3"/>
    </row>
    <row r="698">
      <c r="D698" s="2"/>
      <c r="E698" s="2"/>
      <c r="G698" s="3"/>
      <c r="H698" s="3"/>
    </row>
    <row r="699">
      <c r="D699" s="2"/>
      <c r="E699" s="2"/>
      <c r="G699" s="3"/>
      <c r="H699" s="3"/>
    </row>
    <row r="700">
      <c r="D700" s="2"/>
      <c r="E700" s="2"/>
      <c r="G700" s="3"/>
      <c r="H700" s="3"/>
    </row>
    <row r="701">
      <c r="D701" s="2"/>
      <c r="E701" s="2"/>
      <c r="G701" s="3"/>
      <c r="H701" s="3"/>
    </row>
    <row r="702">
      <c r="D702" s="2"/>
      <c r="E702" s="2"/>
      <c r="G702" s="3"/>
      <c r="H702" s="3"/>
    </row>
    <row r="703">
      <c r="D703" s="2"/>
      <c r="E703" s="2"/>
      <c r="G703" s="3"/>
      <c r="H703" s="3"/>
    </row>
    <row r="704">
      <c r="D704" s="2"/>
      <c r="E704" s="2"/>
      <c r="G704" s="3"/>
      <c r="H704" s="3"/>
    </row>
    <row r="705">
      <c r="D705" s="2"/>
      <c r="E705" s="2"/>
      <c r="G705" s="3"/>
      <c r="H705" s="3"/>
    </row>
    <row r="706">
      <c r="D706" s="2"/>
      <c r="E706" s="2"/>
      <c r="G706" s="3"/>
      <c r="H706" s="3"/>
    </row>
    <row r="707">
      <c r="D707" s="2"/>
      <c r="E707" s="2"/>
      <c r="G707" s="3"/>
      <c r="H707" s="3"/>
    </row>
    <row r="708">
      <c r="D708" s="2"/>
      <c r="E708" s="2"/>
      <c r="G708" s="3"/>
      <c r="H708" s="3"/>
    </row>
    <row r="709">
      <c r="D709" s="2"/>
      <c r="E709" s="2"/>
      <c r="G709" s="3"/>
      <c r="H709" s="3"/>
    </row>
    <row r="710">
      <c r="D710" s="2"/>
      <c r="E710" s="2"/>
      <c r="G710" s="3"/>
      <c r="H710" s="3"/>
    </row>
    <row r="711">
      <c r="D711" s="2"/>
      <c r="E711" s="2"/>
      <c r="G711" s="3"/>
      <c r="H711" s="3"/>
    </row>
    <row r="712">
      <c r="D712" s="2"/>
      <c r="E712" s="2"/>
      <c r="G712" s="3"/>
      <c r="H712" s="3"/>
    </row>
    <row r="713">
      <c r="D713" s="2"/>
      <c r="E713" s="2"/>
      <c r="G713" s="3"/>
      <c r="H713" s="3"/>
    </row>
    <row r="714">
      <c r="D714" s="2"/>
      <c r="E714" s="2"/>
      <c r="G714" s="3"/>
      <c r="H714" s="3"/>
    </row>
    <row r="715">
      <c r="D715" s="2"/>
      <c r="E715" s="2"/>
      <c r="G715" s="3"/>
      <c r="H715" s="3"/>
    </row>
    <row r="716">
      <c r="D716" s="2"/>
      <c r="E716" s="2"/>
      <c r="G716" s="3"/>
      <c r="H716" s="3"/>
    </row>
    <row r="717">
      <c r="D717" s="2"/>
      <c r="E717" s="2"/>
      <c r="G717" s="3"/>
      <c r="H717" s="3"/>
    </row>
    <row r="718">
      <c r="D718" s="2"/>
      <c r="E718" s="2"/>
      <c r="G718" s="3"/>
      <c r="H718" s="3"/>
    </row>
    <row r="719">
      <c r="D719" s="2"/>
      <c r="E719" s="2"/>
      <c r="G719" s="3"/>
      <c r="H719" s="3"/>
    </row>
    <row r="720">
      <c r="D720" s="2"/>
      <c r="E720" s="2"/>
      <c r="G720" s="3"/>
      <c r="H720" s="3"/>
    </row>
    <row r="721">
      <c r="D721" s="2"/>
      <c r="E721" s="2"/>
      <c r="G721" s="3"/>
      <c r="H721" s="3"/>
    </row>
    <row r="722">
      <c r="D722" s="2"/>
      <c r="E722" s="2"/>
      <c r="G722" s="3"/>
      <c r="H722" s="3"/>
    </row>
    <row r="723">
      <c r="D723" s="2"/>
      <c r="E723" s="2"/>
      <c r="G723" s="3"/>
      <c r="H723" s="3"/>
    </row>
    <row r="724">
      <c r="D724" s="2"/>
      <c r="E724" s="2"/>
      <c r="G724" s="3"/>
      <c r="H724" s="3"/>
    </row>
    <row r="725">
      <c r="D725" s="2"/>
      <c r="E725" s="2"/>
      <c r="G725" s="3"/>
      <c r="H725" s="3"/>
    </row>
    <row r="726">
      <c r="D726" s="2"/>
      <c r="E726" s="2"/>
      <c r="G726" s="3"/>
      <c r="H726" s="3"/>
    </row>
    <row r="727">
      <c r="D727" s="2"/>
      <c r="E727" s="2"/>
      <c r="G727" s="3"/>
      <c r="H727" s="3"/>
    </row>
    <row r="728">
      <c r="D728" s="2"/>
      <c r="E728" s="2"/>
      <c r="G728" s="3"/>
      <c r="H728" s="3"/>
    </row>
    <row r="729">
      <c r="D729" s="2"/>
      <c r="E729" s="2"/>
      <c r="G729" s="3"/>
      <c r="H729" s="3"/>
    </row>
    <row r="730">
      <c r="D730" s="2"/>
      <c r="E730" s="2"/>
      <c r="G730" s="3"/>
      <c r="H730" s="3"/>
    </row>
    <row r="731">
      <c r="D731" s="2"/>
      <c r="E731" s="2"/>
      <c r="G731" s="3"/>
      <c r="H731" s="3"/>
    </row>
    <row r="732">
      <c r="D732" s="2"/>
      <c r="E732" s="2"/>
      <c r="G732" s="3"/>
      <c r="H732" s="3"/>
    </row>
    <row r="733">
      <c r="D733" s="2"/>
      <c r="E733" s="2"/>
      <c r="G733" s="3"/>
      <c r="H733" s="3"/>
    </row>
    <row r="734">
      <c r="D734" s="2"/>
      <c r="E734" s="2"/>
      <c r="G734" s="3"/>
      <c r="H734" s="3"/>
    </row>
    <row r="735">
      <c r="D735" s="2"/>
      <c r="E735" s="2"/>
      <c r="G735" s="3"/>
      <c r="H735" s="3"/>
    </row>
    <row r="736">
      <c r="D736" s="2"/>
      <c r="E736" s="2"/>
      <c r="G736" s="3"/>
      <c r="H736" s="3"/>
    </row>
    <row r="737">
      <c r="D737" s="2"/>
      <c r="E737" s="2"/>
      <c r="G737" s="3"/>
      <c r="H737" s="3"/>
    </row>
    <row r="738">
      <c r="D738" s="2"/>
      <c r="E738" s="2"/>
      <c r="G738" s="3"/>
      <c r="H738" s="3"/>
    </row>
    <row r="739">
      <c r="D739" s="2"/>
      <c r="E739" s="2"/>
      <c r="G739" s="3"/>
      <c r="H739" s="3"/>
    </row>
    <row r="740">
      <c r="D740" s="2"/>
      <c r="E740" s="2"/>
      <c r="G740" s="3"/>
      <c r="H740" s="3"/>
    </row>
    <row r="741">
      <c r="D741" s="2"/>
      <c r="E741" s="2"/>
      <c r="G741" s="3"/>
      <c r="H741" s="3"/>
    </row>
    <row r="742">
      <c r="D742" s="2"/>
      <c r="E742" s="2"/>
      <c r="G742" s="3"/>
      <c r="H742" s="3"/>
    </row>
    <row r="743">
      <c r="D743" s="2"/>
      <c r="E743" s="2"/>
      <c r="G743" s="3"/>
      <c r="H743" s="3"/>
    </row>
    <row r="744">
      <c r="D744" s="2"/>
      <c r="E744" s="2"/>
      <c r="G744" s="3"/>
      <c r="H744" s="3"/>
    </row>
    <row r="745">
      <c r="D745" s="2"/>
      <c r="E745" s="2"/>
      <c r="G745" s="3"/>
      <c r="H745" s="3"/>
    </row>
    <row r="746">
      <c r="D746" s="2"/>
      <c r="E746" s="2"/>
      <c r="G746" s="3"/>
      <c r="H746" s="3"/>
    </row>
    <row r="747">
      <c r="D747" s="2"/>
      <c r="E747" s="2"/>
      <c r="G747" s="3"/>
      <c r="H747" s="3"/>
    </row>
    <row r="748">
      <c r="D748" s="2"/>
      <c r="E748" s="2"/>
      <c r="G748" s="3"/>
      <c r="H748" s="3"/>
    </row>
    <row r="749">
      <c r="D749" s="2"/>
      <c r="E749" s="2"/>
      <c r="G749" s="3"/>
      <c r="H749" s="3"/>
    </row>
    <row r="750">
      <c r="D750" s="2"/>
      <c r="E750" s="2"/>
      <c r="G750" s="3"/>
      <c r="H750" s="3"/>
    </row>
    <row r="751">
      <c r="D751" s="2"/>
      <c r="E751" s="2"/>
      <c r="G751" s="3"/>
      <c r="H751" s="3"/>
    </row>
    <row r="752">
      <c r="D752" s="2"/>
      <c r="E752" s="2"/>
      <c r="G752" s="3"/>
      <c r="H752" s="3"/>
    </row>
    <row r="753">
      <c r="D753" s="2"/>
      <c r="E753" s="2"/>
      <c r="G753" s="3"/>
      <c r="H753" s="3"/>
    </row>
    <row r="754">
      <c r="D754" s="2"/>
      <c r="E754" s="2"/>
      <c r="G754" s="3"/>
      <c r="H754" s="3"/>
    </row>
    <row r="755">
      <c r="D755" s="2"/>
      <c r="E755" s="2"/>
      <c r="G755" s="3"/>
      <c r="H755" s="3"/>
    </row>
    <row r="756">
      <c r="D756" s="2"/>
      <c r="E756" s="2"/>
      <c r="G756" s="3"/>
      <c r="H756" s="3"/>
    </row>
    <row r="757">
      <c r="D757" s="2"/>
      <c r="E757" s="2"/>
      <c r="G757" s="3"/>
      <c r="H757" s="3"/>
    </row>
    <row r="758">
      <c r="D758" s="2"/>
      <c r="E758" s="2"/>
      <c r="G758" s="3"/>
      <c r="H758" s="3"/>
    </row>
    <row r="759">
      <c r="D759" s="2"/>
      <c r="E759" s="2"/>
      <c r="G759" s="3"/>
      <c r="H759" s="3"/>
    </row>
    <row r="760">
      <c r="D760" s="2"/>
      <c r="E760" s="2"/>
      <c r="G760" s="3"/>
      <c r="H760" s="3"/>
    </row>
    <row r="761">
      <c r="D761" s="2"/>
      <c r="E761" s="2"/>
      <c r="G761" s="3"/>
      <c r="H761" s="3"/>
    </row>
    <row r="762">
      <c r="D762" s="2"/>
      <c r="E762" s="2"/>
      <c r="G762" s="3"/>
      <c r="H762" s="3"/>
    </row>
    <row r="763">
      <c r="D763" s="2"/>
      <c r="E763" s="2"/>
      <c r="G763" s="3"/>
      <c r="H763" s="3"/>
    </row>
    <row r="764">
      <c r="D764" s="2"/>
      <c r="E764" s="2"/>
      <c r="G764" s="3"/>
      <c r="H764" s="3"/>
    </row>
    <row r="765">
      <c r="D765" s="2"/>
      <c r="E765" s="2"/>
      <c r="G765" s="3"/>
      <c r="H765" s="3"/>
    </row>
    <row r="766">
      <c r="D766" s="2"/>
      <c r="E766" s="2"/>
      <c r="G766" s="3"/>
      <c r="H766" s="3"/>
    </row>
    <row r="767">
      <c r="D767" s="2"/>
      <c r="E767" s="2"/>
      <c r="G767" s="3"/>
      <c r="H767" s="3"/>
    </row>
    <row r="768">
      <c r="D768" s="2"/>
      <c r="E768" s="2"/>
      <c r="G768" s="3"/>
      <c r="H768" s="3"/>
    </row>
    <row r="769">
      <c r="D769" s="2"/>
      <c r="E769" s="2"/>
      <c r="G769" s="3"/>
      <c r="H769" s="3"/>
    </row>
    <row r="770">
      <c r="D770" s="2"/>
      <c r="E770" s="2"/>
      <c r="G770" s="3"/>
      <c r="H770" s="3"/>
    </row>
    <row r="771">
      <c r="D771" s="2"/>
      <c r="E771" s="2"/>
      <c r="G771" s="3"/>
      <c r="H771" s="3"/>
    </row>
    <row r="772">
      <c r="D772" s="2"/>
      <c r="E772" s="2"/>
      <c r="G772" s="3"/>
      <c r="H772" s="3"/>
    </row>
    <row r="773">
      <c r="D773" s="2"/>
      <c r="E773" s="2"/>
      <c r="G773" s="3"/>
      <c r="H773" s="3"/>
    </row>
    <row r="774">
      <c r="D774" s="2"/>
      <c r="E774" s="2"/>
      <c r="G774" s="3"/>
      <c r="H774" s="3"/>
    </row>
    <row r="775">
      <c r="D775" s="2"/>
      <c r="E775" s="2"/>
      <c r="G775" s="3"/>
      <c r="H775" s="3"/>
    </row>
    <row r="776">
      <c r="D776" s="2"/>
      <c r="E776" s="2"/>
      <c r="G776" s="3"/>
      <c r="H776" s="3"/>
    </row>
    <row r="777">
      <c r="D777" s="2"/>
      <c r="E777" s="2"/>
      <c r="G777" s="3"/>
      <c r="H777" s="3"/>
    </row>
    <row r="778">
      <c r="D778" s="2"/>
      <c r="E778" s="2"/>
      <c r="G778" s="3"/>
      <c r="H778" s="3"/>
    </row>
    <row r="779">
      <c r="D779" s="2"/>
      <c r="E779" s="2"/>
      <c r="G779" s="3"/>
      <c r="H779" s="3"/>
    </row>
    <row r="780">
      <c r="D780" s="2"/>
      <c r="E780" s="2"/>
      <c r="G780" s="3"/>
      <c r="H780" s="3"/>
    </row>
    <row r="781">
      <c r="D781" s="2"/>
      <c r="E781" s="2"/>
      <c r="G781" s="3"/>
      <c r="H781" s="3"/>
    </row>
    <row r="782">
      <c r="D782" s="2"/>
      <c r="E782" s="2"/>
      <c r="G782" s="3"/>
      <c r="H782" s="3"/>
    </row>
    <row r="783">
      <c r="D783" s="2"/>
      <c r="E783" s="2"/>
      <c r="G783" s="3"/>
      <c r="H783" s="3"/>
    </row>
    <row r="784">
      <c r="D784" s="2"/>
      <c r="E784" s="2"/>
      <c r="G784" s="3"/>
      <c r="H784" s="3"/>
    </row>
    <row r="785">
      <c r="D785" s="2"/>
      <c r="E785" s="2"/>
      <c r="G785" s="3"/>
      <c r="H785" s="3"/>
    </row>
    <row r="786">
      <c r="D786" s="2"/>
      <c r="E786" s="2"/>
      <c r="G786" s="3"/>
      <c r="H786" s="3"/>
    </row>
    <row r="787">
      <c r="D787" s="2"/>
      <c r="E787" s="2"/>
      <c r="G787" s="3"/>
      <c r="H787" s="3"/>
    </row>
    <row r="788">
      <c r="D788" s="2"/>
      <c r="E788" s="2"/>
      <c r="G788" s="3"/>
      <c r="H788" s="3"/>
    </row>
    <row r="789">
      <c r="D789" s="2"/>
      <c r="E789" s="2"/>
      <c r="G789" s="3"/>
      <c r="H789" s="3"/>
    </row>
    <row r="790">
      <c r="D790" s="2"/>
      <c r="E790" s="2"/>
      <c r="G790" s="3"/>
      <c r="H790" s="3"/>
    </row>
    <row r="791">
      <c r="D791" s="2"/>
      <c r="E791" s="2"/>
      <c r="G791" s="3"/>
      <c r="H791" s="3"/>
    </row>
    <row r="792">
      <c r="D792" s="2"/>
      <c r="E792" s="2"/>
      <c r="G792" s="3"/>
      <c r="H792" s="3"/>
    </row>
    <row r="793">
      <c r="D793" s="2"/>
      <c r="E793" s="2"/>
      <c r="G793" s="3"/>
      <c r="H793" s="3"/>
    </row>
    <row r="794">
      <c r="D794" s="2"/>
      <c r="E794" s="2"/>
      <c r="G794" s="3"/>
      <c r="H794" s="3"/>
    </row>
    <row r="795">
      <c r="D795" s="2"/>
      <c r="E795" s="2"/>
      <c r="G795" s="3"/>
      <c r="H795" s="3"/>
    </row>
    <row r="796">
      <c r="D796" s="2"/>
      <c r="E796" s="2"/>
      <c r="G796" s="3"/>
      <c r="H796" s="3"/>
    </row>
    <row r="797">
      <c r="D797" s="2"/>
      <c r="E797" s="2"/>
      <c r="G797" s="3"/>
      <c r="H797" s="3"/>
    </row>
    <row r="798">
      <c r="D798" s="2"/>
      <c r="E798" s="2"/>
      <c r="G798" s="3"/>
      <c r="H798" s="3"/>
    </row>
    <row r="799">
      <c r="D799" s="2"/>
      <c r="E799" s="2"/>
      <c r="G799" s="3"/>
      <c r="H799" s="3"/>
    </row>
    <row r="800">
      <c r="D800" s="2"/>
      <c r="E800" s="2"/>
      <c r="G800" s="3"/>
      <c r="H800" s="3"/>
    </row>
    <row r="801">
      <c r="D801" s="2"/>
      <c r="E801" s="2"/>
      <c r="G801" s="3"/>
      <c r="H801" s="3"/>
    </row>
    <row r="802">
      <c r="D802" s="2"/>
      <c r="E802" s="2"/>
      <c r="G802" s="3"/>
      <c r="H802" s="3"/>
    </row>
    <row r="803">
      <c r="D803" s="2"/>
      <c r="E803" s="2"/>
      <c r="G803" s="3"/>
      <c r="H803" s="3"/>
    </row>
    <row r="804">
      <c r="D804" s="2"/>
      <c r="E804" s="2"/>
      <c r="G804" s="3"/>
      <c r="H804" s="3"/>
    </row>
    <row r="805">
      <c r="D805" s="2"/>
      <c r="E805" s="2"/>
      <c r="G805" s="3"/>
      <c r="H805" s="3"/>
    </row>
    <row r="806">
      <c r="D806" s="2"/>
      <c r="E806" s="2"/>
      <c r="G806" s="3"/>
      <c r="H806" s="3"/>
    </row>
    <row r="807">
      <c r="D807" s="2"/>
      <c r="E807" s="2"/>
      <c r="G807" s="3"/>
      <c r="H807" s="3"/>
    </row>
    <row r="808">
      <c r="D808" s="2"/>
      <c r="E808" s="2"/>
      <c r="G808" s="3"/>
      <c r="H808" s="3"/>
    </row>
    <row r="809">
      <c r="D809" s="2"/>
      <c r="E809" s="2"/>
      <c r="G809" s="3"/>
      <c r="H809" s="3"/>
    </row>
    <row r="810">
      <c r="D810" s="2"/>
      <c r="E810" s="2"/>
      <c r="G810" s="3"/>
      <c r="H810" s="3"/>
    </row>
    <row r="811">
      <c r="D811" s="2"/>
      <c r="E811" s="2"/>
      <c r="G811" s="3"/>
      <c r="H811" s="3"/>
    </row>
    <row r="812">
      <c r="D812" s="2"/>
      <c r="E812" s="2"/>
      <c r="G812" s="3"/>
      <c r="H812" s="3"/>
    </row>
    <row r="813">
      <c r="D813" s="2"/>
      <c r="E813" s="2"/>
      <c r="G813" s="3"/>
      <c r="H813" s="3"/>
    </row>
    <row r="814">
      <c r="D814" s="2"/>
      <c r="E814" s="2"/>
      <c r="G814" s="3"/>
      <c r="H814" s="3"/>
    </row>
    <row r="815">
      <c r="D815" s="2"/>
      <c r="E815" s="2"/>
      <c r="G815" s="3"/>
      <c r="H815" s="3"/>
    </row>
    <row r="816">
      <c r="D816" s="2"/>
      <c r="E816" s="2"/>
      <c r="G816" s="3"/>
      <c r="H816" s="3"/>
    </row>
    <row r="817">
      <c r="D817" s="2"/>
      <c r="E817" s="2"/>
      <c r="G817" s="3"/>
      <c r="H817" s="3"/>
    </row>
    <row r="818">
      <c r="D818" s="2"/>
      <c r="E818" s="2"/>
      <c r="G818" s="3"/>
      <c r="H818" s="3"/>
    </row>
    <row r="819">
      <c r="D819" s="2"/>
      <c r="E819" s="2"/>
      <c r="G819" s="3"/>
      <c r="H819" s="3"/>
    </row>
    <row r="820">
      <c r="D820" s="2"/>
      <c r="E820" s="2"/>
      <c r="G820" s="3"/>
      <c r="H820" s="3"/>
    </row>
    <row r="821">
      <c r="D821" s="2"/>
      <c r="E821" s="2"/>
      <c r="G821" s="3"/>
      <c r="H821" s="3"/>
    </row>
    <row r="822">
      <c r="D822" s="2"/>
      <c r="E822" s="2"/>
      <c r="G822" s="3"/>
      <c r="H822" s="3"/>
    </row>
    <row r="823">
      <c r="D823" s="2"/>
      <c r="E823" s="2"/>
      <c r="G823" s="3"/>
      <c r="H823" s="3"/>
    </row>
    <row r="824">
      <c r="D824" s="2"/>
      <c r="E824" s="2"/>
      <c r="G824" s="3"/>
      <c r="H824" s="3"/>
    </row>
    <row r="825">
      <c r="D825" s="2"/>
      <c r="E825" s="2"/>
      <c r="G825" s="3"/>
      <c r="H825" s="3"/>
    </row>
    <row r="826">
      <c r="D826" s="2"/>
      <c r="E826" s="2"/>
      <c r="G826" s="3"/>
      <c r="H826" s="3"/>
    </row>
    <row r="827">
      <c r="D827" s="2"/>
      <c r="E827" s="2"/>
      <c r="G827" s="3"/>
      <c r="H827" s="3"/>
    </row>
    <row r="828">
      <c r="D828" s="2"/>
      <c r="E828" s="2"/>
      <c r="G828" s="3"/>
      <c r="H828" s="3"/>
    </row>
    <row r="829">
      <c r="D829" s="2"/>
      <c r="E829" s="2"/>
      <c r="G829" s="3"/>
      <c r="H829" s="3"/>
    </row>
    <row r="830">
      <c r="D830" s="2"/>
      <c r="E830" s="2"/>
      <c r="G830" s="3"/>
      <c r="H830" s="3"/>
    </row>
    <row r="831">
      <c r="D831" s="2"/>
      <c r="E831" s="2"/>
      <c r="G831" s="3"/>
      <c r="H831" s="3"/>
    </row>
    <row r="832">
      <c r="D832" s="2"/>
      <c r="E832" s="2"/>
      <c r="G832" s="3"/>
      <c r="H832" s="3"/>
    </row>
    <row r="833">
      <c r="D833" s="2"/>
      <c r="E833" s="2"/>
      <c r="G833" s="3"/>
      <c r="H833" s="3"/>
    </row>
    <row r="834">
      <c r="D834" s="2"/>
      <c r="E834" s="2"/>
      <c r="G834" s="3"/>
      <c r="H834" s="3"/>
    </row>
    <row r="835">
      <c r="D835" s="2"/>
      <c r="E835" s="2"/>
      <c r="G835" s="3"/>
      <c r="H835" s="3"/>
    </row>
    <row r="836">
      <c r="D836" s="2"/>
      <c r="E836" s="2"/>
      <c r="G836" s="3"/>
      <c r="H836" s="3"/>
    </row>
    <row r="837">
      <c r="D837" s="2"/>
      <c r="E837" s="2"/>
      <c r="G837" s="3"/>
      <c r="H837" s="3"/>
    </row>
    <row r="838">
      <c r="D838" s="2"/>
      <c r="E838" s="2"/>
      <c r="G838" s="3"/>
      <c r="H838" s="3"/>
    </row>
    <row r="839">
      <c r="D839" s="2"/>
      <c r="E839" s="2"/>
      <c r="G839" s="3"/>
      <c r="H839" s="3"/>
    </row>
    <row r="840">
      <c r="D840" s="2"/>
      <c r="E840" s="2"/>
      <c r="G840" s="3"/>
      <c r="H840" s="3"/>
    </row>
    <row r="841">
      <c r="D841" s="2"/>
      <c r="E841" s="2"/>
      <c r="G841" s="3"/>
      <c r="H841" s="3"/>
    </row>
    <row r="842">
      <c r="D842" s="2"/>
      <c r="E842" s="2"/>
      <c r="G842" s="3"/>
      <c r="H842" s="3"/>
    </row>
    <row r="843">
      <c r="D843" s="2"/>
      <c r="E843" s="2"/>
      <c r="G843" s="3"/>
      <c r="H843" s="3"/>
    </row>
    <row r="844">
      <c r="D844" s="2"/>
      <c r="E844" s="2"/>
      <c r="G844" s="3"/>
      <c r="H844" s="3"/>
    </row>
    <row r="845">
      <c r="D845" s="2"/>
      <c r="E845" s="2"/>
      <c r="G845" s="3"/>
      <c r="H845" s="3"/>
    </row>
    <row r="846">
      <c r="D846" s="2"/>
      <c r="E846" s="2"/>
      <c r="G846" s="3"/>
      <c r="H846" s="3"/>
    </row>
    <row r="847">
      <c r="D847" s="2"/>
      <c r="E847" s="2"/>
      <c r="G847" s="3"/>
      <c r="H847" s="3"/>
    </row>
    <row r="848">
      <c r="D848" s="2"/>
      <c r="E848" s="2"/>
      <c r="G848" s="3"/>
      <c r="H848" s="3"/>
    </row>
    <row r="849">
      <c r="D849" s="2"/>
      <c r="E849" s="2"/>
      <c r="G849" s="3"/>
      <c r="H849" s="3"/>
    </row>
    <row r="850">
      <c r="D850" s="2"/>
      <c r="E850" s="2"/>
      <c r="G850" s="3"/>
      <c r="H850" s="3"/>
    </row>
    <row r="851">
      <c r="D851" s="2"/>
      <c r="E851" s="2"/>
      <c r="G851" s="3"/>
      <c r="H851" s="3"/>
    </row>
    <row r="852">
      <c r="D852" s="2"/>
      <c r="E852" s="2"/>
      <c r="G852" s="3"/>
      <c r="H852" s="3"/>
    </row>
    <row r="853">
      <c r="D853" s="2"/>
      <c r="E853" s="2"/>
      <c r="G853" s="3"/>
      <c r="H853" s="3"/>
    </row>
    <row r="854">
      <c r="D854" s="2"/>
      <c r="E854" s="2"/>
      <c r="G854" s="3"/>
      <c r="H854" s="3"/>
    </row>
    <row r="855">
      <c r="D855" s="2"/>
      <c r="E855" s="2"/>
      <c r="G855" s="3"/>
      <c r="H855" s="3"/>
    </row>
    <row r="856">
      <c r="D856" s="2"/>
      <c r="E856" s="2"/>
      <c r="G856" s="3"/>
      <c r="H856" s="3"/>
    </row>
    <row r="857">
      <c r="D857" s="2"/>
      <c r="E857" s="2"/>
      <c r="G857" s="3"/>
      <c r="H857" s="3"/>
    </row>
    <row r="858">
      <c r="D858" s="2"/>
      <c r="E858" s="2"/>
      <c r="G858" s="3"/>
      <c r="H858" s="3"/>
    </row>
    <row r="859">
      <c r="D859" s="2"/>
      <c r="E859" s="2"/>
      <c r="G859" s="3"/>
      <c r="H859" s="3"/>
    </row>
    <row r="860">
      <c r="D860" s="2"/>
      <c r="E860" s="2"/>
      <c r="G860" s="3"/>
      <c r="H860" s="3"/>
    </row>
    <row r="861">
      <c r="D861" s="2"/>
      <c r="E861" s="2"/>
      <c r="G861" s="3"/>
      <c r="H861" s="3"/>
    </row>
    <row r="862">
      <c r="D862" s="2"/>
      <c r="E862" s="2"/>
      <c r="G862" s="3"/>
      <c r="H862" s="3"/>
    </row>
    <row r="863">
      <c r="D863" s="2"/>
      <c r="E863" s="2"/>
      <c r="G863" s="3"/>
      <c r="H863" s="3"/>
    </row>
    <row r="864">
      <c r="D864" s="2"/>
      <c r="E864" s="2"/>
      <c r="G864" s="3"/>
      <c r="H864" s="3"/>
    </row>
    <row r="865">
      <c r="D865" s="2"/>
      <c r="E865" s="2"/>
      <c r="G865" s="3"/>
      <c r="H865" s="3"/>
    </row>
    <row r="866">
      <c r="D866" s="2"/>
      <c r="E866" s="2"/>
      <c r="G866" s="3"/>
      <c r="H866" s="3"/>
    </row>
    <row r="867">
      <c r="D867" s="2"/>
      <c r="E867" s="2"/>
      <c r="G867" s="3"/>
      <c r="H867" s="3"/>
    </row>
    <row r="868">
      <c r="D868" s="2"/>
      <c r="E868" s="2"/>
      <c r="G868" s="3"/>
      <c r="H868" s="3"/>
    </row>
    <row r="869">
      <c r="D869" s="2"/>
      <c r="E869" s="2"/>
      <c r="G869" s="3"/>
      <c r="H869" s="3"/>
    </row>
    <row r="870">
      <c r="D870" s="2"/>
      <c r="E870" s="2"/>
      <c r="G870" s="3"/>
      <c r="H870" s="3"/>
    </row>
    <row r="871">
      <c r="D871" s="2"/>
      <c r="E871" s="2"/>
      <c r="G871" s="3"/>
      <c r="H871" s="3"/>
    </row>
    <row r="872">
      <c r="D872" s="2"/>
      <c r="E872" s="2"/>
      <c r="G872" s="3"/>
      <c r="H872" s="3"/>
    </row>
    <row r="873">
      <c r="D873" s="2"/>
      <c r="E873" s="2"/>
      <c r="G873" s="3"/>
      <c r="H873" s="3"/>
    </row>
    <row r="874">
      <c r="D874" s="2"/>
      <c r="E874" s="2"/>
      <c r="G874" s="3"/>
      <c r="H874" s="3"/>
    </row>
    <row r="875">
      <c r="D875" s="2"/>
      <c r="E875" s="2"/>
      <c r="G875" s="3"/>
      <c r="H875" s="3"/>
    </row>
    <row r="876">
      <c r="D876" s="2"/>
      <c r="E876" s="2"/>
      <c r="G876" s="3"/>
      <c r="H876" s="3"/>
    </row>
    <row r="877">
      <c r="D877" s="2"/>
      <c r="E877" s="2"/>
      <c r="G877" s="3"/>
      <c r="H877" s="3"/>
    </row>
    <row r="878">
      <c r="D878" s="2"/>
      <c r="E878" s="2"/>
      <c r="G878" s="3"/>
      <c r="H878" s="3"/>
    </row>
    <row r="879">
      <c r="D879" s="2"/>
      <c r="E879" s="2"/>
      <c r="G879" s="3"/>
      <c r="H879" s="3"/>
    </row>
    <row r="880">
      <c r="D880" s="2"/>
      <c r="E880" s="2"/>
      <c r="G880" s="3"/>
      <c r="H880" s="3"/>
    </row>
    <row r="881">
      <c r="D881" s="2"/>
      <c r="E881" s="2"/>
      <c r="G881" s="3"/>
      <c r="H881" s="3"/>
    </row>
    <row r="882">
      <c r="D882" s="2"/>
      <c r="E882" s="2"/>
      <c r="G882" s="3"/>
      <c r="H882" s="3"/>
    </row>
    <row r="883">
      <c r="D883" s="2"/>
      <c r="E883" s="2"/>
      <c r="G883" s="3"/>
      <c r="H883" s="3"/>
    </row>
    <row r="884">
      <c r="D884" s="2"/>
      <c r="E884" s="2"/>
      <c r="G884" s="3"/>
      <c r="H884" s="3"/>
    </row>
    <row r="885">
      <c r="D885" s="2"/>
      <c r="E885" s="2"/>
      <c r="G885" s="3"/>
      <c r="H885" s="3"/>
    </row>
    <row r="886">
      <c r="D886" s="2"/>
      <c r="E886" s="2"/>
      <c r="G886" s="3"/>
      <c r="H886" s="3"/>
    </row>
    <row r="887">
      <c r="D887" s="2"/>
      <c r="E887" s="2"/>
      <c r="G887" s="3"/>
      <c r="H887" s="3"/>
    </row>
    <row r="888">
      <c r="D888" s="2"/>
      <c r="E888" s="2"/>
      <c r="G888" s="3"/>
      <c r="H888" s="3"/>
    </row>
    <row r="889">
      <c r="D889" s="2"/>
      <c r="E889" s="2"/>
      <c r="G889" s="3"/>
      <c r="H889" s="3"/>
    </row>
    <row r="890">
      <c r="D890" s="2"/>
      <c r="E890" s="2"/>
      <c r="G890" s="3"/>
      <c r="H890" s="3"/>
    </row>
    <row r="891">
      <c r="D891" s="2"/>
      <c r="E891" s="2"/>
      <c r="G891" s="3"/>
      <c r="H891" s="3"/>
    </row>
    <row r="892">
      <c r="D892" s="2"/>
      <c r="E892" s="2"/>
      <c r="G892" s="3"/>
      <c r="H892" s="3"/>
    </row>
    <row r="893">
      <c r="D893" s="2"/>
      <c r="E893" s="2"/>
      <c r="G893" s="3"/>
      <c r="H893" s="3"/>
    </row>
    <row r="894">
      <c r="D894" s="2"/>
      <c r="E894" s="2"/>
      <c r="G894" s="3"/>
      <c r="H894" s="3"/>
    </row>
    <row r="895">
      <c r="D895" s="2"/>
      <c r="E895" s="2"/>
      <c r="G895" s="3"/>
      <c r="H895" s="3"/>
    </row>
    <row r="896">
      <c r="D896" s="2"/>
      <c r="E896" s="2"/>
      <c r="G896" s="3"/>
      <c r="H896" s="3"/>
    </row>
    <row r="897">
      <c r="D897" s="2"/>
      <c r="E897" s="2"/>
      <c r="G897" s="3"/>
      <c r="H897" s="3"/>
    </row>
    <row r="898">
      <c r="D898" s="2"/>
      <c r="E898" s="2"/>
      <c r="G898" s="3"/>
      <c r="H898" s="3"/>
    </row>
    <row r="899">
      <c r="D899" s="2"/>
      <c r="E899" s="2"/>
      <c r="G899" s="3"/>
      <c r="H899" s="3"/>
    </row>
    <row r="900">
      <c r="D900" s="2"/>
      <c r="E900" s="2"/>
      <c r="G900" s="3"/>
      <c r="H900" s="3"/>
    </row>
    <row r="901">
      <c r="D901" s="2"/>
      <c r="E901" s="2"/>
      <c r="G901" s="3"/>
      <c r="H901" s="3"/>
    </row>
    <row r="902">
      <c r="D902" s="2"/>
      <c r="E902" s="2"/>
      <c r="G902" s="3"/>
      <c r="H902" s="3"/>
    </row>
    <row r="903">
      <c r="D903" s="2"/>
      <c r="E903" s="2"/>
      <c r="G903" s="3"/>
      <c r="H903" s="3"/>
    </row>
    <row r="904">
      <c r="D904" s="2"/>
      <c r="E904" s="2"/>
      <c r="G904" s="3"/>
      <c r="H904" s="3"/>
    </row>
    <row r="905">
      <c r="D905" s="2"/>
      <c r="E905" s="2"/>
      <c r="G905" s="3"/>
      <c r="H905" s="3"/>
    </row>
    <row r="906">
      <c r="D906" s="2"/>
      <c r="E906" s="2"/>
      <c r="G906" s="3"/>
      <c r="H906" s="3"/>
    </row>
    <row r="907">
      <c r="D907" s="2"/>
      <c r="E907" s="2"/>
      <c r="G907" s="3"/>
      <c r="H907" s="3"/>
    </row>
    <row r="908">
      <c r="D908" s="2"/>
      <c r="E908" s="2"/>
      <c r="G908" s="3"/>
      <c r="H908" s="3"/>
    </row>
    <row r="909">
      <c r="D909" s="2"/>
      <c r="E909" s="2"/>
      <c r="G909" s="3"/>
      <c r="H909" s="3"/>
    </row>
    <row r="910">
      <c r="D910" s="2"/>
      <c r="E910" s="2"/>
      <c r="G910" s="3"/>
      <c r="H910" s="3"/>
    </row>
    <row r="911">
      <c r="D911" s="2"/>
      <c r="E911" s="2"/>
      <c r="G911" s="3"/>
      <c r="H911" s="3"/>
    </row>
    <row r="912">
      <c r="D912" s="2"/>
      <c r="E912" s="2"/>
      <c r="G912" s="3"/>
      <c r="H912" s="3"/>
    </row>
    <row r="913">
      <c r="D913" s="2"/>
      <c r="E913" s="2"/>
      <c r="G913" s="3"/>
      <c r="H913" s="3"/>
    </row>
    <row r="914">
      <c r="D914" s="2"/>
      <c r="E914" s="2"/>
      <c r="G914" s="3"/>
      <c r="H914" s="3"/>
    </row>
    <row r="915">
      <c r="D915" s="2"/>
      <c r="E915" s="2"/>
      <c r="G915" s="3"/>
      <c r="H915" s="3"/>
    </row>
    <row r="916">
      <c r="D916" s="2"/>
      <c r="E916" s="2"/>
      <c r="G916" s="3"/>
      <c r="H916" s="3"/>
    </row>
    <row r="917">
      <c r="D917" s="2"/>
      <c r="E917" s="2"/>
      <c r="G917" s="3"/>
      <c r="H917" s="3"/>
    </row>
    <row r="918">
      <c r="D918" s="2"/>
      <c r="E918" s="2"/>
      <c r="G918" s="3"/>
      <c r="H918" s="3"/>
    </row>
    <row r="919">
      <c r="D919" s="2"/>
      <c r="E919" s="2"/>
      <c r="G919" s="3"/>
      <c r="H919" s="3"/>
    </row>
    <row r="920">
      <c r="D920" s="2"/>
      <c r="E920" s="2"/>
      <c r="G920" s="3"/>
      <c r="H920" s="3"/>
    </row>
    <row r="921">
      <c r="D921" s="2"/>
      <c r="E921" s="2"/>
      <c r="G921" s="3"/>
      <c r="H921" s="3"/>
    </row>
    <row r="922">
      <c r="D922" s="2"/>
      <c r="E922" s="2"/>
      <c r="G922" s="3"/>
      <c r="H922" s="3"/>
    </row>
    <row r="923">
      <c r="D923" s="2"/>
      <c r="E923" s="2"/>
      <c r="G923" s="3"/>
      <c r="H923" s="3"/>
    </row>
    <row r="924">
      <c r="D924" s="2"/>
      <c r="E924" s="2"/>
      <c r="G924" s="3"/>
      <c r="H924" s="3"/>
    </row>
    <row r="925">
      <c r="D925" s="2"/>
      <c r="E925" s="2"/>
      <c r="G925" s="3"/>
      <c r="H925" s="3"/>
    </row>
    <row r="926">
      <c r="D926" s="2"/>
      <c r="E926" s="2"/>
      <c r="G926" s="3"/>
      <c r="H926" s="3"/>
    </row>
    <row r="927">
      <c r="D927" s="2"/>
      <c r="E927" s="2"/>
      <c r="G927" s="3"/>
      <c r="H927" s="3"/>
    </row>
    <row r="928">
      <c r="D928" s="2"/>
      <c r="E928" s="2"/>
      <c r="G928" s="3"/>
      <c r="H928" s="3"/>
    </row>
    <row r="929">
      <c r="D929" s="2"/>
      <c r="E929" s="2"/>
      <c r="G929" s="3"/>
      <c r="H929" s="3"/>
    </row>
    <row r="930">
      <c r="D930" s="2"/>
      <c r="E930" s="2"/>
      <c r="G930" s="3"/>
      <c r="H930" s="3"/>
    </row>
    <row r="931">
      <c r="D931" s="2"/>
      <c r="E931" s="2"/>
      <c r="G931" s="3"/>
      <c r="H931" s="3"/>
    </row>
    <row r="932">
      <c r="D932" s="2"/>
      <c r="E932" s="2"/>
      <c r="G932" s="3"/>
      <c r="H932" s="3"/>
    </row>
    <row r="933">
      <c r="D933" s="2"/>
      <c r="E933" s="2"/>
      <c r="G933" s="3"/>
      <c r="H933" s="3"/>
    </row>
    <row r="934">
      <c r="D934" s="2"/>
      <c r="E934" s="2"/>
      <c r="G934" s="3"/>
      <c r="H934" s="3"/>
    </row>
    <row r="935">
      <c r="D935" s="2"/>
      <c r="E935" s="2"/>
      <c r="G935" s="3"/>
      <c r="H935" s="3"/>
    </row>
    <row r="936">
      <c r="D936" s="2"/>
      <c r="E936" s="2"/>
      <c r="G936" s="3"/>
      <c r="H936" s="3"/>
    </row>
    <row r="937">
      <c r="D937" s="2"/>
      <c r="E937" s="2"/>
      <c r="G937" s="3"/>
      <c r="H937" s="3"/>
    </row>
    <row r="938">
      <c r="D938" s="2"/>
      <c r="E938" s="2"/>
      <c r="G938" s="3"/>
      <c r="H938" s="3"/>
    </row>
    <row r="939">
      <c r="D939" s="2"/>
      <c r="E939" s="2"/>
      <c r="G939" s="3"/>
      <c r="H939" s="3"/>
    </row>
    <row r="940">
      <c r="D940" s="2"/>
      <c r="E940" s="2"/>
      <c r="G940" s="3"/>
      <c r="H940" s="3"/>
    </row>
    <row r="941">
      <c r="D941" s="2"/>
      <c r="E941" s="2"/>
      <c r="G941" s="3"/>
      <c r="H941" s="3"/>
    </row>
    <row r="942">
      <c r="D942" s="2"/>
      <c r="E942" s="2"/>
      <c r="G942" s="3"/>
      <c r="H942" s="3"/>
    </row>
    <row r="943">
      <c r="D943" s="2"/>
      <c r="E943" s="2"/>
      <c r="G943" s="3"/>
      <c r="H943" s="3"/>
    </row>
    <row r="944">
      <c r="D944" s="2"/>
      <c r="E944" s="2"/>
      <c r="G944" s="3"/>
      <c r="H944" s="3"/>
    </row>
    <row r="945">
      <c r="D945" s="2"/>
      <c r="E945" s="2"/>
      <c r="G945" s="3"/>
      <c r="H945" s="3"/>
    </row>
    <row r="946">
      <c r="D946" s="2"/>
      <c r="E946" s="2"/>
      <c r="G946" s="3"/>
      <c r="H946" s="3"/>
    </row>
    <row r="947">
      <c r="D947" s="2"/>
      <c r="E947" s="2"/>
      <c r="G947" s="3"/>
      <c r="H947" s="3"/>
    </row>
    <row r="948">
      <c r="D948" s="2"/>
      <c r="E948" s="2"/>
      <c r="G948" s="3"/>
      <c r="H948" s="3"/>
    </row>
    <row r="949">
      <c r="D949" s="2"/>
      <c r="E949" s="2"/>
      <c r="G949" s="3"/>
      <c r="H949" s="3"/>
    </row>
    <row r="950">
      <c r="D950" s="2"/>
      <c r="E950" s="2"/>
      <c r="G950" s="3"/>
      <c r="H950" s="3"/>
    </row>
    <row r="951">
      <c r="D951" s="2"/>
      <c r="E951" s="2"/>
      <c r="G951" s="3"/>
      <c r="H951" s="3"/>
    </row>
    <row r="952">
      <c r="D952" s="2"/>
      <c r="E952" s="2"/>
      <c r="G952" s="3"/>
      <c r="H952" s="3"/>
    </row>
    <row r="953">
      <c r="D953" s="2"/>
      <c r="E953" s="2"/>
      <c r="G953" s="3"/>
      <c r="H953" s="3"/>
    </row>
    <row r="954">
      <c r="D954" s="2"/>
      <c r="E954" s="2"/>
      <c r="G954" s="3"/>
      <c r="H954" s="3"/>
    </row>
    <row r="955">
      <c r="D955" s="2"/>
      <c r="E955" s="2"/>
      <c r="G955" s="3"/>
      <c r="H955" s="3"/>
    </row>
    <row r="956">
      <c r="D956" s="2"/>
      <c r="E956" s="2"/>
      <c r="G956" s="3"/>
      <c r="H956" s="3"/>
    </row>
    <row r="957">
      <c r="D957" s="2"/>
      <c r="E957" s="2"/>
      <c r="G957" s="3"/>
      <c r="H957" s="3"/>
    </row>
    <row r="958">
      <c r="D958" s="2"/>
      <c r="E958" s="2"/>
      <c r="G958" s="3"/>
      <c r="H958" s="3"/>
    </row>
    <row r="959">
      <c r="D959" s="2"/>
      <c r="E959" s="2"/>
      <c r="G959" s="3"/>
      <c r="H959" s="3"/>
    </row>
    <row r="960">
      <c r="D960" s="2"/>
      <c r="E960" s="2"/>
      <c r="G960" s="3"/>
      <c r="H960" s="3"/>
    </row>
    <row r="961">
      <c r="D961" s="2"/>
      <c r="E961" s="2"/>
      <c r="G961" s="3"/>
      <c r="H961" s="3"/>
    </row>
    <row r="962">
      <c r="D962" s="2"/>
      <c r="E962" s="2"/>
      <c r="G962" s="3"/>
      <c r="H962" s="3"/>
    </row>
    <row r="963">
      <c r="D963" s="2"/>
      <c r="E963" s="2"/>
      <c r="G963" s="3"/>
      <c r="H963" s="3"/>
    </row>
    <row r="964">
      <c r="D964" s="2"/>
      <c r="E964" s="2"/>
      <c r="G964" s="3"/>
      <c r="H964" s="3"/>
    </row>
    <row r="965">
      <c r="D965" s="2"/>
      <c r="E965" s="2"/>
      <c r="G965" s="3"/>
      <c r="H965" s="3"/>
    </row>
    <row r="966">
      <c r="D966" s="2"/>
      <c r="E966" s="2"/>
      <c r="G966" s="3"/>
      <c r="H966" s="3"/>
    </row>
    <row r="967">
      <c r="D967" s="2"/>
      <c r="E967" s="2"/>
      <c r="G967" s="3"/>
      <c r="H967" s="3"/>
    </row>
    <row r="968">
      <c r="D968" s="2"/>
      <c r="E968" s="2"/>
      <c r="G968" s="3"/>
      <c r="H968" s="3"/>
    </row>
    <row r="969">
      <c r="D969" s="2"/>
      <c r="E969" s="2"/>
      <c r="G969" s="3"/>
      <c r="H969" s="3"/>
    </row>
    <row r="970">
      <c r="D970" s="2"/>
      <c r="E970" s="2"/>
      <c r="G970" s="3"/>
      <c r="H970" s="3"/>
    </row>
    <row r="971">
      <c r="D971" s="2"/>
      <c r="E971" s="2"/>
      <c r="G971" s="3"/>
      <c r="H971" s="3"/>
    </row>
    <row r="972">
      <c r="D972" s="2"/>
      <c r="E972" s="2"/>
      <c r="G972" s="3"/>
      <c r="H972" s="3"/>
    </row>
    <row r="973">
      <c r="D973" s="2"/>
      <c r="E973" s="2"/>
      <c r="G973" s="3"/>
      <c r="H973" s="3"/>
    </row>
    <row r="974">
      <c r="D974" s="2"/>
      <c r="E974" s="2"/>
      <c r="G974" s="3"/>
      <c r="H974" s="3"/>
    </row>
    <row r="975">
      <c r="D975" s="2"/>
      <c r="E975" s="2"/>
      <c r="G975" s="3"/>
      <c r="H975" s="3"/>
    </row>
    <row r="976">
      <c r="D976" s="2"/>
      <c r="E976" s="2"/>
      <c r="G976" s="3"/>
      <c r="H976" s="3"/>
    </row>
    <row r="977">
      <c r="D977" s="2"/>
      <c r="E977" s="2"/>
      <c r="G977" s="3"/>
      <c r="H977" s="3"/>
    </row>
    <row r="978">
      <c r="D978" s="2"/>
      <c r="E978" s="2"/>
      <c r="G978" s="3"/>
      <c r="H978" s="3"/>
    </row>
    <row r="979">
      <c r="D979" s="2"/>
      <c r="E979" s="2"/>
      <c r="G979" s="3"/>
      <c r="H979" s="3"/>
    </row>
    <row r="980">
      <c r="D980" s="2"/>
      <c r="E980" s="2"/>
      <c r="G980" s="3"/>
      <c r="H980" s="3"/>
    </row>
    <row r="981">
      <c r="D981" s="2"/>
      <c r="E981" s="2"/>
      <c r="G981" s="3"/>
      <c r="H981" s="3"/>
    </row>
    <row r="982">
      <c r="D982" s="2"/>
      <c r="E982" s="2"/>
      <c r="G982" s="3"/>
      <c r="H982" s="3"/>
    </row>
    <row r="983">
      <c r="D983" s="2"/>
      <c r="E983" s="2"/>
      <c r="G983" s="3"/>
      <c r="H983" s="3"/>
    </row>
    <row r="984">
      <c r="D984" s="2"/>
      <c r="E984" s="2"/>
      <c r="G984" s="3"/>
      <c r="H984" s="3"/>
    </row>
    <row r="985">
      <c r="D985" s="2"/>
      <c r="E985" s="2"/>
      <c r="G985" s="3"/>
      <c r="H985" s="3"/>
    </row>
    <row r="986">
      <c r="D986" s="2"/>
      <c r="E986" s="2"/>
      <c r="G986" s="3"/>
      <c r="H986" s="3"/>
    </row>
    <row r="987">
      <c r="D987" s="2"/>
      <c r="E987" s="2"/>
      <c r="G987" s="3"/>
      <c r="H987" s="3"/>
    </row>
    <row r="988">
      <c r="D988" s="2"/>
      <c r="E988" s="2"/>
      <c r="G988" s="3"/>
      <c r="H988" s="3"/>
    </row>
    <row r="989">
      <c r="D989" s="2"/>
      <c r="E989" s="2"/>
      <c r="G989" s="3"/>
      <c r="H989" s="3"/>
    </row>
    <row r="990">
      <c r="D990" s="2"/>
      <c r="E990" s="2"/>
      <c r="G990" s="3"/>
      <c r="H990" s="3"/>
    </row>
    <row r="991">
      <c r="D991" s="2"/>
      <c r="E991" s="2"/>
      <c r="G991" s="3"/>
      <c r="H991" s="3"/>
    </row>
    <row r="992">
      <c r="D992" s="2"/>
      <c r="E992" s="2"/>
      <c r="G992" s="3"/>
      <c r="H992" s="3"/>
    </row>
    <row r="993">
      <c r="D993" s="2"/>
      <c r="E993" s="2"/>
      <c r="G993" s="3"/>
      <c r="H993" s="3"/>
    </row>
    <row r="994">
      <c r="D994" s="2"/>
      <c r="E994" s="2"/>
      <c r="G994" s="3"/>
      <c r="H994" s="3"/>
    </row>
    <row r="995">
      <c r="D995" s="2"/>
      <c r="E995" s="2"/>
      <c r="G995" s="3"/>
      <c r="H995" s="3"/>
    </row>
    <row r="996">
      <c r="D996" s="2"/>
      <c r="E996" s="2"/>
      <c r="G996" s="3"/>
      <c r="H996" s="3"/>
    </row>
    <row r="997">
      <c r="D997" s="2"/>
      <c r="E997" s="2"/>
      <c r="G997" s="3"/>
      <c r="H997" s="3"/>
    </row>
    <row r="998">
      <c r="D998" s="2"/>
      <c r="E998" s="2"/>
      <c r="G998" s="3"/>
      <c r="H998" s="3"/>
    </row>
    <row r="999">
      <c r="D999" s="2"/>
      <c r="E999" s="2"/>
      <c r="G999" s="3"/>
      <c r="H999" s="3"/>
    </row>
    <row r="1000">
      <c r="D1000" s="2"/>
      <c r="E1000" s="2"/>
      <c r="G1000" s="3"/>
      <c r="H1000" s="3"/>
    </row>
  </sheetData>
  <dataValidations>
    <dataValidation type="list" allowBlank="1" sqref="H2:H1000">
      <formula1>Settings!$C$2:$C1000</formula1>
    </dataValidation>
    <dataValidation type="list" allowBlank="1" sqref="G2:G1000">
      <formula1>Settings!$E$2:$E1000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13"/>
    <col customWidth="1" min="2" max="2" width="16.38"/>
    <col customWidth="1" min="3" max="3" width="16.5"/>
    <col customWidth="1" min="4" max="4" width="22.38"/>
    <col customWidth="1" min="5" max="5" width="28.5"/>
    <col customWidth="1" min="6" max="6" width="22.25"/>
    <col customWidth="1" min="7" max="7" width="19.0"/>
    <col customWidth="1" min="8" max="8" width="27.5"/>
    <col customWidth="1" min="9" max="9" width="16.38"/>
  </cols>
  <sheetData>
    <row r="1">
      <c r="A1" s="1" t="s">
        <v>164</v>
      </c>
      <c r="B1" s="1" t="s">
        <v>165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</v>
      </c>
      <c r="H1" s="1" t="s">
        <v>170</v>
      </c>
      <c r="I1" s="1" t="s">
        <v>19</v>
      </c>
    </row>
    <row r="2">
      <c r="A2" s="22">
        <v>1.0</v>
      </c>
      <c r="B2" s="22" t="s">
        <v>171</v>
      </c>
      <c r="C2" s="22" t="s">
        <v>172</v>
      </c>
      <c r="E2" s="30">
        <v>250000.0</v>
      </c>
      <c r="F2" s="30">
        <v>100000.0</v>
      </c>
      <c r="G2" s="22" t="s">
        <v>173</v>
      </c>
    </row>
    <row r="3">
      <c r="E3" s="2"/>
      <c r="F3" s="2"/>
      <c r="G3" s="3"/>
    </row>
    <row r="4">
      <c r="E4" s="2"/>
      <c r="F4" s="2"/>
      <c r="G4" s="3"/>
    </row>
    <row r="5">
      <c r="E5" s="2"/>
      <c r="F5" s="2"/>
      <c r="G5" s="3"/>
    </row>
    <row r="6">
      <c r="E6" s="2"/>
      <c r="F6" s="2"/>
      <c r="G6" s="3"/>
    </row>
    <row r="7">
      <c r="E7" s="2"/>
      <c r="F7" s="2"/>
      <c r="G7" s="3"/>
    </row>
    <row r="8">
      <c r="E8" s="2"/>
      <c r="F8" s="2"/>
      <c r="G8" s="3"/>
    </row>
    <row r="9">
      <c r="E9" s="2"/>
      <c r="F9" s="2"/>
      <c r="G9" s="3"/>
    </row>
    <row r="10">
      <c r="E10" s="2"/>
      <c r="F10" s="2"/>
      <c r="G10" s="3"/>
    </row>
    <row r="11">
      <c r="E11" s="2"/>
      <c r="F11" s="2"/>
      <c r="G11" s="3"/>
    </row>
    <row r="12">
      <c r="E12" s="2"/>
      <c r="F12" s="2"/>
      <c r="G12" s="3"/>
    </row>
    <row r="13">
      <c r="E13" s="2"/>
      <c r="F13" s="2"/>
      <c r="G13" s="3"/>
    </row>
    <row r="14">
      <c r="E14" s="2"/>
      <c r="F14" s="2"/>
      <c r="G14" s="3"/>
    </row>
    <row r="15">
      <c r="E15" s="2"/>
      <c r="F15" s="2"/>
      <c r="G15" s="3"/>
    </row>
    <row r="16">
      <c r="E16" s="2"/>
      <c r="F16" s="2"/>
      <c r="G16" s="3"/>
    </row>
    <row r="17">
      <c r="E17" s="2"/>
      <c r="F17" s="2"/>
      <c r="G17" s="3"/>
    </row>
    <row r="18">
      <c r="E18" s="2"/>
      <c r="F18" s="2"/>
      <c r="G18" s="3"/>
    </row>
    <row r="19">
      <c r="E19" s="2"/>
      <c r="F19" s="2"/>
      <c r="G19" s="3"/>
    </row>
    <row r="20">
      <c r="E20" s="2"/>
      <c r="F20" s="2"/>
      <c r="G20" s="3"/>
    </row>
    <row r="21">
      <c r="E21" s="2"/>
      <c r="F21" s="2"/>
      <c r="G21" s="3"/>
    </row>
    <row r="22">
      <c r="E22" s="2"/>
      <c r="F22" s="2"/>
      <c r="G22" s="3"/>
    </row>
    <row r="23">
      <c r="E23" s="2"/>
      <c r="F23" s="2"/>
      <c r="G23" s="3"/>
    </row>
    <row r="24">
      <c r="E24" s="2"/>
      <c r="F24" s="2"/>
      <c r="G24" s="3"/>
    </row>
    <row r="25">
      <c r="E25" s="2"/>
      <c r="F25" s="2"/>
      <c r="G25" s="3"/>
    </row>
    <row r="26">
      <c r="E26" s="2"/>
      <c r="F26" s="2"/>
      <c r="G26" s="3"/>
    </row>
    <row r="27">
      <c r="E27" s="2"/>
      <c r="F27" s="2"/>
      <c r="G27" s="3"/>
    </row>
    <row r="28">
      <c r="E28" s="2"/>
      <c r="F28" s="2"/>
      <c r="G28" s="3"/>
    </row>
    <row r="29">
      <c r="E29" s="2"/>
      <c r="F29" s="2"/>
      <c r="G29" s="3"/>
    </row>
    <row r="30">
      <c r="E30" s="2"/>
      <c r="F30" s="2"/>
      <c r="G30" s="3"/>
    </row>
    <row r="31">
      <c r="E31" s="2"/>
      <c r="F31" s="2"/>
      <c r="G31" s="3"/>
    </row>
    <row r="32">
      <c r="E32" s="2"/>
      <c r="F32" s="2"/>
      <c r="G32" s="3"/>
    </row>
    <row r="33">
      <c r="E33" s="2"/>
      <c r="F33" s="2"/>
      <c r="G33" s="3"/>
    </row>
    <row r="34">
      <c r="E34" s="2"/>
      <c r="F34" s="2"/>
      <c r="G34" s="3"/>
    </row>
    <row r="35">
      <c r="E35" s="2"/>
      <c r="F35" s="2"/>
      <c r="G35" s="3"/>
    </row>
    <row r="36">
      <c r="E36" s="2"/>
      <c r="F36" s="2"/>
      <c r="G36" s="3"/>
    </row>
    <row r="37">
      <c r="E37" s="2"/>
      <c r="F37" s="2"/>
      <c r="G37" s="3"/>
    </row>
    <row r="38">
      <c r="E38" s="2"/>
      <c r="F38" s="2"/>
      <c r="G38" s="3"/>
    </row>
    <row r="39">
      <c r="E39" s="2"/>
      <c r="F39" s="2"/>
      <c r="G39" s="3"/>
    </row>
    <row r="40">
      <c r="E40" s="2"/>
      <c r="F40" s="2"/>
      <c r="G40" s="3"/>
    </row>
    <row r="41">
      <c r="E41" s="2"/>
      <c r="F41" s="2"/>
      <c r="G41" s="3"/>
    </row>
    <row r="42">
      <c r="E42" s="2"/>
      <c r="F42" s="2"/>
      <c r="G42" s="3"/>
    </row>
    <row r="43">
      <c r="E43" s="2"/>
      <c r="F43" s="2"/>
      <c r="G43" s="3"/>
    </row>
    <row r="44">
      <c r="E44" s="2"/>
      <c r="F44" s="2"/>
      <c r="G44" s="3"/>
    </row>
    <row r="45">
      <c r="E45" s="2"/>
      <c r="F45" s="2"/>
      <c r="G45" s="3"/>
    </row>
    <row r="46">
      <c r="E46" s="2"/>
      <c r="F46" s="2"/>
      <c r="G46" s="3"/>
    </row>
    <row r="47">
      <c r="E47" s="2"/>
      <c r="F47" s="2"/>
      <c r="G47" s="3"/>
    </row>
    <row r="48">
      <c r="E48" s="2"/>
      <c r="F48" s="2"/>
      <c r="G48" s="3"/>
    </row>
    <row r="49">
      <c r="E49" s="2"/>
      <c r="F49" s="2"/>
      <c r="G49" s="3"/>
    </row>
    <row r="50">
      <c r="E50" s="2"/>
      <c r="F50" s="2"/>
      <c r="G50" s="3"/>
    </row>
    <row r="51">
      <c r="E51" s="2"/>
      <c r="F51" s="2"/>
      <c r="G51" s="3"/>
    </row>
    <row r="52">
      <c r="E52" s="2"/>
      <c r="F52" s="2"/>
      <c r="G52" s="3"/>
    </row>
    <row r="53">
      <c r="E53" s="2"/>
      <c r="F53" s="2"/>
      <c r="G53" s="3"/>
    </row>
    <row r="54">
      <c r="E54" s="2"/>
      <c r="F54" s="2"/>
      <c r="G54" s="3"/>
    </row>
    <row r="55">
      <c r="E55" s="2"/>
      <c r="F55" s="2"/>
      <c r="G55" s="3"/>
    </row>
    <row r="56">
      <c r="E56" s="2"/>
      <c r="F56" s="2"/>
      <c r="G56" s="3"/>
    </row>
    <row r="57">
      <c r="E57" s="2"/>
      <c r="F57" s="2"/>
      <c r="G57" s="3"/>
    </row>
    <row r="58">
      <c r="E58" s="2"/>
      <c r="F58" s="2"/>
      <c r="G58" s="3"/>
    </row>
    <row r="59">
      <c r="E59" s="2"/>
      <c r="F59" s="2"/>
      <c r="G59" s="3"/>
    </row>
    <row r="60">
      <c r="E60" s="2"/>
      <c r="F60" s="2"/>
      <c r="G60" s="3"/>
    </row>
    <row r="61">
      <c r="E61" s="2"/>
      <c r="F61" s="2"/>
      <c r="G61" s="3"/>
    </row>
    <row r="62">
      <c r="E62" s="2"/>
      <c r="F62" s="2"/>
      <c r="G62" s="3"/>
    </row>
    <row r="63">
      <c r="E63" s="2"/>
      <c r="F63" s="2"/>
      <c r="G63" s="3"/>
    </row>
    <row r="64">
      <c r="E64" s="2"/>
      <c r="F64" s="2"/>
      <c r="G64" s="3"/>
    </row>
    <row r="65">
      <c r="E65" s="2"/>
      <c r="F65" s="2"/>
      <c r="G65" s="3"/>
    </row>
    <row r="66">
      <c r="E66" s="2"/>
      <c r="F66" s="2"/>
      <c r="G66" s="3"/>
    </row>
    <row r="67">
      <c r="E67" s="2"/>
      <c r="F67" s="2"/>
      <c r="G67" s="3"/>
    </row>
    <row r="68">
      <c r="E68" s="2"/>
      <c r="F68" s="2"/>
      <c r="G68" s="3"/>
    </row>
    <row r="69">
      <c r="E69" s="2"/>
      <c r="F69" s="2"/>
      <c r="G69" s="3"/>
    </row>
    <row r="70">
      <c r="E70" s="2"/>
      <c r="F70" s="2"/>
      <c r="G70" s="3"/>
    </row>
    <row r="71">
      <c r="E71" s="2"/>
      <c r="F71" s="2"/>
      <c r="G71" s="3"/>
    </row>
    <row r="72">
      <c r="E72" s="2"/>
      <c r="F72" s="2"/>
      <c r="G72" s="3"/>
    </row>
    <row r="73">
      <c r="E73" s="2"/>
      <c r="F73" s="2"/>
      <c r="G73" s="3"/>
    </row>
    <row r="74">
      <c r="E74" s="2"/>
      <c r="F74" s="2"/>
      <c r="G74" s="3"/>
    </row>
    <row r="75">
      <c r="E75" s="2"/>
      <c r="F75" s="2"/>
      <c r="G75" s="3"/>
    </row>
    <row r="76">
      <c r="E76" s="2"/>
      <c r="F76" s="2"/>
      <c r="G76" s="3"/>
    </row>
    <row r="77">
      <c r="E77" s="2"/>
      <c r="F77" s="2"/>
      <c r="G77" s="3"/>
    </row>
    <row r="78">
      <c r="E78" s="2"/>
      <c r="F78" s="2"/>
      <c r="G78" s="3"/>
    </row>
    <row r="79">
      <c r="E79" s="2"/>
      <c r="F79" s="2"/>
      <c r="G79" s="3"/>
    </row>
    <row r="80">
      <c r="E80" s="2"/>
      <c r="F80" s="2"/>
      <c r="G80" s="3"/>
    </row>
    <row r="81">
      <c r="E81" s="2"/>
      <c r="F81" s="2"/>
      <c r="G81" s="3"/>
    </row>
    <row r="82">
      <c r="E82" s="2"/>
      <c r="F82" s="2"/>
      <c r="G82" s="3"/>
    </row>
    <row r="83">
      <c r="E83" s="2"/>
      <c r="F83" s="2"/>
      <c r="G83" s="3"/>
    </row>
    <row r="84">
      <c r="E84" s="2"/>
      <c r="F84" s="2"/>
      <c r="G84" s="3"/>
    </row>
    <row r="85">
      <c r="E85" s="2"/>
      <c r="F85" s="2"/>
      <c r="G85" s="3"/>
    </row>
    <row r="86">
      <c r="E86" s="2"/>
      <c r="F86" s="2"/>
      <c r="G86" s="3"/>
    </row>
    <row r="87">
      <c r="E87" s="2"/>
      <c r="F87" s="2"/>
      <c r="G87" s="3"/>
    </row>
    <row r="88">
      <c r="E88" s="2"/>
      <c r="F88" s="2"/>
      <c r="G88" s="3"/>
    </row>
    <row r="89">
      <c r="E89" s="2"/>
      <c r="F89" s="2"/>
      <c r="G89" s="3"/>
    </row>
    <row r="90">
      <c r="E90" s="2"/>
      <c r="F90" s="2"/>
      <c r="G90" s="3"/>
    </row>
    <row r="91">
      <c r="E91" s="2"/>
      <c r="F91" s="2"/>
      <c r="G91" s="3"/>
    </row>
    <row r="92">
      <c r="E92" s="2"/>
      <c r="F92" s="2"/>
      <c r="G92" s="3"/>
    </row>
    <row r="93">
      <c r="E93" s="2"/>
      <c r="F93" s="2"/>
      <c r="G93" s="3"/>
    </row>
    <row r="94">
      <c r="E94" s="2"/>
      <c r="F94" s="2"/>
      <c r="G94" s="3"/>
    </row>
    <row r="95">
      <c r="E95" s="2"/>
      <c r="F95" s="2"/>
      <c r="G95" s="3"/>
    </row>
    <row r="96">
      <c r="E96" s="2"/>
      <c r="F96" s="2"/>
      <c r="G96" s="3"/>
    </row>
    <row r="97">
      <c r="E97" s="2"/>
      <c r="F97" s="2"/>
      <c r="G97" s="3"/>
    </row>
    <row r="98">
      <c r="E98" s="2"/>
      <c r="F98" s="2"/>
      <c r="G98" s="3"/>
    </row>
    <row r="99">
      <c r="E99" s="2"/>
      <c r="F99" s="2"/>
      <c r="G99" s="3"/>
    </row>
    <row r="100">
      <c r="E100" s="2"/>
      <c r="F100" s="2"/>
      <c r="G100" s="3"/>
    </row>
    <row r="101">
      <c r="E101" s="2"/>
      <c r="F101" s="2"/>
      <c r="G101" s="3"/>
    </row>
    <row r="102">
      <c r="E102" s="2"/>
      <c r="F102" s="2"/>
      <c r="G102" s="3"/>
    </row>
    <row r="103">
      <c r="E103" s="2"/>
      <c r="F103" s="2"/>
      <c r="G103" s="3"/>
    </row>
    <row r="104">
      <c r="E104" s="2"/>
      <c r="F104" s="2"/>
      <c r="G104" s="3"/>
    </row>
    <row r="105">
      <c r="E105" s="2"/>
      <c r="F105" s="2"/>
      <c r="G105" s="3"/>
    </row>
    <row r="106">
      <c r="E106" s="2"/>
      <c r="F106" s="2"/>
      <c r="G106" s="3"/>
    </row>
    <row r="107">
      <c r="E107" s="2"/>
      <c r="F107" s="2"/>
      <c r="G107" s="3"/>
    </row>
    <row r="108">
      <c r="E108" s="2"/>
      <c r="F108" s="2"/>
      <c r="G108" s="3"/>
    </row>
    <row r="109">
      <c r="E109" s="2"/>
      <c r="F109" s="2"/>
      <c r="G109" s="3"/>
    </row>
    <row r="110">
      <c r="E110" s="2"/>
      <c r="F110" s="2"/>
      <c r="G110" s="3"/>
    </row>
    <row r="111">
      <c r="E111" s="2"/>
      <c r="F111" s="2"/>
      <c r="G111" s="3"/>
    </row>
    <row r="112">
      <c r="E112" s="2"/>
      <c r="F112" s="2"/>
      <c r="G112" s="3"/>
    </row>
    <row r="113">
      <c r="E113" s="2"/>
      <c r="F113" s="2"/>
      <c r="G113" s="3"/>
    </row>
    <row r="114">
      <c r="E114" s="2"/>
      <c r="F114" s="2"/>
      <c r="G114" s="3"/>
    </row>
    <row r="115">
      <c r="E115" s="2"/>
      <c r="F115" s="2"/>
      <c r="G115" s="3"/>
    </row>
    <row r="116">
      <c r="E116" s="2"/>
      <c r="F116" s="2"/>
      <c r="G116" s="3"/>
    </row>
    <row r="117">
      <c r="E117" s="2"/>
      <c r="F117" s="2"/>
      <c r="G117" s="3"/>
    </row>
    <row r="118">
      <c r="E118" s="2"/>
      <c r="F118" s="2"/>
      <c r="G118" s="3"/>
    </row>
    <row r="119">
      <c r="E119" s="2"/>
      <c r="F119" s="2"/>
      <c r="G119" s="3"/>
    </row>
    <row r="120">
      <c r="E120" s="2"/>
      <c r="F120" s="2"/>
      <c r="G120" s="3"/>
    </row>
    <row r="121">
      <c r="E121" s="2"/>
      <c r="F121" s="2"/>
      <c r="G121" s="3"/>
    </row>
    <row r="122">
      <c r="E122" s="2"/>
      <c r="F122" s="2"/>
      <c r="G122" s="3"/>
    </row>
    <row r="123">
      <c r="E123" s="2"/>
      <c r="F123" s="2"/>
      <c r="G123" s="3"/>
    </row>
    <row r="124">
      <c r="E124" s="2"/>
      <c r="F124" s="2"/>
      <c r="G124" s="3"/>
    </row>
    <row r="125">
      <c r="E125" s="2"/>
      <c r="F125" s="2"/>
      <c r="G125" s="3"/>
    </row>
    <row r="126">
      <c r="E126" s="2"/>
      <c r="F126" s="2"/>
      <c r="G126" s="3"/>
    </row>
    <row r="127">
      <c r="E127" s="2"/>
      <c r="F127" s="2"/>
      <c r="G127" s="3"/>
    </row>
    <row r="128">
      <c r="E128" s="2"/>
      <c r="F128" s="2"/>
      <c r="G128" s="3"/>
    </row>
    <row r="129">
      <c r="E129" s="2"/>
      <c r="F129" s="2"/>
      <c r="G129" s="3"/>
    </row>
    <row r="130">
      <c r="E130" s="2"/>
      <c r="F130" s="2"/>
      <c r="G130" s="3"/>
    </row>
    <row r="131">
      <c r="E131" s="2"/>
      <c r="F131" s="2"/>
      <c r="G131" s="3"/>
    </row>
    <row r="132">
      <c r="E132" s="2"/>
      <c r="F132" s="2"/>
      <c r="G132" s="3"/>
    </row>
    <row r="133">
      <c r="E133" s="2"/>
      <c r="F133" s="2"/>
      <c r="G133" s="3"/>
    </row>
    <row r="134">
      <c r="E134" s="2"/>
      <c r="F134" s="2"/>
      <c r="G134" s="3"/>
    </row>
    <row r="135">
      <c r="E135" s="2"/>
      <c r="F135" s="2"/>
      <c r="G135" s="3"/>
    </row>
    <row r="136">
      <c r="E136" s="2"/>
      <c r="F136" s="2"/>
      <c r="G136" s="3"/>
    </row>
    <row r="137">
      <c r="E137" s="2"/>
      <c r="F137" s="2"/>
      <c r="G137" s="3"/>
    </row>
    <row r="138">
      <c r="E138" s="2"/>
      <c r="F138" s="2"/>
      <c r="G138" s="3"/>
    </row>
    <row r="139">
      <c r="E139" s="2"/>
      <c r="F139" s="2"/>
      <c r="G139" s="3"/>
    </row>
    <row r="140">
      <c r="E140" s="2"/>
      <c r="F140" s="2"/>
      <c r="G140" s="3"/>
    </row>
    <row r="141">
      <c r="E141" s="2"/>
      <c r="F141" s="2"/>
      <c r="G141" s="3"/>
    </row>
    <row r="142">
      <c r="E142" s="2"/>
      <c r="F142" s="2"/>
      <c r="G142" s="3"/>
    </row>
    <row r="143">
      <c r="E143" s="2"/>
      <c r="F143" s="2"/>
      <c r="G143" s="3"/>
    </row>
    <row r="144">
      <c r="E144" s="2"/>
      <c r="F144" s="2"/>
      <c r="G144" s="3"/>
    </row>
    <row r="145">
      <c r="E145" s="2"/>
      <c r="F145" s="2"/>
      <c r="G145" s="3"/>
    </row>
    <row r="146">
      <c r="E146" s="2"/>
      <c r="F146" s="2"/>
      <c r="G146" s="3"/>
    </row>
    <row r="147">
      <c r="E147" s="2"/>
      <c r="F147" s="2"/>
      <c r="G147" s="3"/>
    </row>
    <row r="148">
      <c r="E148" s="2"/>
      <c r="F148" s="2"/>
      <c r="G148" s="3"/>
    </row>
    <row r="149">
      <c r="E149" s="2"/>
      <c r="F149" s="2"/>
      <c r="G149" s="3"/>
    </row>
    <row r="150">
      <c r="E150" s="2"/>
      <c r="F150" s="2"/>
      <c r="G150" s="3"/>
    </row>
    <row r="151">
      <c r="E151" s="2"/>
      <c r="F151" s="2"/>
      <c r="G151" s="3"/>
    </row>
    <row r="152">
      <c r="E152" s="2"/>
      <c r="F152" s="2"/>
      <c r="G152" s="3"/>
    </row>
    <row r="153">
      <c r="E153" s="2"/>
      <c r="F153" s="2"/>
      <c r="G153" s="3"/>
    </row>
    <row r="154">
      <c r="E154" s="2"/>
      <c r="F154" s="2"/>
      <c r="G154" s="3"/>
    </row>
    <row r="155">
      <c r="E155" s="2"/>
      <c r="F155" s="2"/>
      <c r="G155" s="3"/>
    </row>
    <row r="156">
      <c r="E156" s="2"/>
      <c r="F156" s="2"/>
      <c r="G156" s="3"/>
    </row>
    <row r="157">
      <c r="E157" s="2"/>
      <c r="F157" s="2"/>
      <c r="G157" s="3"/>
    </row>
    <row r="158">
      <c r="E158" s="2"/>
      <c r="F158" s="2"/>
      <c r="G158" s="3"/>
    </row>
    <row r="159">
      <c r="E159" s="2"/>
      <c r="F159" s="2"/>
      <c r="G159" s="3"/>
    </row>
    <row r="160">
      <c r="E160" s="2"/>
      <c r="F160" s="2"/>
      <c r="G160" s="3"/>
    </row>
    <row r="161">
      <c r="E161" s="2"/>
      <c r="F161" s="2"/>
      <c r="G161" s="3"/>
    </row>
    <row r="162">
      <c r="E162" s="2"/>
      <c r="F162" s="2"/>
      <c r="G162" s="3"/>
    </row>
    <row r="163">
      <c r="E163" s="2"/>
      <c r="F163" s="2"/>
      <c r="G163" s="3"/>
    </row>
    <row r="164">
      <c r="E164" s="2"/>
      <c r="F164" s="2"/>
      <c r="G164" s="3"/>
    </row>
    <row r="165">
      <c r="E165" s="2"/>
      <c r="F165" s="2"/>
      <c r="G165" s="3"/>
    </row>
    <row r="166">
      <c r="E166" s="2"/>
      <c r="F166" s="2"/>
      <c r="G166" s="3"/>
    </row>
    <row r="167">
      <c r="E167" s="2"/>
      <c r="F167" s="2"/>
      <c r="G167" s="3"/>
    </row>
    <row r="168">
      <c r="E168" s="2"/>
      <c r="F168" s="2"/>
      <c r="G168" s="3"/>
    </row>
    <row r="169">
      <c r="E169" s="2"/>
      <c r="F169" s="2"/>
      <c r="G169" s="3"/>
    </row>
    <row r="170">
      <c r="E170" s="2"/>
      <c r="F170" s="2"/>
      <c r="G170" s="3"/>
    </row>
    <row r="171">
      <c r="E171" s="2"/>
      <c r="F171" s="2"/>
      <c r="G171" s="3"/>
    </row>
    <row r="172">
      <c r="E172" s="2"/>
      <c r="F172" s="2"/>
      <c r="G172" s="3"/>
    </row>
    <row r="173">
      <c r="E173" s="2"/>
      <c r="F173" s="2"/>
      <c r="G173" s="3"/>
    </row>
    <row r="174">
      <c r="E174" s="2"/>
      <c r="F174" s="2"/>
      <c r="G174" s="3"/>
    </row>
    <row r="175">
      <c r="E175" s="2"/>
      <c r="F175" s="2"/>
      <c r="G175" s="3"/>
    </row>
    <row r="176">
      <c r="E176" s="2"/>
      <c r="F176" s="2"/>
      <c r="G176" s="3"/>
    </row>
    <row r="177">
      <c r="E177" s="2"/>
      <c r="F177" s="2"/>
      <c r="G177" s="3"/>
    </row>
    <row r="178">
      <c r="E178" s="2"/>
      <c r="F178" s="2"/>
      <c r="G178" s="3"/>
    </row>
    <row r="179">
      <c r="E179" s="2"/>
      <c r="F179" s="2"/>
      <c r="G179" s="3"/>
    </row>
    <row r="180">
      <c r="E180" s="2"/>
      <c r="F180" s="2"/>
      <c r="G180" s="3"/>
    </row>
    <row r="181">
      <c r="E181" s="2"/>
      <c r="F181" s="2"/>
      <c r="G181" s="3"/>
    </row>
    <row r="182">
      <c r="E182" s="2"/>
      <c r="F182" s="2"/>
      <c r="G182" s="3"/>
    </row>
    <row r="183">
      <c r="E183" s="2"/>
      <c r="F183" s="2"/>
      <c r="G183" s="3"/>
    </row>
    <row r="184">
      <c r="E184" s="2"/>
      <c r="F184" s="2"/>
      <c r="G184" s="3"/>
    </row>
    <row r="185">
      <c r="E185" s="2"/>
      <c r="F185" s="2"/>
      <c r="G185" s="3"/>
    </row>
    <row r="186">
      <c r="E186" s="2"/>
      <c r="F186" s="2"/>
      <c r="G186" s="3"/>
    </row>
    <row r="187">
      <c r="E187" s="2"/>
      <c r="F187" s="2"/>
      <c r="G187" s="3"/>
    </row>
    <row r="188">
      <c r="E188" s="2"/>
      <c r="F188" s="2"/>
      <c r="G188" s="3"/>
    </row>
    <row r="189">
      <c r="E189" s="2"/>
      <c r="F189" s="2"/>
      <c r="G189" s="3"/>
    </row>
    <row r="190">
      <c r="E190" s="2"/>
      <c r="F190" s="2"/>
      <c r="G190" s="3"/>
    </row>
    <row r="191">
      <c r="E191" s="2"/>
      <c r="F191" s="2"/>
      <c r="G191" s="3"/>
    </row>
    <row r="192">
      <c r="E192" s="2"/>
      <c r="F192" s="2"/>
      <c r="G192" s="3"/>
    </row>
    <row r="193">
      <c r="E193" s="2"/>
      <c r="F193" s="2"/>
      <c r="G193" s="3"/>
    </row>
    <row r="194">
      <c r="E194" s="2"/>
      <c r="F194" s="2"/>
      <c r="G194" s="3"/>
    </row>
    <row r="195">
      <c r="E195" s="2"/>
      <c r="F195" s="2"/>
      <c r="G195" s="3"/>
    </row>
    <row r="196">
      <c r="E196" s="2"/>
      <c r="F196" s="2"/>
      <c r="G196" s="3"/>
    </row>
    <row r="197">
      <c r="E197" s="2"/>
      <c r="F197" s="2"/>
      <c r="G197" s="3"/>
    </row>
    <row r="198">
      <c r="E198" s="2"/>
      <c r="F198" s="2"/>
      <c r="G198" s="3"/>
    </row>
    <row r="199">
      <c r="E199" s="2"/>
      <c r="F199" s="2"/>
      <c r="G199" s="3"/>
    </row>
    <row r="200">
      <c r="E200" s="2"/>
      <c r="F200" s="2"/>
      <c r="G200" s="3"/>
    </row>
    <row r="201">
      <c r="E201" s="2"/>
      <c r="F201" s="2"/>
      <c r="G201" s="3"/>
    </row>
    <row r="202">
      <c r="E202" s="2"/>
      <c r="F202" s="2"/>
      <c r="G202" s="3"/>
    </row>
    <row r="203">
      <c r="E203" s="2"/>
      <c r="F203" s="2"/>
      <c r="G203" s="3"/>
    </row>
    <row r="204">
      <c r="E204" s="2"/>
      <c r="F204" s="2"/>
      <c r="G204" s="3"/>
    </row>
    <row r="205">
      <c r="E205" s="2"/>
      <c r="F205" s="2"/>
      <c r="G205" s="3"/>
    </row>
    <row r="206">
      <c r="E206" s="2"/>
      <c r="F206" s="2"/>
      <c r="G206" s="3"/>
    </row>
    <row r="207">
      <c r="E207" s="2"/>
      <c r="F207" s="2"/>
      <c r="G207" s="3"/>
    </row>
    <row r="208">
      <c r="E208" s="2"/>
      <c r="F208" s="2"/>
      <c r="G208" s="3"/>
    </row>
    <row r="209">
      <c r="E209" s="2"/>
      <c r="F209" s="2"/>
      <c r="G209" s="3"/>
    </row>
    <row r="210">
      <c r="E210" s="2"/>
      <c r="F210" s="2"/>
      <c r="G210" s="3"/>
    </row>
    <row r="211">
      <c r="E211" s="2"/>
      <c r="F211" s="2"/>
      <c r="G211" s="3"/>
    </row>
    <row r="212">
      <c r="E212" s="2"/>
      <c r="F212" s="2"/>
      <c r="G212" s="3"/>
    </row>
    <row r="213">
      <c r="E213" s="2"/>
      <c r="F213" s="2"/>
      <c r="G213" s="3"/>
    </row>
    <row r="214">
      <c r="E214" s="2"/>
      <c r="F214" s="2"/>
      <c r="G214" s="3"/>
    </row>
    <row r="215">
      <c r="E215" s="2"/>
      <c r="F215" s="2"/>
      <c r="G215" s="3"/>
    </row>
    <row r="216">
      <c r="E216" s="2"/>
      <c r="F216" s="2"/>
      <c r="G216" s="3"/>
    </row>
    <row r="217">
      <c r="E217" s="2"/>
      <c r="F217" s="2"/>
      <c r="G217" s="3"/>
    </row>
    <row r="218">
      <c r="E218" s="2"/>
      <c r="F218" s="2"/>
      <c r="G218" s="3"/>
    </row>
    <row r="219">
      <c r="E219" s="2"/>
      <c r="F219" s="2"/>
      <c r="G219" s="3"/>
    </row>
    <row r="220">
      <c r="E220" s="2"/>
      <c r="F220" s="2"/>
      <c r="G220" s="3"/>
    </row>
    <row r="221">
      <c r="E221" s="2"/>
      <c r="F221" s="2"/>
      <c r="G221" s="3"/>
    </row>
    <row r="222">
      <c r="E222" s="2"/>
      <c r="F222" s="2"/>
      <c r="G222" s="3"/>
    </row>
    <row r="223">
      <c r="E223" s="2"/>
      <c r="F223" s="2"/>
      <c r="G223" s="3"/>
    </row>
    <row r="224">
      <c r="E224" s="2"/>
      <c r="F224" s="2"/>
      <c r="G224" s="3"/>
    </row>
    <row r="225">
      <c r="E225" s="2"/>
      <c r="F225" s="2"/>
      <c r="G225" s="3"/>
    </row>
    <row r="226">
      <c r="E226" s="2"/>
      <c r="F226" s="2"/>
      <c r="G226" s="3"/>
    </row>
    <row r="227">
      <c r="E227" s="2"/>
      <c r="F227" s="2"/>
      <c r="G227" s="3"/>
    </row>
    <row r="228">
      <c r="E228" s="2"/>
      <c r="F228" s="2"/>
      <c r="G228" s="3"/>
    </row>
    <row r="229">
      <c r="E229" s="2"/>
      <c r="F229" s="2"/>
      <c r="G229" s="3"/>
    </row>
    <row r="230">
      <c r="E230" s="2"/>
      <c r="F230" s="2"/>
      <c r="G230" s="3"/>
    </row>
    <row r="231">
      <c r="E231" s="2"/>
      <c r="F231" s="2"/>
      <c r="G231" s="3"/>
    </row>
    <row r="232">
      <c r="E232" s="2"/>
      <c r="F232" s="2"/>
      <c r="G232" s="3"/>
    </row>
    <row r="233">
      <c r="E233" s="2"/>
      <c r="F233" s="2"/>
      <c r="G233" s="3"/>
    </row>
    <row r="234">
      <c r="E234" s="2"/>
      <c r="F234" s="2"/>
      <c r="G234" s="3"/>
    </row>
    <row r="235">
      <c r="E235" s="2"/>
      <c r="F235" s="2"/>
      <c r="G235" s="3"/>
    </row>
    <row r="236">
      <c r="E236" s="2"/>
      <c r="F236" s="2"/>
      <c r="G236" s="3"/>
    </row>
    <row r="237">
      <c r="E237" s="2"/>
      <c r="F237" s="2"/>
      <c r="G237" s="3"/>
    </row>
    <row r="238">
      <c r="E238" s="2"/>
      <c r="F238" s="2"/>
      <c r="G238" s="3"/>
    </row>
    <row r="239">
      <c r="E239" s="2"/>
      <c r="F239" s="2"/>
      <c r="G239" s="3"/>
    </row>
    <row r="240">
      <c r="E240" s="2"/>
      <c r="F240" s="2"/>
      <c r="G240" s="3"/>
    </row>
    <row r="241">
      <c r="E241" s="2"/>
      <c r="F241" s="2"/>
      <c r="G241" s="3"/>
    </row>
    <row r="242">
      <c r="E242" s="2"/>
      <c r="F242" s="2"/>
      <c r="G242" s="3"/>
    </row>
    <row r="243">
      <c r="E243" s="2"/>
      <c r="F243" s="2"/>
      <c r="G243" s="3"/>
    </row>
    <row r="244">
      <c r="E244" s="2"/>
      <c r="F244" s="2"/>
      <c r="G244" s="3"/>
    </row>
    <row r="245">
      <c r="E245" s="2"/>
      <c r="F245" s="2"/>
      <c r="G245" s="3"/>
    </row>
    <row r="246">
      <c r="E246" s="2"/>
      <c r="F246" s="2"/>
      <c r="G246" s="3"/>
    </row>
    <row r="247">
      <c r="E247" s="2"/>
      <c r="F247" s="2"/>
      <c r="G247" s="3"/>
    </row>
    <row r="248">
      <c r="E248" s="2"/>
      <c r="F248" s="2"/>
      <c r="G248" s="3"/>
    </row>
    <row r="249">
      <c r="E249" s="2"/>
      <c r="F249" s="2"/>
      <c r="G249" s="3"/>
    </row>
    <row r="250">
      <c r="E250" s="2"/>
      <c r="F250" s="2"/>
      <c r="G250" s="3"/>
    </row>
    <row r="251">
      <c r="E251" s="2"/>
      <c r="F251" s="2"/>
      <c r="G251" s="3"/>
    </row>
    <row r="252">
      <c r="E252" s="2"/>
      <c r="F252" s="2"/>
      <c r="G252" s="3"/>
    </row>
    <row r="253">
      <c r="E253" s="2"/>
      <c r="F253" s="2"/>
      <c r="G253" s="3"/>
    </row>
    <row r="254">
      <c r="E254" s="2"/>
      <c r="F254" s="2"/>
      <c r="G254" s="3"/>
    </row>
    <row r="255">
      <c r="E255" s="2"/>
      <c r="F255" s="2"/>
      <c r="G255" s="3"/>
    </row>
    <row r="256">
      <c r="E256" s="2"/>
      <c r="F256" s="2"/>
      <c r="G256" s="3"/>
    </row>
    <row r="257">
      <c r="E257" s="2"/>
      <c r="F257" s="2"/>
      <c r="G257" s="3"/>
    </row>
    <row r="258">
      <c r="E258" s="2"/>
      <c r="F258" s="2"/>
      <c r="G258" s="3"/>
    </row>
    <row r="259">
      <c r="E259" s="2"/>
      <c r="F259" s="2"/>
      <c r="G259" s="3"/>
    </row>
    <row r="260">
      <c r="E260" s="2"/>
      <c r="F260" s="2"/>
      <c r="G260" s="3"/>
    </row>
    <row r="261">
      <c r="E261" s="2"/>
      <c r="F261" s="2"/>
      <c r="G261" s="3"/>
    </row>
    <row r="262">
      <c r="E262" s="2"/>
      <c r="F262" s="2"/>
      <c r="G262" s="3"/>
    </row>
    <row r="263">
      <c r="E263" s="2"/>
      <c r="F263" s="2"/>
      <c r="G263" s="3"/>
    </row>
    <row r="264">
      <c r="E264" s="2"/>
      <c r="F264" s="2"/>
      <c r="G264" s="3"/>
    </row>
    <row r="265">
      <c r="E265" s="2"/>
      <c r="F265" s="2"/>
      <c r="G265" s="3"/>
    </row>
    <row r="266">
      <c r="E266" s="2"/>
      <c r="F266" s="2"/>
      <c r="G266" s="3"/>
    </row>
    <row r="267">
      <c r="E267" s="2"/>
      <c r="F267" s="2"/>
      <c r="G267" s="3"/>
    </row>
    <row r="268">
      <c r="E268" s="2"/>
      <c r="F268" s="2"/>
      <c r="G268" s="3"/>
    </row>
    <row r="269">
      <c r="E269" s="2"/>
      <c r="F269" s="2"/>
      <c r="G269" s="3"/>
    </row>
    <row r="270">
      <c r="E270" s="2"/>
      <c r="F270" s="2"/>
      <c r="G270" s="3"/>
    </row>
    <row r="271">
      <c r="E271" s="2"/>
      <c r="F271" s="2"/>
      <c r="G271" s="3"/>
    </row>
    <row r="272">
      <c r="E272" s="2"/>
      <c r="F272" s="2"/>
      <c r="G272" s="3"/>
    </row>
    <row r="273">
      <c r="E273" s="2"/>
      <c r="F273" s="2"/>
      <c r="G273" s="3"/>
    </row>
    <row r="274">
      <c r="E274" s="2"/>
      <c r="F274" s="2"/>
      <c r="G274" s="3"/>
    </row>
    <row r="275">
      <c r="E275" s="2"/>
      <c r="F275" s="2"/>
      <c r="G275" s="3"/>
    </row>
    <row r="276">
      <c r="E276" s="2"/>
      <c r="F276" s="2"/>
      <c r="G276" s="3"/>
    </row>
    <row r="277">
      <c r="E277" s="2"/>
      <c r="F277" s="2"/>
      <c r="G277" s="3"/>
    </row>
    <row r="278">
      <c r="E278" s="2"/>
      <c r="F278" s="2"/>
      <c r="G278" s="3"/>
    </row>
    <row r="279">
      <c r="E279" s="2"/>
      <c r="F279" s="2"/>
      <c r="G279" s="3"/>
    </row>
    <row r="280">
      <c r="E280" s="2"/>
      <c r="F280" s="2"/>
      <c r="G280" s="3"/>
    </row>
    <row r="281">
      <c r="E281" s="2"/>
      <c r="F281" s="2"/>
      <c r="G281" s="3"/>
    </row>
    <row r="282">
      <c r="E282" s="2"/>
      <c r="F282" s="2"/>
      <c r="G282" s="3"/>
    </row>
    <row r="283">
      <c r="E283" s="2"/>
      <c r="F283" s="2"/>
      <c r="G283" s="3"/>
    </row>
    <row r="284">
      <c r="E284" s="2"/>
      <c r="F284" s="2"/>
      <c r="G284" s="3"/>
    </row>
    <row r="285">
      <c r="E285" s="2"/>
      <c r="F285" s="2"/>
      <c r="G285" s="3"/>
    </row>
    <row r="286">
      <c r="E286" s="2"/>
      <c r="F286" s="2"/>
      <c r="G286" s="3"/>
    </row>
    <row r="287">
      <c r="E287" s="2"/>
      <c r="F287" s="2"/>
      <c r="G287" s="3"/>
    </row>
    <row r="288">
      <c r="E288" s="2"/>
      <c r="F288" s="2"/>
      <c r="G288" s="3"/>
    </row>
    <row r="289">
      <c r="E289" s="2"/>
      <c r="F289" s="2"/>
      <c r="G289" s="3"/>
    </row>
    <row r="290">
      <c r="E290" s="2"/>
      <c r="F290" s="2"/>
      <c r="G290" s="3"/>
    </row>
    <row r="291">
      <c r="E291" s="2"/>
      <c r="F291" s="2"/>
      <c r="G291" s="3"/>
    </row>
    <row r="292">
      <c r="E292" s="2"/>
      <c r="F292" s="2"/>
      <c r="G292" s="3"/>
    </row>
    <row r="293">
      <c r="E293" s="2"/>
      <c r="F293" s="2"/>
      <c r="G293" s="3"/>
    </row>
    <row r="294">
      <c r="E294" s="2"/>
      <c r="F294" s="2"/>
      <c r="G294" s="3"/>
    </row>
    <row r="295">
      <c r="E295" s="2"/>
      <c r="F295" s="2"/>
      <c r="G295" s="3"/>
    </row>
    <row r="296">
      <c r="E296" s="2"/>
      <c r="F296" s="2"/>
      <c r="G296" s="3"/>
    </row>
    <row r="297">
      <c r="E297" s="2"/>
      <c r="F297" s="2"/>
      <c r="G297" s="3"/>
    </row>
    <row r="298">
      <c r="E298" s="2"/>
      <c r="F298" s="2"/>
      <c r="G298" s="3"/>
    </row>
    <row r="299">
      <c r="E299" s="2"/>
      <c r="F299" s="2"/>
      <c r="G299" s="3"/>
    </row>
    <row r="300">
      <c r="E300" s="2"/>
      <c r="F300" s="2"/>
      <c r="G300" s="3"/>
    </row>
    <row r="301">
      <c r="E301" s="2"/>
      <c r="F301" s="2"/>
      <c r="G301" s="3"/>
    </row>
    <row r="302">
      <c r="E302" s="2"/>
      <c r="F302" s="2"/>
      <c r="G302" s="3"/>
    </row>
    <row r="303">
      <c r="E303" s="2"/>
      <c r="F303" s="2"/>
      <c r="G303" s="3"/>
    </row>
    <row r="304">
      <c r="E304" s="2"/>
      <c r="F304" s="2"/>
      <c r="G304" s="3"/>
    </row>
    <row r="305">
      <c r="E305" s="2"/>
      <c r="F305" s="2"/>
      <c r="G305" s="3"/>
    </row>
    <row r="306">
      <c r="E306" s="2"/>
      <c r="F306" s="2"/>
      <c r="G306" s="3"/>
    </row>
    <row r="307">
      <c r="E307" s="2"/>
      <c r="F307" s="2"/>
      <c r="G307" s="3"/>
    </row>
    <row r="308">
      <c r="E308" s="2"/>
      <c r="F308" s="2"/>
      <c r="G308" s="3"/>
    </row>
    <row r="309">
      <c r="E309" s="2"/>
      <c r="F309" s="2"/>
      <c r="G309" s="3"/>
    </row>
    <row r="310">
      <c r="E310" s="2"/>
      <c r="F310" s="2"/>
      <c r="G310" s="3"/>
    </row>
    <row r="311">
      <c r="E311" s="2"/>
      <c r="F311" s="2"/>
      <c r="G311" s="3"/>
    </row>
    <row r="312">
      <c r="E312" s="2"/>
      <c r="F312" s="2"/>
      <c r="G312" s="3"/>
    </row>
    <row r="313">
      <c r="E313" s="2"/>
      <c r="F313" s="2"/>
      <c r="G313" s="3"/>
    </row>
    <row r="314">
      <c r="E314" s="2"/>
      <c r="F314" s="2"/>
      <c r="G314" s="3"/>
    </row>
    <row r="315">
      <c r="E315" s="2"/>
      <c r="F315" s="2"/>
      <c r="G315" s="3"/>
    </row>
    <row r="316">
      <c r="E316" s="2"/>
      <c r="F316" s="2"/>
      <c r="G316" s="3"/>
    </row>
    <row r="317">
      <c r="E317" s="2"/>
      <c r="F317" s="2"/>
      <c r="G317" s="3"/>
    </row>
    <row r="318">
      <c r="E318" s="2"/>
      <c r="F318" s="2"/>
      <c r="G318" s="3"/>
    </row>
    <row r="319">
      <c r="E319" s="2"/>
      <c r="F319" s="2"/>
      <c r="G319" s="3"/>
    </row>
    <row r="320">
      <c r="E320" s="2"/>
      <c r="F320" s="2"/>
      <c r="G320" s="3"/>
    </row>
    <row r="321">
      <c r="E321" s="2"/>
      <c r="F321" s="2"/>
      <c r="G321" s="3"/>
    </row>
    <row r="322">
      <c r="E322" s="2"/>
      <c r="F322" s="2"/>
      <c r="G322" s="3"/>
    </row>
    <row r="323">
      <c r="E323" s="2"/>
      <c r="F323" s="2"/>
      <c r="G323" s="3"/>
    </row>
    <row r="324">
      <c r="E324" s="2"/>
      <c r="F324" s="2"/>
      <c r="G324" s="3"/>
    </row>
    <row r="325">
      <c r="E325" s="2"/>
      <c r="F325" s="2"/>
      <c r="G325" s="3"/>
    </row>
    <row r="326">
      <c r="E326" s="2"/>
      <c r="F326" s="2"/>
      <c r="G326" s="3"/>
    </row>
    <row r="327">
      <c r="E327" s="2"/>
      <c r="F327" s="2"/>
      <c r="G327" s="3"/>
    </row>
    <row r="328">
      <c r="E328" s="2"/>
      <c r="F328" s="2"/>
      <c r="G328" s="3"/>
    </row>
    <row r="329">
      <c r="E329" s="2"/>
      <c r="F329" s="2"/>
      <c r="G329" s="3"/>
    </row>
    <row r="330">
      <c r="E330" s="2"/>
      <c r="F330" s="2"/>
      <c r="G330" s="3"/>
    </row>
    <row r="331">
      <c r="E331" s="2"/>
      <c r="F331" s="2"/>
      <c r="G331" s="3"/>
    </row>
    <row r="332">
      <c r="E332" s="2"/>
      <c r="F332" s="2"/>
      <c r="G332" s="3"/>
    </row>
    <row r="333">
      <c r="E333" s="2"/>
      <c r="F333" s="2"/>
      <c r="G333" s="3"/>
    </row>
    <row r="334">
      <c r="E334" s="2"/>
      <c r="F334" s="2"/>
      <c r="G334" s="3"/>
    </row>
    <row r="335">
      <c r="E335" s="2"/>
      <c r="F335" s="2"/>
      <c r="G335" s="3"/>
    </row>
    <row r="336">
      <c r="E336" s="2"/>
      <c r="F336" s="2"/>
      <c r="G336" s="3"/>
    </row>
    <row r="337">
      <c r="E337" s="2"/>
      <c r="F337" s="2"/>
      <c r="G337" s="3"/>
    </row>
    <row r="338">
      <c r="E338" s="2"/>
      <c r="F338" s="2"/>
      <c r="G338" s="3"/>
    </row>
    <row r="339">
      <c r="E339" s="2"/>
      <c r="F339" s="2"/>
      <c r="G339" s="3"/>
    </row>
    <row r="340">
      <c r="E340" s="2"/>
      <c r="F340" s="2"/>
      <c r="G340" s="3"/>
    </row>
    <row r="341">
      <c r="E341" s="2"/>
      <c r="F341" s="2"/>
      <c r="G341" s="3"/>
    </row>
    <row r="342">
      <c r="E342" s="2"/>
      <c r="F342" s="2"/>
      <c r="G342" s="3"/>
    </row>
    <row r="343">
      <c r="E343" s="2"/>
      <c r="F343" s="2"/>
      <c r="G343" s="3"/>
    </row>
    <row r="344">
      <c r="E344" s="2"/>
      <c r="F344" s="2"/>
      <c r="G344" s="3"/>
    </row>
    <row r="345">
      <c r="E345" s="2"/>
      <c r="F345" s="2"/>
      <c r="G345" s="3"/>
    </row>
    <row r="346">
      <c r="E346" s="2"/>
      <c r="F346" s="2"/>
      <c r="G346" s="3"/>
    </row>
    <row r="347">
      <c r="E347" s="2"/>
      <c r="F347" s="2"/>
      <c r="G347" s="3"/>
    </row>
    <row r="348">
      <c r="E348" s="2"/>
      <c r="F348" s="2"/>
      <c r="G348" s="3"/>
    </row>
    <row r="349">
      <c r="E349" s="2"/>
      <c r="F349" s="2"/>
      <c r="G349" s="3"/>
    </row>
    <row r="350">
      <c r="E350" s="2"/>
      <c r="F350" s="2"/>
      <c r="G350" s="3"/>
    </row>
    <row r="351">
      <c r="E351" s="2"/>
      <c r="F351" s="2"/>
      <c r="G351" s="3"/>
    </row>
    <row r="352">
      <c r="E352" s="2"/>
      <c r="F352" s="2"/>
      <c r="G352" s="3"/>
    </row>
    <row r="353">
      <c r="E353" s="2"/>
      <c r="F353" s="2"/>
      <c r="G353" s="3"/>
    </row>
    <row r="354">
      <c r="E354" s="2"/>
      <c r="F354" s="2"/>
      <c r="G354" s="3"/>
    </row>
    <row r="355">
      <c r="E355" s="2"/>
      <c r="F355" s="2"/>
      <c r="G355" s="3"/>
    </row>
    <row r="356">
      <c r="E356" s="2"/>
      <c r="F356" s="2"/>
      <c r="G356" s="3"/>
    </row>
    <row r="357">
      <c r="E357" s="2"/>
      <c r="F357" s="2"/>
      <c r="G357" s="3"/>
    </row>
    <row r="358">
      <c r="E358" s="2"/>
      <c r="F358" s="2"/>
      <c r="G358" s="3"/>
    </row>
    <row r="359">
      <c r="E359" s="2"/>
      <c r="F359" s="2"/>
      <c r="G359" s="3"/>
    </row>
    <row r="360">
      <c r="E360" s="2"/>
      <c r="F360" s="2"/>
      <c r="G360" s="3"/>
    </row>
    <row r="361">
      <c r="E361" s="2"/>
      <c r="F361" s="2"/>
      <c r="G361" s="3"/>
    </row>
    <row r="362">
      <c r="E362" s="2"/>
      <c r="F362" s="2"/>
      <c r="G362" s="3"/>
    </row>
    <row r="363">
      <c r="E363" s="2"/>
      <c r="F363" s="2"/>
      <c r="G363" s="3"/>
    </row>
    <row r="364">
      <c r="E364" s="2"/>
      <c r="F364" s="2"/>
      <c r="G364" s="3"/>
    </row>
    <row r="365">
      <c r="E365" s="2"/>
      <c r="F365" s="2"/>
      <c r="G365" s="3"/>
    </row>
    <row r="366">
      <c r="E366" s="2"/>
      <c r="F366" s="2"/>
      <c r="G366" s="3"/>
    </row>
    <row r="367">
      <c r="E367" s="2"/>
      <c r="F367" s="2"/>
      <c r="G367" s="3"/>
    </row>
    <row r="368">
      <c r="E368" s="2"/>
      <c r="F368" s="2"/>
      <c r="G368" s="3"/>
    </row>
    <row r="369">
      <c r="E369" s="2"/>
      <c r="F369" s="2"/>
      <c r="G369" s="3"/>
    </row>
    <row r="370">
      <c r="E370" s="2"/>
      <c r="F370" s="2"/>
      <c r="G370" s="3"/>
    </row>
    <row r="371">
      <c r="E371" s="2"/>
      <c r="F371" s="2"/>
      <c r="G371" s="3"/>
    </row>
    <row r="372">
      <c r="E372" s="2"/>
      <c r="F372" s="2"/>
      <c r="G372" s="3"/>
    </row>
    <row r="373">
      <c r="E373" s="2"/>
      <c r="F373" s="2"/>
      <c r="G373" s="3"/>
    </row>
    <row r="374">
      <c r="E374" s="2"/>
      <c r="F374" s="2"/>
      <c r="G374" s="3"/>
    </row>
    <row r="375">
      <c r="E375" s="2"/>
      <c r="F375" s="2"/>
      <c r="G375" s="3"/>
    </row>
    <row r="376">
      <c r="E376" s="2"/>
      <c r="F376" s="2"/>
      <c r="G376" s="3"/>
    </row>
    <row r="377">
      <c r="E377" s="2"/>
      <c r="F377" s="2"/>
      <c r="G377" s="3"/>
    </row>
    <row r="378">
      <c r="E378" s="2"/>
      <c r="F378" s="2"/>
      <c r="G378" s="3"/>
    </row>
    <row r="379">
      <c r="E379" s="2"/>
      <c r="F379" s="2"/>
      <c r="G379" s="3"/>
    </row>
    <row r="380">
      <c r="E380" s="2"/>
      <c r="F380" s="2"/>
      <c r="G380" s="3"/>
    </row>
    <row r="381">
      <c r="E381" s="2"/>
      <c r="F381" s="2"/>
      <c r="G381" s="3"/>
    </row>
    <row r="382">
      <c r="E382" s="2"/>
      <c r="F382" s="2"/>
      <c r="G382" s="3"/>
    </row>
    <row r="383">
      <c r="E383" s="2"/>
      <c r="F383" s="2"/>
      <c r="G383" s="3"/>
    </row>
    <row r="384">
      <c r="E384" s="2"/>
      <c r="F384" s="2"/>
      <c r="G384" s="3"/>
    </row>
    <row r="385">
      <c r="E385" s="2"/>
      <c r="F385" s="2"/>
      <c r="G385" s="3"/>
    </row>
    <row r="386">
      <c r="E386" s="2"/>
      <c r="F386" s="2"/>
      <c r="G386" s="3"/>
    </row>
    <row r="387">
      <c r="E387" s="2"/>
      <c r="F387" s="2"/>
      <c r="G387" s="3"/>
    </row>
    <row r="388">
      <c r="E388" s="2"/>
      <c r="F388" s="2"/>
      <c r="G388" s="3"/>
    </row>
    <row r="389">
      <c r="E389" s="2"/>
      <c r="F389" s="2"/>
      <c r="G389" s="3"/>
    </row>
    <row r="390">
      <c r="E390" s="2"/>
      <c r="F390" s="2"/>
      <c r="G390" s="3"/>
    </row>
    <row r="391">
      <c r="E391" s="2"/>
      <c r="F391" s="2"/>
      <c r="G391" s="3"/>
    </row>
    <row r="392">
      <c r="E392" s="2"/>
      <c r="F392" s="2"/>
      <c r="G392" s="3"/>
    </row>
    <row r="393">
      <c r="E393" s="2"/>
      <c r="F393" s="2"/>
      <c r="G393" s="3"/>
    </row>
    <row r="394">
      <c r="E394" s="2"/>
      <c r="F394" s="2"/>
      <c r="G394" s="3"/>
    </row>
    <row r="395">
      <c r="E395" s="2"/>
      <c r="F395" s="2"/>
      <c r="G395" s="3"/>
    </row>
    <row r="396">
      <c r="E396" s="2"/>
      <c r="F396" s="2"/>
      <c r="G396" s="3"/>
    </row>
    <row r="397">
      <c r="E397" s="2"/>
      <c r="F397" s="2"/>
      <c r="G397" s="3"/>
    </row>
    <row r="398">
      <c r="E398" s="2"/>
      <c r="F398" s="2"/>
      <c r="G398" s="3"/>
    </row>
    <row r="399">
      <c r="E399" s="2"/>
      <c r="F399" s="2"/>
      <c r="G399" s="3"/>
    </row>
    <row r="400">
      <c r="E400" s="2"/>
      <c r="F400" s="2"/>
      <c r="G400" s="3"/>
    </row>
    <row r="401">
      <c r="E401" s="2"/>
      <c r="F401" s="2"/>
      <c r="G401" s="3"/>
    </row>
    <row r="402">
      <c r="E402" s="2"/>
      <c r="F402" s="2"/>
      <c r="G402" s="3"/>
    </row>
    <row r="403">
      <c r="E403" s="2"/>
      <c r="F403" s="2"/>
      <c r="G403" s="3"/>
    </row>
    <row r="404">
      <c r="E404" s="2"/>
      <c r="F404" s="2"/>
      <c r="G404" s="3"/>
    </row>
    <row r="405">
      <c r="E405" s="2"/>
      <c r="F405" s="2"/>
      <c r="G405" s="3"/>
    </row>
    <row r="406">
      <c r="E406" s="2"/>
      <c r="F406" s="2"/>
      <c r="G406" s="3"/>
    </row>
    <row r="407">
      <c r="E407" s="2"/>
      <c r="F407" s="2"/>
      <c r="G407" s="3"/>
    </row>
    <row r="408">
      <c r="E408" s="2"/>
      <c r="F408" s="2"/>
      <c r="G408" s="3"/>
    </row>
    <row r="409">
      <c r="E409" s="2"/>
      <c r="F409" s="2"/>
      <c r="G409" s="3"/>
    </row>
    <row r="410">
      <c r="E410" s="2"/>
      <c r="F410" s="2"/>
      <c r="G410" s="3"/>
    </row>
    <row r="411">
      <c r="E411" s="2"/>
      <c r="F411" s="2"/>
      <c r="G411" s="3"/>
    </row>
    <row r="412">
      <c r="E412" s="2"/>
      <c r="F412" s="2"/>
      <c r="G412" s="3"/>
    </row>
    <row r="413">
      <c r="E413" s="2"/>
      <c r="F413" s="2"/>
      <c r="G413" s="3"/>
    </row>
    <row r="414">
      <c r="E414" s="2"/>
      <c r="F414" s="2"/>
      <c r="G414" s="3"/>
    </row>
    <row r="415">
      <c r="E415" s="2"/>
      <c r="F415" s="2"/>
      <c r="G415" s="3"/>
    </row>
    <row r="416">
      <c r="E416" s="2"/>
      <c r="F416" s="2"/>
      <c r="G416" s="3"/>
    </row>
    <row r="417">
      <c r="E417" s="2"/>
      <c r="F417" s="2"/>
      <c r="G417" s="3"/>
    </row>
    <row r="418">
      <c r="E418" s="2"/>
      <c r="F418" s="2"/>
      <c r="G418" s="3"/>
    </row>
    <row r="419">
      <c r="E419" s="2"/>
      <c r="F419" s="2"/>
      <c r="G419" s="3"/>
    </row>
    <row r="420">
      <c r="E420" s="2"/>
      <c r="F420" s="2"/>
      <c r="G420" s="3"/>
    </row>
    <row r="421">
      <c r="E421" s="2"/>
      <c r="F421" s="2"/>
      <c r="G421" s="3"/>
    </row>
    <row r="422">
      <c r="E422" s="2"/>
      <c r="F422" s="2"/>
      <c r="G422" s="3"/>
    </row>
    <row r="423">
      <c r="E423" s="2"/>
      <c r="F423" s="2"/>
      <c r="G423" s="3"/>
    </row>
    <row r="424">
      <c r="E424" s="2"/>
      <c r="F424" s="2"/>
      <c r="G424" s="3"/>
    </row>
    <row r="425">
      <c r="E425" s="2"/>
      <c r="F425" s="2"/>
      <c r="G425" s="3"/>
    </row>
    <row r="426">
      <c r="E426" s="2"/>
      <c r="F426" s="2"/>
      <c r="G426" s="3"/>
    </row>
    <row r="427">
      <c r="E427" s="2"/>
      <c r="F427" s="2"/>
      <c r="G427" s="3"/>
    </row>
    <row r="428">
      <c r="E428" s="2"/>
      <c r="F428" s="2"/>
      <c r="G428" s="3"/>
    </row>
    <row r="429">
      <c r="E429" s="2"/>
      <c r="F429" s="2"/>
      <c r="G429" s="3"/>
    </row>
    <row r="430">
      <c r="E430" s="2"/>
      <c r="F430" s="2"/>
      <c r="G430" s="3"/>
    </row>
    <row r="431">
      <c r="E431" s="2"/>
      <c r="F431" s="2"/>
      <c r="G431" s="3"/>
    </row>
    <row r="432">
      <c r="E432" s="2"/>
      <c r="F432" s="2"/>
      <c r="G432" s="3"/>
    </row>
    <row r="433">
      <c r="E433" s="2"/>
      <c r="F433" s="2"/>
      <c r="G433" s="3"/>
    </row>
    <row r="434">
      <c r="E434" s="2"/>
      <c r="F434" s="2"/>
      <c r="G434" s="3"/>
    </row>
    <row r="435">
      <c r="E435" s="2"/>
      <c r="F435" s="2"/>
      <c r="G435" s="3"/>
    </row>
    <row r="436">
      <c r="E436" s="2"/>
      <c r="F436" s="2"/>
      <c r="G436" s="3"/>
    </row>
    <row r="437">
      <c r="E437" s="2"/>
      <c r="F437" s="2"/>
      <c r="G437" s="3"/>
    </row>
    <row r="438">
      <c r="E438" s="2"/>
      <c r="F438" s="2"/>
      <c r="G438" s="3"/>
    </row>
    <row r="439">
      <c r="E439" s="2"/>
      <c r="F439" s="2"/>
      <c r="G439" s="3"/>
    </row>
    <row r="440">
      <c r="E440" s="2"/>
      <c r="F440" s="2"/>
      <c r="G440" s="3"/>
    </row>
    <row r="441">
      <c r="E441" s="2"/>
      <c r="F441" s="2"/>
      <c r="G441" s="3"/>
    </row>
    <row r="442">
      <c r="E442" s="2"/>
      <c r="F442" s="2"/>
      <c r="G442" s="3"/>
    </row>
    <row r="443">
      <c r="E443" s="2"/>
      <c r="F443" s="2"/>
      <c r="G443" s="3"/>
    </row>
    <row r="444">
      <c r="E444" s="2"/>
      <c r="F444" s="2"/>
      <c r="G444" s="3"/>
    </row>
    <row r="445">
      <c r="E445" s="2"/>
      <c r="F445" s="2"/>
      <c r="G445" s="3"/>
    </row>
    <row r="446">
      <c r="E446" s="2"/>
      <c r="F446" s="2"/>
      <c r="G446" s="3"/>
    </row>
    <row r="447">
      <c r="E447" s="2"/>
      <c r="F447" s="2"/>
      <c r="G447" s="3"/>
    </row>
    <row r="448">
      <c r="E448" s="2"/>
      <c r="F448" s="2"/>
      <c r="G448" s="3"/>
    </row>
    <row r="449">
      <c r="E449" s="2"/>
      <c r="F449" s="2"/>
      <c r="G449" s="3"/>
    </row>
    <row r="450">
      <c r="E450" s="2"/>
      <c r="F450" s="2"/>
      <c r="G450" s="3"/>
    </row>
    <row r="451">
      <c r="E451" s="2"/>
      <c r="F451" s="2"/>
      <c r="G451" s="3"/>
    </row>
    <row r="452">
      <c r="E452" s="2"/>
      <c r="F452" s="2"/>
      <c r="G452" s="3"/>
    </row>
    <row r="453">
      <c r="E453" s="2"/>
      <c r="F453" s="2"/>
      <c r="G453" s="3"/>
    </row>
    <row r="454">
      <c r="E454" s="2"/>
      <c r="F454" s="2"/>
      <c r="G454" s="3"/>
    </row>
    <row r="455">
      <c r="E455" s="2"/>
      <c r="F455" s="2"/>
      <c r="G455" s="3"/>
    </row>
    <row r="456">
      <c r="E456" s="2"/>
      <c r="F456" s="2"/>
      <c r="G456" s="3"/>
    </row>
    <row r="457">
      <c r="E457" s="2"/>
      <c r="F457" s="2"/>
      <c r="G457" s="3"/>
    </row>
    <row r="458">
      <c r="E458" s="2"/>
      <c r="F458" s="2"/>
      <c r="G458" s="3"/>
    </row>
    <row r="459">
      <c r="E459" s="2"/>
      <c r="F459" s="2"/>
      <c r="G459" s="3"/>
    </row>
    <row r="460">
      <c r="E460" s="2"/>
      <c r="F460" s="2"/>
      <c r="G460" s="3"/>
    </row>
    <row r="461">
      <c r="E461" s="2"/>
      <c r="F461" s="2"/>
      <c r="G461" s="3"/>
    </row>
    <row r="462">
      <c r="E462" s="2"/>
      <c r="F462" s="2"/>
      <c r="G462" s="3"/>
    </row>
    <row r="463">
      <c r="E463" s="2"/>
      <c r="F463" s="2"/>
      <c r="G463" s="3"/>
    </row>
    <row r="464">
      <c r="E464" s="2"/>
      <c r="F464" s="2"/>
      <c r="G464" s="3"/>
    </row>
    <row r="465">
      <c r="E465" s="2"/>
      <c r="F465" s="2"/>
      <c r="G465" s="3"/>
    </row>
    <row r="466">
      <c r="E466" s="2"/>
      <c r="F466" s="2"/>
      <c r="G466" s="3"/>
    </row>
    <row r="467">
      <c r="E467" s="2"/>
      <c r="F467" s="2"/>
      <c r="G467" s="3"/>
    </row>
    <row r="468">
      <c r="E468" s="2"/>
      <c r="F468" s="2"/>
      <c r="G468" s="3"/>
    </row>
    <row r="469">
      <c r="E469" s="2"/>
      <c r="F469" s="2"/>
      <c r="G469" s="3"/>
    </row>
    <row r="470">
      <c r="E470" s="2"/>
      <c r="F470" s="2"/>
      <c r="G470" s="3"/>
    </row>
    <row r="471">
      <c r="E471" s="2"/>
      <c r="F471" s="2"/>
      <c r="G471" s="3"/>
    </row>
    <row r="472">
      <c r="E472" s="2"/>
      <c r="F472" s="2"/>
      <c r="G472" s="3"/>
    </row>
    <row r="473">
      <c r="E473" s="2"/>
      <c r="F473" s="2"/>
      <c r="G473" s="3"/>
    </row>
    <row r="474">
      <c r="E474" s="2"/>
      <c r="F474" s="2"/>
      <c r="G474" s="3"/>
    </row>
    <row r="475">
      <c r="E475" s="2"/>
      <c r="F475" s="2"/>
      <c r="G475" s="3"/>
    </row>
    <row r="476">
      <c r="E476" s="2"/>
      <c r="F476" s="2"/>
      <c r="G476" s="3"/>
    </row>
    <row r="477">
      <c r="E477" s="2"/>
      <c r="F477" s="2"/>
      <c r="G477" s="3"/>
    </row>
    <row r="478">
      <c r="E478" s="2"/>
      <c r="F478" s="2"/>
      <c r="G478" s="3"/>
    </row>
    <row r="479">
      <c r="E479" s="2"/>
      <c r="F479" s="2"/>
      <c r="G479" s="3"/>
    </row>
    <row r="480">
      <c r="E480" s="2"/>
      <c r="F480" s="2"/>
      <c r="G480" s="3"/>
    </row>
    <row r="481">
      <c r="E481" s="2"/>
      <c r="F481" s="2"/>
      <c r="G481" s="3"/>
    </row>
    <row r="482">
      <c r="E482" s="2"/>
      <c r="F482" s="2"/>
      <c r="G482" s="3"/>
    </row>
    <row r="483">
      <c r="E483" s="2"/>
      <c r="F483" s="2"/>
      <c r="G483" s="3"/>
    </row>
    <row r="484">
      <c r="E484" s="2"/>
      <c r="F484" s="2"/>
      <c r="G484" s="3"/>
    </row>
    <row r="485">
      <c r="E485" s="2"/>
      <c r="F485" s="2"/>
      <c r="G485" s="3"/>
    </row>
    <row r="486">
      <c r="E486" s="2"/>
      <c r="F486" s="2"/>
      <c r="G486" s="3"/>
    </row>
    <row r="487">
      <c r="E487" s="2"/>
      <c r="F487" s="2"/>
      <c r="G487" s="3"/>
    </row>
    <row r="488">
      <c r="E488" s="2"/>
      <c r="F488" s="2"/>
      <c r="G488" s="3"/>
    </row>
    <row r="489">
      <c r="E489" s="2"/>
      <c r="F489" s="2"/>
      <c r="G489" s="3"/>
    </row>
    <row r="490">
      <c r="E490" s="2"/>
      <c r="F490" s="2"/>
      <c r="G490" s="3"/>
    </row>
    <row r="491">
      <c r="E491" s="2"/>
      <c r="F491" s="2"/>
      <c r="G491" s="3"/>
    </row>
    <row r="492">
      <c r="E492" s="2"/>
      <c r="F492" s="2"/>
      <c r="G492" s="3"/>
    </row>
    <row r="493">
      <c r="E493" s="2"/>
      <c r="F493" s="2"/>
      <c r="G493" s="3"/>
    </row>
    <row r="494">
      <c r="E494" s="2"/>
      <c r="F494" s="2"/>
      <c r="G494" s="3"/>
    </row>
    <row r="495">
      <c r="E495" s="2"/>
      <c r="F495" s="2"/>
      <c r="G495" s="3"/>
    </row>
    <row r="496">
      <c r="E496" s="2"/>
      <c r="F496" s="2"/>
      <c r="G496" s="3"/>
    </row>
    <row r="497">
      <c r="E497" s="2"/>
      <c r="F497" s="2"/>
      <c r="G497" s="3"/>
    </row>
    <row r="498">
      <c r="E498" s="2"/>
      <c r="F498" s="2"/>
      <c r="G498" s="3"/>
    </row>
    <row r="499">
      <c r="E499" s="2"/>
      <c r="F499" s="2"/>
      <c r="G499" s="3"/>
    </row>
    <row r="500">
      <c r="E500" s="2"/>
      <c r="F500" s="2"/>
      <c r="G500" s="3"/>
    </row>
    <row r="501">
      <c r="E501" s="2"/>
      <c r="F501" s="2"/>
      <c r="G501" s="3"/>
    </row>
    <row r="502">
      <c r="E502" s="2"/>
      <c r="F502" s="2"/>
      <c r="G502" s="3"/>
    </row>
    <row r="503">
      <c r="E503" s="2"/>
      <c r="F503" s="2"/>
      <c r="G503" s="3"/>
    </row>
    <row r="504">
      <c r="E504" s="2"/>
      <c r="F504" s="2"/>
      <c r="G504" s="3"/>
    </row>
    <row r="505">
      <c r="E505" s="2"/>
      <c r="F505" s="2"/>
      <c r="G505" s="3"/>
    </row>
    <row r="506">
      <c r="E506" s="2"/>
      <c r="F506" s="2"/>
      <c r="G506" s="3"/>
    </row>
    <row r="507">
      <c r="E507" s="2"/>
      <c r="F507" s="2"/>
      <c r="G507" s="3"/>
    </row>
    <row r="508">
      <c r="E508" s="2"/>
      <c r="F508" s="2"/>
      <c r="G508" s="3"/>
    </row>
    <row r="509">
      <c r="E509" s="2"/>
      <c r="F509" s="2"/>
      <c r="G509" s="3"/>
    </row>
    <row r="510">
      <c r="E510" s="2"/>
      <c r="F510" s="2"/>
      <c r="G510" s="3"/>
    </row>
    <row r="511">
      <c r="E511" s="2"/>
      <c r="F511" s="2"/>
      <c r="G511" s="3"/>
    </row>
    <row r="512">
      <c r="E512" s="2"/>
      <c r="F512" s="2"/>
      <c r="G512" s="3"/>
    </row>
    <row r="513">
      <c r="E513" s="2"/>
      <c r="F513" s="2"/>
      <c r="G513" s="3"/>
    </row>
    <row r="514">
      <c r="E514" s="2"/>
      <c r="F514" s="2"/>
      <c r="G514" s="3"/>
    </row>
    <row r="515">
      <c r="E515" s="2"/>
      <c r="F515" s="2"/>
      <c r="G515" s="3"/>
    </row>
    <row r="516">
      <c r="E516" s="2"/>
      <c r="F516" s="2"/>
      <c r="G516" s="3"/>
    </row>
    <row r="517">
      <c r="E517" s="2"/>
      <c r="F517" s="2"/>
      <c r="G517" s="3"/>
    </row>
    <row r="518">
      <c r="E518" s="2"/>
      <c r="F518" s="2"/>
      <c r="G518" s="3"/>
    </row>
    <row r="519">
      <c r="E519" s="2"/>
      <c r="F519" s="2"/>
      <c r="G519" s="3"/>
    </row>
    <row r="520">
      <c r="E520" s="2"/>
      <c r="F520" s="2"/>
      <c r="G520" s="3"/>
    </row>
    <row r="521">
      <c r="E521" s="2"/>
      <c r="F521" s="2"/>
      <c r="G521" s="3"/>
    </row>
    <row r="522">
      <c r="E522" s="2"/>
      <c r="F522" s="2"/>
      <c r="G522" s="3"/>
    </row>
    <row r="523">
      <c r="E523" s="2"/>
      <c r="F523" s="2"/>
      <c r="G523" s="3"/>
    </row>
    <row r="524">
      <c r="E524" s="2"/>
      <c r="F524" s="2"/>
      <c r="G524" s="3"/>
    </row>
    <row r="525">
      <c r="E525" s="2"/>
      <c r="F525" s="2"/>
      <c r="G525" s="3"/>
    </row>
    <row r="526">
      <c r="E526" s="2"/>
      <c r="F526" s="2"/>
      <c r="G526" s="3"/>
    </row>
    <row r="527">
      <c r="E527" s="2"/>
      <c r="F527" s="2"/>
      <c r="G527" s="3"/>
    </row>
    <row r="528">
      <c r="E528" s="2"/>
      <c r="F528" s="2"/>
      <c r="G528" s="3"/>
    </row>
    <row r="529">
      <c r="E529" s="2"/>
      <c r="F529" s="2"/>
      <c r="G529" s="3"/>
    </row>
    <row r="530">
      <c r="E530" s="2"/>
      <c r="F530" s="2"/>
      <c r="G530" s="3"/>
    </row>
    <row r="531">
      <c r="E531" s="2"/>
      <c r="F531" s="2"/>
      <c r="G531" s="3"/>
    </row>
    <row r="532">
      <c r="E532" s="2"/>
      <c r="F532" s="2"/>
      <c r="G532" s="3"/>
    </row>
    <row r="533">
      <c r="E533" s="2"/>
      <c r="F533" s="2"/>
      <c r="G533" s="3"/>
    </row>
    <row r="534">
      <c r="E534" s="2"/>
      <c r="F534" s="2"/>
      <c r="G534" s="3"/>
    </row>
    <row r="535">
      <c r="E535" s="2"/>
      <c r="F535" s="2"/>
      <c r="G535" s="3"/>
    </row>
    <row r="536">
      <c r="E536" s="2"/>
      <c r="F536" s="2"/>
      <c r="G536" s="3"/>
    </row>
    <row r="537">
      <c r="E537" s="2"/>
      <c r="F537" s="2"/>
      <c r="G537" s="3"/>
    </row>
    <row r="538">
      <c r="E538" s="2"/>
      <c r="F538" s="2"/>
      <c r="G538" s="3"/>
    </row>
    <row r="539">
      <c r="E539" s="2"/>
      <c r="F539" s="2"/>
      <c r="G539" s="3"/>
    </row>
    <row r="540">
      <c r="E540" s="2"/>
      <c r="F540" s="2"/>
      <c r="G540" s="3"/>
    </row>
    <row r="541">
      <c r="E541" s="2"/>
      <c r="F541" s="2"/>
      <c r="G541" s="3"/>
    </row>
    <row r="542">
      <c r="E542" s="2"/>
      <c r="F542" s="2"/>
      <c r="G542" s="3"/>
    </row>
    <row r="543">
      <c r="E543" s="2"/>
      <c r="F543" s="2"/>
      <c r="G543" s="3"/>
    </row>
    <row r="544">
      <c r="E544" s="2"/>
      <c r="F544" s="2"/>
      <c r="G544" s="3"/>
    </row>
    <row r="545">
      <c r="E545" s="2"/>
      <c r="F545" s="2"/>
      <c r="G545" s="3"/>
    </row>
    <row r="546">
      <c r="E546" s="2"/>
      <c r="F546" s="2"/>
      <c r="G546" s="3"/>
    </row>
    <row r="547">
      <c r="E547" s="2"/>
      <c r="F547" s="2"/>
      <c r="G547" s="3"/>
    </row>
    <row r="548">
      <c r="E548" s="2"/>
      <c r="F548" s="2"/>
      <c r="G548" s="3"/>
    </row>
    <row r="549">
      <c r="E549" s="2"/>
      <c r="F549" s="2"/>
      <c r="G549" s="3"/>
    </row>
    <row r="550">
      <c r="E550" s="2"/>
      <c r="F550" s="2"/>
      <c r="G550" s="3"/>
    </row>
    <row r="551">
      <c r="E551" s="2"/>
      <c r="F551" s="2"/>
      <c r="G551" s="3"/>
    </row>
    <row r="552">
      <c r="E552" s="2"/>
      <c r="F552" s="2"/>
      <c r="G552" s="3"/>
    </row>
    <row r="553">
      <c r="E553" s="2"/>
      <c r="F553" s="2"/>
      <c r="G553" s="3"/>
    </row>
    <row r="554">
      <c r="E554" s="2"/>
      <c r="F554" s="2"/>
      <c r="G554" s="3"/>
    </row>
    <row r="555">
      <c r="E555" s="2"/>
      <c r="F555" s="2"/>
      <c r="G555" s="3"/>
    </row>
    <row r="556">
      <c r="E556" s="2"/>
      <c r="F556" s="2"/>
      <c r="G556" s="3"/>
    </row>
    <row r="557">
      <c r="E557" s="2"/>
      <c r="F557" s="2"/>
      <c r="G557" s="3"/>
    </row>
    <row r="558">
      <c r="E558" s="2"/>
      <c r="F558" s="2"/>
      <c r="G558" s="3"/>
    </row>
    <row r="559">
      <c r="E559" s="2"/>
      <c r="F559" s="2"/>
      <c r="G559" s="3"/>
    </row>
    <row r="560">
      <c r="E560" s="2"/>
      <c r="F560" s="2"/>
      <c r="G560" s="3"/>
    </row>
    <row r="561">
      <c r="E561" s="2"/>
      <c r="F561" s="2"/>
      <c r="G561" s="3"/>
    </row>
    <row r="562">
      <c r="E562" s="2"/>
      <c r="F562" s="2"/>
      <c r="G562" s="3"/>
    </row>
    <row r="563">
      <c r="E563" s="2"/>
      <c r="F563" s="2"/>
      <c r="G563" s="3"/>
    </row>
    <row r="564">
      <c r="E564" s="2"/>
      <c r="F564" s="2"/>
      <c r="G564" s="3"/>
    </row>
    <row r="565">
      <c r="E565" s="2"/>
      <c r="F565" s="2"/>
      <c r="G565" s="3"/>
    </row>
    <row r="566">
      <c r="E566" s="2"/>
      <c r="F566" s="2"/>
      <c r="G566" s="3"/>
    </row>
    <row r="567">
      <c r="E567" s="2"/>
      <c r="F567" s="2"/>
      <c r="G567" s="3"/>
    </row>
    <row r="568">
      <c r="E568" s="2"/>
      <c r="F568" s="2"/>
      <c r="G568" s="3"/>
    </row>
    <row r="569">
      <c r="E569" s="2"/>
      <c r="F569" s="2"/>
      <c r="G569" s="3"/>
    </row>
    <row r="570">
      <c r="E570" s="2"/>
      <c r="F570" s="2"/>
      <c r="G570" s="3"/>
    </row>
    <row r="571">
      <c r="E571" s="2"/>
      <c r="F571" s="2"/>
      <c r="G571" s="3"/>
    </row>
    <row r="572">
      <c r="E572" s="2"/>
      <c r="F572" s="2"/>
      <c r="G572" s="3"/>
    </row>
    <row r="573">
      <c r="E573" s="2"/>
      <c r="F573" s="2"/>
      <c r="G573" s="3"/>
    </row>
    <row r="574">
      <c r="E574" s="2"/>
      <c r="F574" s="2"/>
      <c r="G574" s="3"/>
    </row>
    <row r="575">
      <c r="E575" s="2"/>
      <c r="F575" s="2"/>
      <c r="G575" s="3"/>
    </row>
    <row r="576">
      <c r="E576" s="2"/>
      <c r="F576" s="2"/>
      <c r="G576" s="3"/>
    </row>
    <row r="577">
      <c r="E577" s="2"/>
      <c r="F577" s="2"/>
      <c r="G577" s="3"/>
    </row>
    <row r="578">
      <c r="E578" s="2"/>
      <c r="F578" s="2"/>
      <c r="G578" s="3"/>
    </row>
    <row r="579">
      <c r="E579" s="2"/>
      <c r="F579" s="2"/>
      <c r="G579" s="3"/>
    </row>
    <row r="580">
      <c r="E580" s="2"/>
      <c r="F580" s="2"/>
      <c r="G580" s="3"/>
    </row>
    <row r="581">
      <c r="E581" s="2"/>
      <c r="F581" s="2"/>
      <c r="G581" s="3"/>
    </row>
    <row r="582">
      <c r="E582" s="2"/>
      <c r="F582" s="2"/>
      <c r="G582" s="3"/>
    </row>
    <row r="583">
      <c r="E583" s="2"/>
      <c r="F583" s="2"/>
      <c r="G583" s="3"/>
    </row>
    <row r="584">
      <c r="E584" s="2"/>
      <c r="F584" s="2"/>
      <c r="G584" s="3"/>
    </row>
    <row r="585">
      <c r="E585" s="2"/>
      <c r="F585" s="2"/>
      <c r="G585" s="3"/>
    </row>
    <row r="586">
      <c r="E586" s="2"/>
      <c r="F586" s="2"/>
      <c r="G586" s="3"/>
    </row>
    <row r="587">
      <c r="E587" s="2"/>
      <c r="F587" s="2"/>
      <c r="G587" s="3"/>
    </row>
    <row r="588">
      <c r="E588" s="2"/>
      <c r="F588" s="2"/>
      <c r="G588" s="3"/>
    </row>
    <row r="589">
      <c r="E589" s="2"/>
      <c r="F589" s="2"/>
      <c r="G589" s="3"/>
    </row>
    <row r="590">
      <c r="E590" s="2"/>
      <c r="F590" s="2"/>
      <c r="G590" s="3"/>
    </row>
    <row r="591">
      <c r="E591" s="2"/>
      <c r="F591" s="2"/>
      <c r="G591" s="3"/>
    </row>
    <row r="592">
      <c r="E592" s="2"/>
      <c r="F592" s="2"/>
      <c r="G592" s="3"/>
    </row>
    <row r="593">
      <c r="E593" s="2"/>
      <c r="F593" s="2"/>
      <c r="G593" s="3"/>
    </row>
    <row r="594">
      <c r="E594" s="2"/>
      <c r="F594" s="2"/>
      <c r="G594" s="3"/>
    </row>
    <row r="595">
      <c r="E595" s="2"/>
      <c r="F595" s="2"/>
      <c r="G595" s="3"/>
    </row>
    <row r="596">
      <c r="E596" s="2"/>
      <c r="F596" s="2"/>
      <c r="G596" s="3"/>
    </row>
    <row r="597">
      <c r="E597" s="2"/>
      <c r="F597" s="2"/>
      <c r="G597" s="3"/>
    </row>
    <row r="598">
      <c r="E598" s="2"/>
      <c r="F598" s="2"/>
      <c r="G598" s="3"/>
    </row>
    <row r="599">
      <c r="E599" s="2"/>
      <c r="F599" s="2"/>
      <c r="G599" s="3"/>
    </row>
    <row r="600">
      <c r="E600" s="2"/>
      <c r="F600" s="2"/>
      <c r="G600" s="3"/>
    </row>
    <row r="601">
      <c r="E601" s="2"/>
      <c r="F601" s="2"/>
      <c r="G601" s="3"/>
    </row>
    <row r="602">
      <c r="E602" s="2"/>
      <c r="F602" s="2"/>
      <c r="G602" s="3"/>
    </row>
    <row r="603">
      <c r="E603" s="2"/>
      <c r="F603" s="2"/>
      <c r="G603" s="3"/>
    </row>
    <row r="604">
      <c r="E604" s="2"/>
      <c r="F604" s="2"/>
      <c r="G604" s="3"/>
    </row>
    <row r="605">
      <c r="E605" s="2"/>
      <c r="F605" s="2"/>
      <c r="G605" s="3"/>
    </row>
    <row r="606">
      <c r="E606" s="2"/>
      <c r="F606" s="2"/>
      <c r="G606" s="3"/>
    </row>
    <row r="607">
      <c r="E607" s="2"/>
      <c r="F607" s="2"/>
      <c r="G607" s="3"/>
    </row>
    <row r="608">
      <c r="E608" s="2"/>
      <c r="F608" s="2"/>
      <c r="G608" s="3"/>
    </row>
    <row r="609">
      <c r="E609" s="2"/>
      <c r="F609" s="2"/>
      <c r="G609" s="3"/>
    </row>
    <row r="610">
      <c r="E610" s="2"/>
      <c r="F610" s="2"/>
      <c r="G610" s="3"/>
    </row>
    <row r="611">
      <c r="E611" s="2"/>
      <c r="F611" s="2"/>
      <c r="G611" s="3"/>
    </row>
    <row r="612">
      <c r="E612" s="2"/>
      <c r="F612" s="2"/>
      <c r="G612" s="3"/>
    </row>
    <row r="613">
      <c r="E613" s="2"/>
      <c r="F613" s="2"/>
      <c r="G613" s="3"/>
    </row>
    <row r="614">
      <c r="E614" s="2"/>
      <c r="F614" s="2"/>
      <c r="G614" s="3"/>
    </row>
    <row r="615">
      <c r="E615" s="2"/>
      <c r="F615" s="2"/>
      <c r="G615" s="3"/>
    </row>
    <row r="616">
      <c r="E616" s="2"/>
      <c r="F616" s="2"/>
      <c r="G616" s="3"/>
    </row>
    <row r="617">
      <c r="E617" s="2"/>
      <c r="F617" s="2"/>
      <c r="G617" s="3"/>
    </row>
    <row r="618">
      <c r="E618" s="2"/>
      <c r="F618" s="2"/>
      <c r="G618" s="3"/>
    </row>
    <row r="619">
      <c r="E619" s="2"/>
      <c r="F619" s="2"/>
      <c r="G619" s="3"/>
    </row>
    <row r="620">
      <c r="E620" s="2"/>
      <c r="F620" s="2"/>
      <c r="G620" s="3"/>
    </row>
    <row r="621">
      <c r="E621" s="2"/>
      <c r="F621" s="2"/>
      <c r="G621" s="3"/>
    </row>
    <row r="622">
      <c r="E622" s="2"/>
      <c r="F622" s="2"/>
      <c r="G622" s="3"/>
    </row>
    <row r="623">
      <c r="E623" s="2"/>
      <c r="F623" s="2"/>
      <c r="G623" s="3"/>
    </row>
    <row r="624">
      <c r="E624" s="2"/>
      <c r="F624" s="2"/>
      <c r="G624" s="3"/>
    </row>
    <row r="625">
      <c r="E625" s="2"/>
      <c r="F625" s="2"/>
      <c r="G625" s="3"/>
    </row>
    <row r="626">
      <c r="E626" s="2"/>
      <c r="F626" s="2"/>
      <c r="G626" s="3"/>
    </row>
    <row r="627">
      <c r="E627" s="2"/>
      <c r="F627" s="2"/>
      <c r="G627" s="3"/>
    </row>
    <row r="628">
      <c r="E628" s="2"/>
      <c r="F628" s="2"/>
      <c r="G628" s="3"/>
    </row>
    <row r="629">
      <c r="E629" s="2"/>
      <c r="F629" s="2"/>
      <c r="G629" s="3"/>
    </row>
    <row r="630">
      <c r="E630" s="2"/>
      <c r="F630" s="2"/>
      <c r="G630" s="3"/>
    </row>
    <row r="631">
      <c r="E631" s="2"/>
      <c r="F631" s="2"/>
      <c r="G631" s="3"/>
    </row>
    <row r="632">
      <c r="E632" s="2"/>
      <c r="F632" s="2"/>
      <c r="G632" s="3"/>
    </row>
    <row r="633">
      <c r="E633" s="2"/>
      <c r="F633" s="2"/>
      <c r="G633" s="3"/>
    </row>
    <row r="634">
      <c r="E634" s="2"/>
      <c r="F634" s="2"/>
      <c r="G634" s="3"/>
    </row>
    <row r="635">
      <c r="E635" s="2"/>
      <c r="F635" s="2"/>
      <c r="G635" s="3"/>
    </row>
    <row r="636">
      <c r="E636" s="2"/>
      <c r="F636" s="2"/>
      <c r="G636" s="3"/>
    </row>
    <row r="637">
      <c r="E637" s="2"/>
      <c r="F637" s="2"/>
      <c r="G637" s="3"/>
    </row>
    <row r="638">
      <c r="E638" s="2"/>
      <c r="F638" s="2"/>
      <c r="G638" s="3"/>
    </row>
    <row r="639">
      <c r="E639" s="2"/>
      <c r="F639" s="2"/>
      <c r="G639" s="3"/>
    </row>
    <row r="640">
      <c r="E640" s="2"/>
      <c r="F640" s="2"/>
      <c r="G640" s="3"/>
    </row>
    <row r="641">
      <c r="E641" s="2"/>
      <c r="F641" s="2"/>
      <c r="G641" s="3"/>
    </row>
    <row r="642">
      <c r="E642" s="2"/>
      <c r="F642" s="2"/>
      <c r="G642" s="3"/>
    </row>
    <row r="643">
      <c r="E643" s="2"/>
      <c r="F643" s="2"/>
      <c r="G643" s="3"/>
    </row>
    <row r="644">
      <c r="E644" s="2"/>
      <c r="F644" s="2"/>
      <c r="G644" s="3"/>
    </row>
    <row r="645">
      <c r="E645" s="2"/>
      <c r="F645" s="2"/>
      <c r="G645" s="3"/>
    </row>
    <row r="646">
      <c r="E646" s="2"/>
      <c r="F646" s="2"/>
      <c r="G646" s="3"/>
    </row>
    <row r="647">
      <c r="E647" s="2"/>
      <c r="F647" s="2"/>
      <c r="G647" s="3"/>
    </row>
    <row r="648">
      <c r="E648" s="2"/>
      <c r="F648" s="2"/>
      <c r="G648" s="3"/>
    </row>
    <row r="649">
      <c r="E649" s="2"/>
      <c r="F649" s="2"/>
      <c r="G649" s="3"/>
    </row>
    <row r="650">
      <c r="E650" s="2"/>
      <c r="F650" s="2"/>
      <c r="G650" s="3"/>
    </row>
    <row r="651">
      <c r="E651" s="2"/>
      <c r="F651" s="2"/>
      <c r="G651" s="3"/>
    </row>
    <row r="652">
      <c r="E652" s="2"/>
      <c r="F652" s="2"/>
      <c r="G652" s="3"/>
    </row>
    <row r="653">
      <c r="E653" s="2"/>
      <c r="F653" s="2"/>
      <c r="G653" s="3"/>
    </row>
    <row r="654">
      <c r="E654" s="2"/>
      <c r="F654" s="2"/>
      <c r="G654" s="3"/>
    </row>
    <row r="655">
      <c r="E655" s="2"/>
      <c r="F655" s="2"/>
      <c r="G655" s="3"/>
    </row>
    <row r="656">
      <c r="E656" s="2"/>
      <c r="F656" s="2"/>
      <c r="G656" s="3"/>
    </row>
    <row r="657">
      <c r="E657" s="2"/>
      <c r="F657" s="2"/>
      <c r="G657" s="3"/>
    </row>
    <row r="658">
      <c r="E658" s="2"/>
      <c r="F658" s="2"/>
      <c r="G658" s="3"/>
    </row>
    <row r="659">
      <c r="E659" s="2"/>
      <c r="F659" s="2"/>
      <c r="G659" s="3"/>
    </row>
    <row r="660">
      <c r="E660" s="2"/>
      <c r="F660" s="2"/>
      <c r="G660" s="3"/>
    </row>
    <row r="661">
      <c r="E661" s="2"/>
      <c r="F661" s="2"/>
      <c r="G661" s="3"/>
    </row>
    <row r="662">
      <c r="E662" s="2"/>
      <c r="F662" s="2"/>
      <c r="G662" s="3"/>
    </row>
    <row r="663">
      <c r="E663" s="2"/>
      <c r="F663" s="2"/>
      <c r="G663" s="3"/>
    </row>
    <row r="664">
      <c r="E664" s="2"/>
      <c r="F664" s="2"/>
      <c r="G664" s="3"/>
    </row>
    <row r="665">
      <c r="E665" s="2"/>
      <c r="F665" s="2"/>
      <c r="G665" s="3"/>
    </row>
    <row r="666">
      <c r="E666" s="2"/>
      <c r="F666" s="2"/>
      <c r="G666" s="3"/>
    </row>
    <row r="667">
      <c r="E667" s="2"/>
      <c r="F667" s="2"/>
      <c r="G667" s="3"/>
    </row>
    <row r="668">
      <c r="E668" s="2"/>
      <c r="F668" s="2"/>
      <c r="G668" s="3"/>
    </row>
    <row r="669">
      <c r="E669" s="2"/>
      <c r="F669" s="2"/>
      <c r="G669" s="3"/>
    </row>
    <row r="670">
      <c r="E670" s="2"/>
      <c r="F670" s="2"/>
      <c r="G670" s="3"/>
    </row>
    <row r="671">
      <c r="E671" s="2"/>
      <c r="F671" s="2"/>
      <c r="G671" s="3"/>
    </row>
    <row r="672">
      <c r="E672" s="2"/>
      <c r="F672" s="2"/>
      <c r="G672" s="3"/>
    </row>
    <row r="673">
      <c r="E673" s="2"/>
      <c r="F673" s="2"/>
      <c r="G673" s="3"/>
    </row>
    <row r="674">
      <c r="E674" s="2"/>
      <c r="F674" s="2"/>
      <c r="G674" s="3"/>
    </row>
    <row r="675">
      <c r="E675" s="2"/>
      <c r="F675" s="2"/>
      <c r="G675" s="3"/>
    </row>
    <row r="676">
      <c r="E676" s="2"/>
      <c r="F676" s="2"/>
      <c r="G676" s="3"/>
    </row>
    <row r="677">
      <c r="E677" s="2"/>
      <c r="F677" s="2"/>
      <c r="G677" s="3"/>
    </row>
    <row r="678">
      <c r="E678" s="2"/>
      <c r="F678" s="2"/>
      <c r="G678" s="3"/>
    </row>
    <row r="679">
      <c r="E679" s="2"/>
      <c r="F679" s="2"/>
      <c r="G679" s="3"/>
    </row>
    <row r="680">
      <c r="E680" s="2"/>
      <c r="F680" s="2"/>
      <c r="G680" s="3"/>
    </row>
    <row r="681">
      <c r="E681" s="2"/>
      <c r="F681" s="2"/>
      <c r="G681" s="3"/>
    </row>
    <row r="682">
      <c r="E682" s="2"/>
      <c r="F682" s="2"/>
      <c r="G682" s="3"/>
    </row>
    <row r="683">
      <c r="E683" s="2"/>
      <c r="F683" s="2"/>
      <c r="G683" s="3"/>
    </row>
    <row r="684">
      <c r="E684" s="2"/>
      <c r="F684" s="2"/>
      <c r="G684" s="3"/>
    </row>
    <row r="685">
      <c r="E685" s="2"/>
      <c r="F685" s="2"/>
      <c r="G685" s="3"/>
    </row>
    <row r="686">
      <c r="E686" s="2"/>
      <c r="F686" s="2"/>
      <c r="G686" s="3"/>
    </row>
    <row r="687">
      <c r="E687" s="2"/>
      <c r="F687" s="2"/>
      <c r="G687" s="3"/>
    </row>
    <row r="688">
      <c r="E688" s="2"/>
      <c r="F688" s="2"/>
      <c r="G688" s="3"/>
    </row>
    <row r="689">
      <c r="E689" s="2"/>
      <c r="F689" s="2"/>
      <c r="G689" s="3"/>
    </row>
    <row r="690">
      <c r="E690" s="2"/>
      <c r="F690" s="2"/>
      <c r="G690" s="3"/>
    </row>
    <row r="691">
      <c r="E691" s="2"/>
      <c r="F691" s="2"/>
      <c r="G691" s="3"/>
    </row>
    <row r="692">
      <c r="E692" s="2"/>
      <c r="F692" s="2"/>
      <c r="G692" s="3"/>
    </row>
    <row r="693">
      <c r="E693" s="2"/>
      <c r="F693" s="2"/>
      <c r="G693" s="3"/>
    </row>
    <row r="694">
      <c r="E694" s="2"/>
      <c r="F694" s="2"/>
      <c r="G694" s="3"/>
    </row>
    <row r="695">
      <c r="E695" s="2"/>
      <c r="F695" s="2"/>
      <c r="G695" s="3"/>
    </row>
    <row r="696">
      <c r="E696" s="2"/>
      <c r="F696" s="2"/>
      <c r="G696" s="3"/>
    </row>
    <row r="697">
      <c r="E697" s="2"/>
      <c r="F697" s="2"/>
      <c r="G697" s="3"/>
    </row>
    <row r="698">
      <c r="E698" s="2"/>
      <c r="F698" s="2"/>
      <c r="G698" s="3"/>
    </row>
    <row r="699">
      <c r="E699" s="2"/>
      <c r="F699" s="2"/>
      <c r="G699" s="3"/>
    </row>
    <row r="700">
      <c r="E700" s="2"/>
      <c r="F700" s="2"/>
      <c r="G700" s="3"/>
    </row>
    <row r="701">
      <c r="E701" s="2"/>
      <c r="F701" s="2"/>
      <c r="G701" s="3"/>
    </row>
    <row r="702">
      <c r="E702" s="2"/>
      <c r="F702" s="2"/>
      <c r="G702" s="3"/>
    </row>
    <row r="703">
      <c r="E703" s="2"/>
      <c r="F703" s="2"/>
      <c r="G703" s="3"/>
    </row>
    <row r="704">
      <c r="E704" s="2"/>
      <c r="F704" s="2"/>
      <c r="G704" s="3"/>
    </row>
    <row r="705">
      <c r="E705" s="2"/>
      <c r="F705" s="2"/>
      <c r="G705" s="3"/>
    </row>
    <row r="706">
      <c r="E706" s="2"/>
      <c r="F706" s="2"/>
      <c r="G706" s="3"/>
    </row>
    <row r="707">
      <c r="E707" s="2"/>
      <c r="F707" s="2"/>
      <c r="G707" s="3"/>
    </row>
    <row r="708">
      <c r="E708" s="2"/>
      <c r="F708" s="2"/>
      <c r="G708" s="3"/>
    </row>
    <row r="709">
      <c r="E709" s="2"/>
      <c r="F709" s="2"/>
      <c r="G709" s="3"/>
    </row>
    <row r="710">
      <c r="E710" s="2"/>
      <c r="F710" s="2"/>
      <c r="G710" s="3"/>
    </row>
    <row r="711">
      <c r="E711" s="2"/>
      <c r="F711" s="2"/>
      <c r="G711" s="3"/>
    </row>
    <row r="712">
      <c r="E712" s="2"/>
      <c r="F712" s="2"/>
      <c r="G712" s="3"/>
    </row>
    <row r="713">
      <c r="E713" s="2"/>
      <c r="F713" s="2"/>
      <c r="G713" s="3"/>
    </row>
    <row r="714">
      <c r="E714" s="2"/>
      <c r="F714" s="2"/>
      <c r="G714" s="3"/>
    </row>
    <row r="715">
      <c r="E715" s="2"/>
      <c r="F715" s="2"/>
      <c r="G715" s="3"/>
    </row>
    <row r="716">
      <c r="E716" s="2"/>
      <c r="F716" s="2"/>
      <c r="G716" s="3"/>
    </row>
    <row r="717">
      <c r="E717" s="2"/>
      <c r="F717" s="2"/>
      <c r="G717" s="3"/>
    </row>
    <row r="718">
      <c r="E718" s="2"/>
      <c r="F718" s="2"/>
      <c r="G718" s="3"/>
    </row>
    <row r="719">
      <c r="E719" s="2"/>
      <c r="F719" s="2"/>
      <c r="G719" s="3"/>
    </row>
    <row r="720">
      <c r="E720" s="2"/>
      <c r="F720" s="2"/>
      <c r="G720" s="3"/>
    </row>
    <row r="721">
      <c r="E721" s="2"/>
      <c r="F721" s="2"/>
      <c r="G721" s="3"/>
    </row>
    <row r="722">
      <c r="E722" s="2"/>
      <c r="F722" s="2"/>
      <c r="G722" s="3"/>
    </row>
    <row r="723">
      <c r="E723" s="2"/>
      <c r="F723" s="2"/>
      <c r="G723" s="3"/>
    </row>
    <row r="724">
      <c r="E724" s="2"/>
      <c r="F724" s="2"/>
      <c r="G724" s="3"/>
    </row>
    <row r="725">
      <c r="E725" s="2"/>
      <c r="F725" s="2"/>
      <c r="G725" s="3"/>
    </row>
    <row r="726">
      <c r="E726" s="2"/>
      <c r="F726" s="2"/>
      <c r="G726" s="3"/>
    </row>
    <row r="727">
      <c r="E727" s="2"/>
      <c r="F727" s="2"/>
      <c r="G727" s="3"/>
    </row>
    <row r="728">
      <c r="E728" s="2"/>
      <c r="F728" s="2"/>
      <c r="G728" s="3"/>
    </row>
    <row r="729">
      <c r="E729" s="2"/>
      <c r="F729" s="2"/>
      <c r="G729" s="3"/>
    </row>
    <row r="730">
      <c r="E730" s="2"/>
      <c r="F730" s="2"/>
      <c r="G730" s="3"/>
    </row>
    <row r="731">
      <c r="E731" s="2"/>
      <c r="F731" s="2"/>
      <c r="G731" s="3"/>
    </row>
    <row r="732">
      <c r="E732" s="2"/>
      <c r="F732" s="2"/>
      <c r="G732" s="3"/>
    </row>
    <row r="733">
      <c r="E733" s="2"/>
      <c r="F733" s="2"/>
      <c r="G733" s="3"/>
    </row>
    <row r="734">
      <c r="E734" s="2"/>
      <c r="F734" s="2"/>
      <c r="G734" s="3"/>
    </row>
    <row r="735">
      <c r="E735" s="2"/>
      <c r="F735" s="2"/>
      <c r="G735" s="3"/>
    </row>
    <row r="736">
      <c r="E736" s="2"/>
      <c r="F736" s="2"/>
      <c r="G736" s="3"/>
    </row>
    <row r="737">
      <c r="E737" s="2"/>
      <c r="F737" s="2"/>
      <c r="G737" s="3"/>
    </row>
    <row r="738">
      <c r="E738" s="2"/>
      <c r="F738" s="2"/>
      <c r="G738" s="3"/>
    </row>
    <row r="739">
      <c r="E739" s="2"/>
      <c r="F739" s="2"/>
      <c r="G739" s="3"/>
    </row>
    <row r="740">
      <c r="E740" s="2"/>
      <c r="F740" s="2"/>
      <c r="G740" s="3"/>
    </row>
    <row r="741">
      <c r="E741" s="2"/>
      <c r="F741" s="2"/>
      <c r="G741" s="3"/>
    </row>
    <row r="742">
      <c r="E742" s="2"/>
      <c r="F742" s="2"/>
      <c r="G742" s="3"/>
    </row>
    <row r="743">
      <c r="E743" s="2"/>
      <c r="F743" s="2"/>
      <c r="G743" s="3"/>
    </row>
    <row r="744">
      <c r="E744" s="2"/>
      <c r="F744" s="2"/>
      <c r="G744" s="3"/>
    </row>
    <row r="745">
      <c r="E745" s="2"/>
      <c r="F745" s="2"/>
      <c r="G745" s="3"/>
    </row>
    <row r="746">
      <c r="E746" s="2"/>
      <c r="F746" s="2"/>
      <c r="G746" s="3"/>
    </row>
    <row r="747">
      <c r="E747" s="2"/>
      <c r="F747" s="2"/>
      <c r="G747" s="3"/>
    </row>
    <row r="748">
      <c r="E748" s="2"/>
      <c r="F748" s="2"/>
      <c r="G748" s="3"/>
    </row>
    <row r="749">
      <c r="E749" s="2"/>
      <c r="F749" s="2"/>
      <c r="G749" s="3"/>
    </row>
    <row r="750">
      <c r="E750" s="2"/>
      <c r="F750" s="2"/>
      <c r="G750" s="3"/>
    </row>
    <row r="751">
      <c r="E751" s="2"/>
      <c r="F751" s="2"/>
      <c r="G751" s="3"/>
    </row>
    <row r="752">
      <c r="E752" s="2"/>
      <c r="F752" s="2"/>
      <c r="G752" s="3"/>
    </row>
    <row r="753">
      <c r="E753" s="2"/>
      <c r="F753" s="2"/>
      <c r="G753" s="3"/>
    </row>
    <row r="754">
      <c r="E754" s="2"/>
      <c r="F754" s="2"/>
      <c r="G754" s="3"/>
    </row>
    <row r="755">
      <c r="E755" s="2"/>
      <c r="F755" s="2"/>
      <c r="G755" s="3"/>
    </row>
    <row r="756">
      <c r="E756" s="2"/>
      <c r="F756" s="2"/>
      <c r="G756" s="3"/>
    </row>
    <row r="757">
      <c r="E757" s="2"/>
      <c r="F757" s="2"/>
      <c r="G757" s="3"/>
    </row>
    <row r="758">
      <c r="E758" s="2"/>
      <c r="F758" s="2"/>
      <c r="G758" s="3"/>
    </row>
    <row r="759">
      <c r="E759" s="2"/>
      <c r="F759" s="2"/>
      <c r="G759" s="3"/>
    </row>
    <row r="760">
      <c r="E760" s="2"/>
      <c r="F760" s="2"/>
      <c r="G760" s="3"/>
    </row>
    <row r="761">
      <c r="E761" s="2"/>
      <c r="F761" s="2"/>
      <c r="G761" s="3"/>
    </row>
    <row r="762">
      <c r="E762" s="2"/>
      <c r="F762" s="2"/>
      <c r="G762" s="3"/>
    </row>
    <row r="763">
      <c r="E763" s="2"/>
      <c r="F763" s="2"/>
      <c r="G763" s="3"/>
    </row>
    <row r="764">
      <c r="E764" s="2"/>
      <c r="F764" s="2"/>
      <c r="G764" s="3"/>
    </row>
    <row r="765">
      <c r="E765" s="2"/>
      <c r="F765" s="2"/>
      <c r="G765" s="3"/>
    </row>
    <row r="766">
      <c r="E766" s="2"/>
      <c r="F766" s="2"/>
      <c r="G766" s="3"/>
    </row>
    <row r="767">
      <c r="E767" s="2"/>
      <c r="F767" s="2"/>
      <c r="G767" s="3"/>
    </row>
    <row r="768">
      <c r="E768" s="2"/>
      <c r="F768" s="2"/>
      <c r="G768" s="3"/>
    </row>
    <row r="769">
      <c r="E769" s="2"/>
      <c r="F769" s="2"/>
      <c r="G769" s="3"/>
    </row>
    <row r="770">
      <c r="E770" s="2"/>
      <c r="F770" s="2"/>
      <c r="G770" s="3"/>
    </row>
    <row r="771">
      <c r="E771" s="2"/>
      <c r="F771" s="2"/>
      <c r="G771" s="3"/>
    </row>
    <row r="772">
      <c r="E772" s="2"/>
      <c r="F772" s="2"/>
      <c r="G772" s="3"/>
    </row>
    <row r="773">
      <c r="E773" s="2"/>
      <c r="F773" s="2"/>
      <c r="G773" s="3"/>
    </row>
    <row r="774">
      <c r="E774" s="2"/>
      <c r="F774" s="2"/>
      <c r="G774" s="3"/>
    </row>
    <row r="775">
      <c r="E775" s="2"/>
      <c r="F775" s="2"/>
      <c r="G775" s="3"/>
    </row>
    <row r="776">
      <c r="E776" s="2"/>
      <c r="F776" s="2"/>
      <c r="G776" s="3"/>
    </row>
    <row r="777">
      <c r="E777" s="2"/>
      <c r="F777" s="2"/>
      <c r="G777" s="3"/>
    </row>
    <row r="778">
      <c r="E778" s="2"/>
      <c r="F778" s="2"/>
      <c r="G778" s="3"/>
    </row>
    <row r="779">
      <c r="E779" s="2"/>
      <c r="F779" s="2"/>
      <c r="G779" s="3"/>
    </row>
    <row r="780">
      <c r="E780" s="2"/>
      <c r="F780" s="2"/>
      <c r="G780" s="3"/>
    </row>
    <row r="781">
      <c r="E781" s="2"/>
      <c r="F781" s="2"/>
      <c r="G781" s="3"/>
    </row>
    <row r="782">
      <c r="E782" s="2"/>
      <c r="F782" s="2"/>
      <c r="G782" s="3"/>
    </row>
    <row r="783">
      <c r="E783" s="2"/>
      <c r="F783" s="2"/>
      <c r="G783" s="3"/>
    </row>
    <row r="784">
      <c r="E784" s="2"/>
      <c r="F784" s="2"/>
      <c r="G784" s="3"/>
    </row>
    <row r="785">
      <c r="E785" s="2"/>
      <c r="F785" s="2"/>
      <c r="G785" s="3"/>
    </row>
    <row r="786">
      <c r="E786" s="2"/>
      <c r="F786" s="2"/>
      <c r="G786" s="3"/>
    </row>
    <row r="787">
      <c r="E787" s="2"/>
      <c r="F787" s="2"/>
      <c r="G787" s="3"/>
    </row>
    <row r="788">
      <c r="E788" s="2"/>
      <c r="F788" s="2"/>
      <c r="G788" s="3"/>
    </row>
    <row r="789">
      <c r="E789" s="2"/>
      <c r="F789" s="2"/>
      <c r="G789" s="3"/>
    </row>
    <row r="790">
      <c r="E790" s="2"/>
      <c r="F790" s="2"/>
      <c r="G790" s="3"/>
    </row>
    <row r="791">
      <c r="E791" s="2"/>
      <c r="F791" s="2"/>
      <c r="G791" s="3"/>
    </row>
    <row r="792">
      <c r="E792" s="2"/>
      <c r="F792" s="2"/>
      <c r="G792" s="3"/>
    </row>
    <row r="793">
      <c r="E793" s="2"/>
      <c r="F793" s="2"/>
      <c r="G793" s="3"/>
    </row>
    <row r="794">
      <c r="E794" s="2"/>
      <c r="F794" s="2"/>
      <c r="G794" s="3"/>
    </row>
    <row r="795">
      <c r="E795" s="2"/>
      <c r="F795" s="2"/>
      <c r="G795" s="3"/>
    </row>
    <row r="796">
      <c r="E796" s="2"/>
      <c r="F796" s="2"/>
      <c r="G796" s="3"/>
    </row>
    <row r="797">
      <c r="E797" s="2"/>
      <c r="F797" s="2"/>
      <c r="G797" s="3"/>
    </row>
    <row r="798">
      <c r="E798" s="2"/>
      <c r="F798" s="2"/>
      <c r="G798" s="3"/>
    </row>
    <row r="799">
      <c r="E799" s="2"/>
      <c r="F799" s="2"/>
      <c r="G799" s="3"/>
    </row>
    <row r="800">
      <c r="E800" s="2"/>
      <c r="F800" s="2"/>
      <c r="G800" s="3"/>
    </row>
    <row r="801">
      <c r="E801" s="2"/>
      <c r="F801" s="2"/>
      <c r="G801" s="3"/>
    </row>
    <row r="802">
      <c r="E802" s="2"/>
      <c r="F802" s="2"/>
      <c r="G802" s="3"/>
    </row>
    <row r="803">
      <c r="E803" s="2"/>
      <c r="F803" s="2"/>
      <c r="G803" s="3"/>
    </row>
    <row r="804">
      <c r="E804" s="2"/>
      <c r="F804" s="2"/>
      <c r="G804" s="3"/>
    </row>
    <row r="805">
      <c r="E805" s="2"/>
      <c r="F805" s="2"/>
      <c r="G805" s="3"/>
    </row>
    <row r="806">
      <c r="E806" s="2"/>
      <c r="F806" s="2"/>
      <c r="G806" s="3"/>
    </row>
    <row r="807">
      <c r="E807" s="2"/>
      <c r="F807" s="2"/>
      <c r="G807" s="3"/>
    </row>
    <row r="808">
      <c r="E808" s="2"/>
      <c r="F808" s="2"/>
      <c r="G808" s="3"/>
    </row>
    <row r="809">
      <c r="E809" s="2"/>
      <c r="F809" s="2"/>
      <c r="G809" s="3"/>
    </row>
    <row r="810">
      <c r="E810" s="2"/>
      <c r="F810" s="2"/>
      <c r="G810" s="3"/>
    </row>
    <row r="811">
      <c r="E811" s="2"/>
      <c r="F811" s="2"/>
      <c r="G811" s="3"/>
    </row>
    <row r="812">
      <c r="E812" s="2"/>
      <c r="F812" s="2"/>
      <c r="G812" s="3"/>
    </row>
    <row r="813">
      <c r="E813" s="2"/>
      <c r="F813" s="2"/>
      <c r="G813" s="3"/>
    </row>
    <row r="814">
      <c r="E814" s="2"/>
      <c r="F814" s="2"/>
      <c r="G814" s="3"/>
    </row>
    <row r="815">
      <c r="E815" s="2"/>
      <c r="F815" s="2"/>
      <c r="G815" s="3"/>
    </row>
    <row r="816">
      <c r="E816" s="2"/>
      <c r="F816" s="2"/>
      <c r="G816" s="3"/>
    </row>
    <row r="817">
      <c r="E817" s="2"/>
      <c r="F817" s="2"/>
      <c r="G817" s="3"/>
    </row>
    <row r="818">
      <c r="E818" s="2"/>
      <c r="F818" s="2"/>
      <c r="G818" s="3"/>
    </row>
    <row r="819">
      <c r="E819" s="2"/>
      <c r="F819" s="2"/>
      <c r="G819" s="3"/>
    </row>
    <row r="820">
      <c r="E820" s="2"/>
      <c r="F820" s="2"/>
      <c r="G820" s="3"/>
    </row>
    <row r="821">
      <c r="E821" s="2"/>
      <c r="F821" s="2"/>
      <c r="G821" s="3"/>
    </row>
    <row r="822">
      <c r="E822" s="2"/>
      <c r="F822" s="2"/>
      <c r="G822" s="3"/>
    </row>
    <row r="823">
      <c r="E823" s="2"/>
      <c r="F823" s="2"/>
      <c r="G823" s="3"/>
    </row>
    <row r="824">
      <c r="E824" s="2"/>
      <c r="F824" s="2"/>
      <c r="G824" s="3"/>
    </row>
    <row r="825">
      <c r="E825" s="2"/>
      <c r="F825" s="2"/>
      <c r="G825" s="3"/>
    </row>
    <row r="826">
      <c r="E826" s="2"/>
      <c r="F826" s="2"/>
      <c r="G826" s="3"/>
    </row>
    <row r="827">
      <c r="E827" s="2"/>
      <c r="F827" s="2"/>
      <c r="G827" s="3"/>
    </row>
    <row r="828">
      <c r="E828" s="2"/>
      <c r="F828" s="2"/>
      <c r="G828" s="3"/>
    </row>
    <row r="829">
      <c r="E829" s="2"/>
      <c r="F829" s="2"/>
      <c r="G829" s="3"/>
    </row>
    <row r="830">
      <c r="E830" s="2"/>
      <c r="F830" s="2"/>
      <c r="G830" s="3"/>
    </row>
    <row r="831">
      <c r="E831" s="2"/>
      <c r="F831" s="2"/>
      <c r="G831" s="3"/>
    </row>
    <row r="832">
      <c r="E832" s="2"/>
      <c r="F832" s="2"/>
      <c r="G832" s="3"/>
    </row>
    <row r="833">
      <c r="E833" s="2"/>
      <c r="F833" s="2"/>
      <c r="G833" s="3"/>
    </row>
    <row r="834">
      <c r="E834" s="2"/>
      <c r="F834" s="2"/>
      <c r="G834" s="3"/>
    </row>
    <row r="835">
      <c r="E835" s="2"/>
      <c r="F835" s="2"/>
      <c r="G835" s="3"/>
    </row>
    <row r="836">
      <c r="E836" s="2"/>
      <c r="F836" s="2"/>
      <c r="G836" s="3"/>
    </row>
    <row r="837">
      <c r="E837" s="2"/>
      <c r="F837" s="2"/>
      <c r="G837" s="3"/>
    </row>
    <row r="838">
      <c r="E838" s="2"/>
      <c r="F838" s="2"/>
      <c r="G838" s="3"/>
    </row>
    <row r="839">
      <c r="E839" s="2"/>
      <c r="F839" s="2"/>
      <c r="G839" s="3"/>
    </row>
    <row r="840">
      <c r="E840" s="2"/>
      <c r="F840" s="2"/>
      <c r="G840" s="3"/>
    </row>
    <row r="841">
      <c r="E841" s="2"/>
      <c r="F841" s="2"/>
      <c r="G841" s="3"/>
    </row>
    <row r="842">
      <c r="E842" s="2"/>
      <c r="F842" s="2"/>
      <c r="G842" s="3"/>
    </row>
    <row r="843">
      <c r="E843" s="2"/>
      <c r="F843" s="2"/>
      <c r="G843" s="3"/>
    </row>
    <row r="844">
      <c r="E844" s="2"/>
      <c r="F844" s="2"/>
      <c r="G844" s="3"/>
    </row>
    <row r="845">
      <c r="E845" s="2"/>
      <c r="F845" s="2"/>
      <c r="G845" s="3"/>
    </row>
    <row r="846">
      <c r="E846" s="2"/>
      <c r="F846" s="2"/>
      <c r="G846" s="3"/>
    </row>
    <row r="847">
      <c r="E847" s="2"/>
      <c r="F847" s="2"/>
      <c r="G847" s="3"/>
    </row>
    <row r="848">
      <c r="E848" s="2"/>
      <c r="F848" s="2"/>
      <c r="G848" s="3"/>
    </row>
    <row r="849">
      <c r="E849" s="2"/>
      <c r="F849" s="2"/>
      <c r="G849" s="3"/>
    </row>
    <row r="850">
      <c r="E850" s="2"/>
      <c r="F850" s="2"/>
      <c r="G850" s="3"/>
    </row>
    <row r="851">
      <c r="E851" s="2"/>
      <c r="F851" s="2"/>
      <c r="G851" s="3"/>
    </row>
    <row r="852">
      <c r="E852" s="2"/>
      <c r="F852" s="2"/>
      <c r="G852" s="3"/>
    </row>
    <row r="853">
      <c r="E853" s="2"/>
      <c r="F853" s="2"/>
      <c r="G853" s="3"/>
    </row>
    <row r="854">
      <c r="E854" s="2"/>
      <c r="F854" s="2"/>
      <c r="G854" s="3"/>
    </row>
    <row r="855">
      <c r="E855" s="2"/>
      <c r="F855" s="2"/>
      <c r="G855" s="3"/>
    </row>
    <row r="856">
      <c r="E856" s="2"/>
      <c r="F856" s="2"/>
      <c r="G856" s="3"/>
    </row>
    <row r="857">
      <c r="E857" s="2"/>
      <c r="F857" s="2"/>
      <c r="G857" s="3"/>
    </row>
    <row r="858">
      <c r="E858" s="2"/>
      <c r="F858" s="2"/>
      <c r="G858" s="3"/>
    </row>
    <row r="859">
      <c r="E859" s="2"/>
      <c r="F859" s="2"/>
      <c r="G859" s="3"/>
    </row>
    <row r="860">
      <c r="E860" s="2"/>
      <c r="F860" s="2"/>
      <c r="G860" s="3"/>
    </row>
    <row r="861">
      <c r="E861" s="2"/>
      <c r="F861" s="2"/>
      <c r="G861" s="3"/>
    </row>
    <row r="862">
      <c r="E862" s="2"/>
      <c r="F862" s="2"/>
      <c r="G862" s="3"/>
    </row>
    <row r="863">
      <c r="E863" s="2"/>
      <c r="F863" s="2"/>
      <c r="G863" s="3"/>
    </row>
    <row r="864">
      <c r="E864" s="2"/>
      <c r="F864" s="2"/>
      <c r="G864" s="3"/>
    </row>
    <row r="865">
      <c r="E865" s="2"/>
      <c r="F865" s="2"/>
      <c r="G865" s="3"/>
    </row>
    <row r="866">
      <c r="E866" s="2"/>
      <c r="F866" s="2"/>
      <c r="G866" s="3"/>
    </row>
    <row r="867">
      <c r="E867" s="2"/>
      <c r="F867" s="2"/>
      <c r="G867" s="3"/>
    </row>
    <row r="868">
      <c r="E868" s="2"/>
      <c r="F868" s="2"/>
      <c r="G868" s="3"/>
    </row>
    <row r="869">
      <c r="E869" s="2"/>
      <c r="F869" s="2"/>
      <c r="G869" s="3"/>
    </row>
    <row r="870">
      <c r="E870" s="2"/>
      <c r="F870" s="2"/>
      <c r="G870" s="3"/>
    </row>
    <row r="871">
      <c r="E871" s="2"/>
      <c r="F871" s="2"/>
      <c r="G871" s="3"/>
    </row>
    <row r="872">
      <c r="E872" s="2"/>
      <c r="F872" s="2"/>
      <c r="G872" s="3"/>
    </row>
    <row r="873">
      <c r="E873" s="2"/>
      <c r="F873" s="2"/>
      <c r="G873" s="3"/>
    </row>
    <row r="874">
      <c r="E874" s="2"/>
      <c r="F874" s="2"/>
      <c r="G874" s="3"/>
    </row>
    <row r="875">
      <c r="E875" s="2"/>
      <c r="F875" s="2"/>
      <c r="G875" s="3"/>
    </row>
    <row r="876">
      <c r="E876" s="2"/>
      <c r="F876" s="2"/>
      <c r="G876" s="3"/>
    </row>
    <row r="877">
      <c r="E877" s="2"/>
      <c r="F877" s="2"/>
      <c r="G877" s="3"/>
    </row>
    <row r="878">
      <c r="E878" s="2"/>
      <c r="F878" s="2"/>
      <c r="G878" s="3"/>
    </row>
    <row r="879">
      <c r="E879" s="2"/>
      <c r="F879" s="2"/>
      <c r="G879" s="3"/>
    </row>
    <row r="880">
      <c r="E880" s="2"/>
      <c r="F880" s="2"/>
      <c r="G880" s="3"/>
    </row>
    <row r="881">
      <c r="E881" s="2"/>
      <c r="F881" s="2"/>
      <c r="G881" s="3"/>
    </row>
    <row r="882">
      <c r="E882" s="2"/>
      <c r="F882" s="2"/>
      <c r="G882" s="3"/>
    </row>
    <row r="883">
      <c r="E883" s="2"/>
      <c r="F883" s="2"/>
      <c r="G883" s="3"/>
    </row>
    <row r="884">
      <c r="E884" s="2"/>
      <c r="F884" s="2"/>
      <c r="G884" s="3"/>
    </row>
    <row r="885">
      <c r="E885" s="2"/>
      <c r="F885" s="2"/>
      <c r="G885" s="3"/>
    </row>
    <row r="886">
      <c r="E886" s="2"/>
      <c r="F886" s="2"/>
      <c r="G886" s="3"/>
    </row>
    <row r="887">
      <c r="E887" s="2"/>
      <c r="F887" s="2"/>
      <c r="G887" s="3"/>
    </row>
    <row r="888">
      <c r="E888" s="2"/>
      <c r="F888" s="2"/>
      <c r="G888" s="3"/>
    </row>
    <row r="889">
      <c r="E889" s="2"/>
      <c r="F889" s="2"/>
      <c r="G889" s="3"/>
    </row>
    <row r="890">
      <c r="E890" s="2"/>
      <c r="F890" s="2"/>
      <c r="G890" s="3"/>
    </row>
    <row r="891">
      <c r="E891" s="2"/>
      <c r="F891" s="2"/>
      <c r="G891" s="3"/>
    </row>
    <row r="892">
      <c r="E892" s="2"/>
      <c r="F892" s="2"/>
      <c r="G892" s="3"/>
    </row>
    <row r="893">
      <c r="E893" s="2"/>
      <c r="F893" s="2"/>
      <c r="G893" s="3"/>
    </row>
    <row r="894">
      <c r="E894" s="2"/>
      <c r="F894" s="2"/>
      <c r="G894" s="3"/>
    </row>
    <row r="895">
      <c r="E895" s="2"/>
      <c r="F895" s="2"/>
      <c r="G895" s="3"/>
    </row>
    <row r="896">
      <c r="E896" s="2"/>
      <c r="F896" s="2"/>
      <c r="G896" s="3"/>
    </row>
    <row r="897">
      <c r="E897" s="2"/>
      <c r="F897" s="2"/>
      <c r="G897" s="3"/>
    </row>
    <row r="898">
      <c r="E898" s="2"/>
      <c r="F898" s="2"/>
      <c r="G898" s="3"/>
    </row>
    <row r="899">
      <c r="E899" s="2"/>
      <c r="F899" s="2"/>
      <c r="G899" s="3"/>
    </row>
    <row r="900">
      <c r="E900" s="2"/>
      <c r="F900" s="2"/>
      <c r="G900" s="3"/>
    </row>
    <row r="901">
      <c r="E901" s="2"/>
      <c r="F901" s="2"/>
      <c r="G901" s="3"/>
    </row>
    <row r="902">
      <c r="E902" s="2"/>
      <c r="F902" s="2"/>
      <c r="G902" s="3"/>
    </row>
    <row r="903">
      <c r="E903" s="2"/>
      <c r="F903" s="2"/>
      <c r="G903" s="3"/>
    </row>
    <row r="904">
      <c r="E904" s="2"/>
      <c r="F904" s="2"/>
      <c r="G904" s="3"/>
    </row>
    <row r="905">
      <c r="E905" s="2"/>
      <c r="F905" s="2"/>
      <c r="G905" s="3"/>
    </row>
    <row r="906">
      <c r="E906" s="2"/>
      <c r="F906" s="2"/>
      <c r="G906" s="3"/>
    </row>
    <row r="907">
      <c r="E907" s="2"/>
      <c r="F907" s="2"/>
      <c r="G907" s="3"/>
    </row>
    <row r="908">
      <c r="E908" s="2"/>
      <c r="F908" s="2"/>
      <c r="G908" s="3"/>
    </row>
    <row r="909">
      <c r="E909" s="2"/>
      <c r="F909" s="2"/>
      <c r="G909" s="3"/>
    </row>
    <row r="910">
      <c r="E910" s="2"/>
      <c r="F910" s="2"/>
      <c r="G910" s="3"/>
    </row>
    <row r="911">
      <c r="E911" s="2"/>
      <c r="F911" s="2"/>
      <c r="G911" s="3"/>
    </row>
    <row r="912">
      <c r="E912" s="2"/>
      <c r="F912" s="2"/>
      <c r="G912" s="3"/>
    </row>
    <row r="913">
      <c r="E913" s="2"/>
      <c r="F913" s="2"/>
      <c r="G913" s="3"/>
    </row>
    <row r="914">
      <c r="E914" s="2"/>
      <c r="F914" s="2"/>
      <c r="G914" s="3"/>
    </row>
    <row r="915">
      <c r="E915" s="2"/>
      <c r="F915" s="2"/>
      <c r="G915" s="3"/>
    </row>
    <row r="916">
      <c r="E916" s="2"/>
      <c r="F916" s="2"/>
      <c r="G916" s="3"/>
    </row>
    <row r="917">
      <c r="E917" s="2"/>
      <c r="F917" s="2"/>
      <c r="G917" s="3"/>
    </row>
    <row r="918">
      <c r="E918" s="2"/>
      <c r="F918" s="2"/>
      <c r="G918" s="3"/>
    </row>
    <row r="919">
      <c r="E919" s="2"/>
      <c r="F919" s="2"/>
      <c r="G919" s="3"/>
    </row>
    <row r="920">
      <c r="E920" s="2"/>
      <c r="F920" s="2"/>
      <c r="G920" s="3"/>
    </row>
    <row r="921">
      <c r="E921" s="2"/>
      <c r="F921" s="2"/>
      <c r="G921" s="3"/>
    </row>
    <row r="922">
      <c r="E922" s="2"/>
      <c r="F922" s="2"/>
      <c r="G922" s="3"/>
    </row>
    <row r="923">
      <c r="E923" s="2"/>
      <c r="F923" s="2"/>
      <c r="G923" s="3"/>
    </row>
    <row r="924">
      <c r="E924" s="2"/>
      <c r="F924" s="2"/>
      <c r="G924" s="3"/>
    </row>
    <row r="925">
      <c r="E925" s="2"/>
      <c r="F925" s="2"/>
      <c r="G925" s="3"/>
    </row>
    <row r="926">
      <c r="E926" s="2"/>
      <c r="F926" s="2"/>
      <c r="G926" s="3"/>
    </row>
    <row r="927">
      <c r="E927" s="2"/>
      <c r="F927" s="2"/>
      <c r="G927" s="3"/>
    </row>
    <row r="928">
      <c r="E928" s="2"/>
      <c r="F928" s="2"/>
      <c r="G928" s="3"/>
    </row>
    <row r="929">
      <c r="E929" s="2"/>
      <c r="F929" s="2"/>
      <c r="G929" s="3"/>
    </row>
    <row r="930">
      <c r="E930" s="2"/>
      <c r="F930" s="2"/>
      <c r="G930" s="3"/>
    </row>
    <row r="931">
      <c r="E931" s="2"/>
      <c r="F931" s="2"/>
      <c r="G931" s="3"/>
    </row>
    <row r="932">
      <c r="E932" s="2"/>
      <c r="F932" s="2"/>
      <c r="G932" s="3"/>
    </row>
    <row r="933">
      <c r="E933" s="2"/>
      <c r="F933" s="2"/>
      <c r="G933" s="3"/>
    </row>
    <row r="934">
      <c r="E934" s="2"/>
      <c r="F934" s="2"/>
      <c r="G934" s="3"/>
    </row>
    <row r="935">
      <c r="E935" s="2"/>
      <c r="F935" s="2"/>
      <c r="G935" s="3"/>
    </row>
    <row r="936">
      <c r="E936" s="2"/>
      <c r="F936" s="2"/>
      <c r="G936" s="3"/>
    </row>
    <row r="937">
      <c r="E937" s="2"/>
      <c r="F937" s="2"/>
      <c r="G937" s="3"/>
    </row>
    <row r="938">
      <c r="E938" s="2"/>
      <c r="F938" s="2"/>
      <c r="G938" s="3"/>
    </row>
    <row r="939">
      <c r="E939" s="2"/>
      <c r="F939" s="2"/>
      <c r="G939" s="3"/>
    </row>
    <row r="940">
      <c r="E940" s="2"/>
      <c r="F940" s="2"/>
      <c r="G940" s="3"/>
    </row>
    <row r="941">
      <c r="E941" s="2"/>
      <c r="F941" s="2"/>
      <c r="G941" s="3"/>
    </row>
    <row r="942">
      <c r="E942" s="2"/>
      <c r="F942" s="2"/>
      <c r="G942" s="3"/>
    </row>
    <row r="943">
      <c r="E943" s="2"/>
      <c r="F943" s="2"/>
      <c r="G943" s="3"/>
    </row>
    <row r="944">
      <c r="E944" s="2"/>
      <c r="F944" s="2"/>
      <c r="G944" s="3"/>
    </row>
    <row r="945">
      <c r="E945" s="2"/>
      <c r="F945" s="2"/>
      <c r="G945" s="3"/>
    </row>
    <row r="946">
      <c r="E946" s="2"/>
      <c r="F946" s="2"/>
      <c r="G946" s="3"/>
    </row>
    <row r="947">
      <c r="E947" s="2"/>
      <c r="F947" s="2"/>
      <c r="G947" s="3"/>
    </row>
    <row r="948">
      <c r="E948" s="2"/>
      <c r="F948" s="2"/>
      <c r="G948" s="3"/>
    </row>
    <row r="949">
      <c r="E949" s="2"/>
      <c r="F949" s="2"/>
      <c r="G949" s="3"/>
    </row>
    <row r="950">
      <c r="E950" s="2"/>
      <c r="F950" s="2"/>
      <c r="G950" s="3"/>
    </row>
    <row r="951">
      <c r="E951" s="2"/>
      <c r="F951" s="2"/>
      <c r="G951" s="3"/>
    </row>
    <row r="952">
      <c r="E952" s="2"/>
      <c r="F952" s="2"/>
      <c r="G952" s="3"/>
    </row>
    <row r="953">
      <c r="E953" s="2"/>
      <c r="F953" s="2"/>
      <c r="G953" s="3"/>
    </row>
    <row r="954">
      <c r="E954" s="2"/>
      <c r="F954" s="2"/>
      <c r="G954" s="3"/>
    </row>
    <row r="955">
      <c r="E955" s="2"/>
      <c r="F955" s="2"/>
      <c r="G955" s="3"/>
    </row>
    <row r="956">
      <c r="E956" s="2"/>
      <c r="F956" s="2"/>
      <c r="G956" s="3"/>
    </row>
    <row r="957">
      <c r="E957" s="2"/>
      <c r="F957" s="2"/>
      <c r="G957" s="3"/>
    </row>
    <row r="958">
      <c r="E958" s="2"/>
      <c r="F958" s="2"/>
      <c r="G958" s="3"/>
    </row>
    <row r="959">
      <c r="E959" s="2"/>
      <c r="F959" s="2"/>
      <c r="G959" s="3"/>
    </row>
    <row r="960">
      <c r="E960" s="2"/>
      <c r="F960" s="2"/>
      <c r="G960" s="3"/>
    </row>
    <row r="961">
      <c r="E961" s="2"/>
      <c r="F961" s="2"/>
      <c r="G961" s="3"/>
    </row>
    <row r="962">
      <c r="E962" s="2"/>
      <c r="F962" s="2"/>
      <c r="G962" s="3"/>
    </row>
    <row r="963">
      <c r="E963" s="2"/>
      <c r="F963" s="2"/>
      <c r="G963" s="3"/>
    </row>
    <row r="964">
      <c r="E964" s="2"/>
      <c r="F964" s="2"/>
      <c r="G964" s="3"/>
    </row>
    <row r="965">
      <c r="E965" s="2"/>
      <c r="F965" s="2"/>
      <c r="G965" s="3"/>
    </row>
    <row r="966">
      <c r="E966" s="2"/>
      <c r="F966" s="2"/>
      <c r="G966" s="3"/>
    </row>
    <row r="967">
      <c r="E967" s="2"/>
      <c r="F967" s="2"/>
      <c r="G967" s="3"/>
    </row>
    <row r="968">
      <c r="E968" s="2"/>
      <c r="F968" s="2"/>
      <c r="G968" s="3"/>
    </row>
    <row r="969">
      <c r="E969" s="2"/>
      <c r="F969" s="2"/>
      <c r="G969" s="3"/>
    </row>
    <row r="970">
      <c r="E970" s="2"/>
      <c r="F970" s="2"/>
      <c r="G970" s="3"/>
    </row>
    <row r="971">
      <c r="E971" s="2"/>
      <c r="F971" s="2"/>
      <c r="G971" s="3"/>
    </row>
    <row r="972">
      <c r="E972" s="2"/>
      <c r="F972" s="2"/>
      <c r="G972" s="3"/>
    </row>
    <row r="973">
      <c r="E973" s="2"/>
      <c r="F973" s="2"/>
      <c r="G973" s="3"/>
    </row>
    <row r="974">
      <c r="E974" s="2"/>
      <c r="F974" s="2"/>
      <c r="G974" s="3"/>
    </row>
    <row r="975">
      <c r="E975" s="2"/>
      <c r="F975" s="2"/>
      <c r="G975" s="3"/>
    </row>
    <row r="976">
      <c r="E976" s="2"/>
      <c r="F976" s="2"/>
      <c r="G976" s="3"/>
    </row>
    <row r="977">
      <c r="E977" s="2"/>
      <c r="F977" s="2"/>
      <c r="G977" s="3"/>
    </row>
    <row r="978">
      <c r="E978" s="2"/>
      <c r="F978" s="2"/>
      <c r="G978" s="3"/>
    </row>
    <row r="979">
      <c r="E979" s="2"/>
      <c r="F979" s="2"/>
      <c r="G979" s="3"/>
    </row>
    <row r="980">
      <c r="E980" s="2"/>
      <c r="F980" s="2"/>
      <c r="G980" s="3"/>
    </row>
    <row r="981">
      <c r="E981" s="2"/>
      <c r="F981" s="2"/>
      <c r="G981" s="3"/>
    </row>
    <row r="982">
      <c r="E982" s="2"/>
      <c r="F982" s="2"/>
      <c r="G982" s="3"/>
    </row>
    <row r="983">
      <c r="E983" s="2"/>
      <c r="F983" s="2"/>
      <c r="G983" s="3"/>
    </row>
    <row r="984">
      <c r="E984" s="2"/>
      <c r="F984" s="2"/>
      <c r="G984" s="3"/>
    </row>
    <row r="985">
      <c r="E985" s="2"/>
      <c r="F985" s="2"/>
      <c r="G985" s="3"/>
    </row>
    <row r="986">
      <c r="E986" s="2"/>
      <c r="F986" s="2"/>
      <c r="G986" s="3"/>
    </row>
    <row r="987">
      <c r="E987" s="2"/>
      <c r="F987" s="2"/>
      <c r="G987" s="3"/>
    </row>
    <row r="988">
      <c r="E988" s="2"/>
      <c r="F988" s="2"/>
      <c r="G988" s="3"/>
    </row>
    <row r="989">
      <c r="E989" s="2"/>
      <c r="F989" s="2"/>
      <c r="G989" s="3"/>
    </row>
    <row r="990">
      <c r="E990" s="2"/>
      <c r="F990" s="2"/>
      <c r="G990" s="3"/>
    </row>
    <row r="991">
      <c r="E991" s="2"/>
      <c r="F991" s="2"/>
      <c r="G991" s="3"/>
    </row>
    <row r="992">
      <c r="E992" s="2"/>
      <c r="F992" s="2"/>
      <c r="G992" s="3"/>
    </row>
    <row r="993">
      <c r="E993" s="2"/>
      <c r="F993" s="2"/>
      <c r="G993" s="3"/>
    </row>
    <row r="994">
      <c r="E994" s="2"/>
      <c r="F994" s="2"/>
      <c r="G994" s="3"/>
    </row>
    <row r="995">
      <c r="E995" s="2"/>
      <c r="F995" s="2"/>
      <c r="G995" s="3"/>
    </row>
    <row r="996">
      <c r="E996" s="2"/>
      <c r="F996" s="2"/>
      <c r="G996" s="3"/>
    </row>
    <row r="997">
      <c r="E997" s="2"/>
      <c r="F997" s="2"/>
      <c r="G997" s="3"/>
    </row>
    <row r="998">
      <c r="E998" s="2"/>
      <c r="F998" s="2"/>
      <c r="G998" s="3"/>
    </row>
    <row r="999">
      <c r="E999" s="2"/>
      <c r="F999" s="2"/>
      <c r="G999" s="3"/>
    </row>
    <row r="1000">
      <c r="E1000" s="2"/>
      <c r="F1000" s="2"/>
      <c r="G1000" s="3"/>
    </row>
  </sheetData>
  <dataValidations>
    <dataValidation type="list" allowBlank="1" sqref="G2:G1000">
      <formula1>Settings!$F$2:$F1000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20.88"/>
    <col customWidth="1" min="3" max="3" width="18.75"/>
    <col customWidth="1" min="4" max="4" width="19.25"/>
    <col customWidth="1" min="5" max="5" width="14.63"/>
    <col customWidth="1" min="6" max="6" width="19.38"/>
    <col customWidth="1" min="7" max="7" width="15.5"/>
    <col customWidth="1" min="8" max="8" width="14.38"/>
    <col customWidth="1" min="9" max="9" width="13.38"/>
  </cols>
  <sheetData>
    <row r="1">
      <c r="A1" s="1" t="s">
        <v>174</v>
      </c>
      <c r="B1" s="1" t="s">
        <v>175</v>
      </c>
      <c r="C1" s="1" t="s">
        <v>13</v>
      </c>
      <c r="D1" s="1" t="s">
        <v>176</v>
      </c>
      <c r="E1" s="1" t="s">
        <v>177</v>
      </c>
      <c r="F1" s="1" t="s">
        <v>178</v>
      </c>
      <c r="G1" s="1" t="s">
        <v>17</v>
      </c>
      <c r="H1" s="1" t="s">
        <v>158</v>
      </c>
      <c r="I1" s="1" t="s">
        <v>19</v>
      </c>
    </row>
    <row r="2">
      <c r="G2" s="3"/>
      <c r="H2" s="3"/>
    </row>
    <row r="3">
      <c r="G3" s="3"/>
      <c r="H3" s="3"/>
    </row>
    <row r="4">
      <c r="G4" s="3"/>
      <c r="H4" s="3"/>
    </row>
    <row r="5">
      <c r="G5" s="3"/>
      <c r="H5" s="3"/>
    </row>
    <row r="6">
      <c r="G6" s="3"/>
      <c r="H6" s="3"/>
    </row>
    <row r="7">
      <c r="G7" s="3"/>
      <c r="H7" s="3"/>
    </row>
    <row r="8">
      <c r="G8" s="3"/>
      <c r="H8" s="3"/>
    </row>
    <row r="9">
      <c r="G9" s="3"/>
      <c r="H9" s="3"/>
    </row>
    <row r="10">
      <c r="G10" s="3"/>
      <c r="H10" s="3"/>
    </row>
    <row r="11">
      <c r="G11" s="3"/>
      <c r="H11" s="3"/>
    </row>
    <row r="12">
      <c r="G12" s="3"/>
      <c r="H12" s="3"/>
    </row>
    <row r="13">
      <c r="G13" s="3"/>
      <c r="H13" s="3"/>
    </row>
    <row r="14">
      <c r="G14" s="3"/>
      <c r="H14" s="3"/>
    </row>
    <row r="15">
      <c r="G15" s="3"/>
      <c r="H15" s="3"/>
    </row>
    <row r="16">
      <c r="G16" s="3"/>
      <c r="H16" s="3"/>
    </row>
    <row r="17">
      <c r="G17" s="3"/>
      <c r="H17" s="3"/>
    </row>
    <row r="18">
      <c r="G18" s="3"/>
      <c r="H18" s="3"/>
    </row>
    <row r="19">
      <c r="G19" s="3"/>
      <c r="H19" s="3"/>
    </row>
    <row r="20">
      <c r="G20" s="3"/>
      <c r="H20" s="3"/>
    </row>
    <row r="21">
      <c r="G21" s="3"/>
      <c r="H21" s="3"/>
    </row>
    <row r="22">
      <c r="G22" s="3"/>
      <c r="H22" s="3"/>
    </row>
    <row r="23">
      <c r="G23" s="3"/>
      <c r="H23" s="3"/>
    </row>
    <row r="24">
      <c r="G24" s="3"/>
      <c r="H24" s="3"/>
    </row>
    <row r="25">
      <c r="G25" s="3"/>
      <c r="H25" s="3"/>
    </row>
    <row r="26">
      <c r="G26" s="3"/>
      <c r="H26" s="3"/>
    </row>
    <row r="27">
      <c r="G27" s="3"/>
      <c r="H27" s="3"/>
    </row>
    <row r="28">
      <c r="G28" s="3"/>
      <c r="H28" s="3"/>
    </row>
    <row r="29">
      <c r="G29" s="3"/>
      <c r="H29" s="3"/>
    </row>
    <row r="30">
      <c r="G30" s="3"/>
      <c r="H30" s="3"/>
    </row>
    <row r="31">
      <c r="G31" s="3"/>
      <c r="H31" s="3"/>
    </row>
    <row r="32">
      <c r="G32" s="3"/>
      <c r="H32" s="3"/>
    </row>
    <row r="33">
      <c r="G33" s="3"/>
      <c r="H33" s="3"/>
    </row>
    <row r="34">
      <c r="G34" s="3"/>
      <c r="H34" s="3"/>
    </row>
    <row r="35">
      <c r="G35" s="3"/>
      <c r="H35" s="3"/>
    </row>
    <row r="36">
      <c r="G36" s="3"/>
      <c r="H36" s="3"/>
    </row>
    <row r="37">
      <c r="G37" s="3"/>
      <c r="H37" s="3"/>
    </row>
    <row r="38">
      <c r="G38" s="3"/>
      <c r="H38" s="3"/>
    </row>
    <row r="39">
      <c r="G39" s="3"/>
      <c r="H39" s="3"/>
    </row>
    <row r="40">
      <c r="G40" s="3"/>
      <c r="H40" s="3"/>
    </row>
    <row r="41">
      <c r="G41" s="3"/>
      <c r="H41" s="3"/>
    </row>
    <row r="42">
      <c r="G42" s="3"/>
      <c r="H42" s="3"/>
    </row>
    <row r="43">
      <c r="G43" s="3"/>
      <c r="H43" s="3"/>
    </row>
    <row r="44">
      <c r="G44" s="3"/>
      <c r="H44" s="3"/>
    </row>
    <row r="45">
      <c r="G45" s="3"/>
      <c r="H45" s="3"/>
    </row>
    <row r="46">
      <c r="G46" s="3"/>
      <c r="H46" s="3"/>
    </row>
    <row r="47">
      <c r="G47" s="3"/>
      <c r="H47" s="3"/>
    </row>
    <row r="48">
      <c r="G48" s="3"/>
      <c r="H48" s="3"/>
    </row>
    <row r="49">
      <c r="G49" s="3"/>
      <c r="H49" s="3"/>
    </row>
    <row r="50">
      <c r="G50" s="3"/>
      <c r="H50" s="3"/>
    </row>
    <row r="51">
      <c r="G51" s="3"/>
      <c r="H51" s="3"/>
    </row>
    <row r="52">
      <c r="G52" s="3"/>
      <c r="H52" s="3"/>
    </row>
    <row r="53">
      <c r="G53" s="3"/>
      <c r="H53" s="3"/>
    </row>
    <row r="54">
      <c r="G54" s="3"/>
      <c r="H54" s="3"/>
    </row>
    <row r="55">
      <c r="G55" s="3"/>
      <c r="H55" s="3"/>
    </row>
    <row r="56">
      <c r="G56" s="3"/>
      <c r="H56" s="3"/>
    </row>
    <row r="57">
      <c r="G57" s="3"/>
      <c r="H57" s="3"/>
    </row>
    <row r="58">
      <c r="G58" s="3"/>
      <c r="H58" s="3"/>
    </row>
    <row r="59">
      <c r="G59" s="3"/>
      <c r="H59" s="3"/>
    </row>
    <row r="60">
      <c r="G60" s="3"/>
      <c r="H60" s="3"/>
    </row>
    <row r="61">
      <c r="G61" s="3"/>
      <c r="H61" s="3"/>
    </row>
    <row r="62">
      <c r="G62" s="3"/>
      <c r="H62" s="3"/>
    </row>
    <row r="63">
      <c r="G63" s="3"/>
      <c r="H63" s="3"/>
    </row>
    <row r="64">
      <c r="G64" s="3"/>
      <c r="H64" s="3"/>
    </row>
    <row r="65">
      <c r="G65" s="3"/>
      <c r="H65" s="3"/>
    </row>
    <row r="66">
      <c r="G66" s="3"/>
      <c r="H66" s="3"/>
    </row>
    <row r="67">
      <c r="G67" s="3"/>
      <c r="H67" s="3"/>
    </row>
    <row r="68">
      <c r="G68" s="3"/>
      <c r="H68" s="3"/>
    </row>
    <row r="69">
      <c r="G69" s="3"/>
      <c r="H69" s="3"/>
    </row>
    <row r="70">
      <c r="G70" s="3"/>
      <c r="H70" s="3"/>
    </row>
    <row r="71">
      <c r="G71" s="3"/>
      <c r="H71" s="3"/>
    </row>
    <row r="72">
      <c r="G72" s="3"/>
      <c r="H72" s="3"/>
    </row>
    <row r="73">
      <c r="G73" s="3"/>
      <c r="H73" s="3"/>
    </row>
    <row r="74">
      <c r="G74" s="3"/>
      <c r="H74" s="3"/>
    </row>
    <row r="75">
      <c r="G75" s="3"/>
      <c r="H75" s="3"/>
    </row>
    <row r="76">
      <c r="G76" s="3"/>
      <c r="H76" s="3"/>
    </row>
    <row r="77">
      <c r="G77" s="3"/>
      <c r="H77" s="3"/>
    </row>
    <row r="78">
      <c r="G78" s="3"/>
      <c r="H78" s="3"/>
    </row>
    <row r="79">
      <c r="G79" s="3"/>
      <c r="H79" s="3"/>
    </row>
    <row r="80">
      <c r="G80" s="3"/>
      <c r="H80" s="3"/>
    </row>
    <row r="81">
      <c r="G81" s="3"/>
      <c r="H81" s="3"/>
    </row>
    <row r="82">
      <c r="G82" s="3"/>
      <c r="H82" s="3"/>
    </row>
    <row r="83">
      <c r="G83" s="3"/>
      <c r="H83" s="3"/>
    </row>
    <row r="84">
      <c r="G84" s="3"/>
      <c r="H84" s="3"/>
    </row>
    <row r="85">
      <c r="G85" s="3"/>
      <c r="H85" s="3"/>
    </row>
    <row r="86">
      <c r="G86" s="3"/>
      <c r="H86" s="3"/>
    </row>
    <row r="87">
      <c r="G87" s="3"/>
      <c r="H87" s="3"/>
    </row>
    <row r="88">
      <c r="G88" s="3"/>
      <c r="H88" s="3"/>
    </row>
    <row r="89">
      <c r="G89" s="3"/>
      <c r="H89" s="3"/>
    </row>
    <row r="90">
      <c r="G90" s="3"/>
      <c r="H90" s="3"/>
    </row>
    <row r="91">
      <c r="G91" s="3"/>
      <c r="H91" s="3"/>
    </row>
    <row r="92">
      <c r="G92" s="3"/>
      <c r="H92" s="3"/>
    </row>
    <row r="93">
      <c r="G93" s="3"/>
      <c r="H93" s="3"/>
    </row>
    <row r="94">
      <c r="G94" s="3"/>
      <c r="H94" s="3"/>
    </row>
    <row r="95">
      <c r="G95" s="3"/>
      <c r="H95" s="3"/>
    </row>
    <row r="96">
      <c r="G96" s="3"/>
      <c r="H96" s="3"/>
    </row>
    <row r="97">
      <c r="G97" s="3"/>
      <c r="H97" s="3"/>
    </row>
    <row r="98">
      <c r="G98" s="3"/>
      <c r="H98" s="3"/>
    </row>
    <row r="99">
      <c r="G99" s="3"/>
      <c r="H99" s="3"/>
    </row>
    <row r="100">
      <c r="G100" s="3"/>
      <c r="H100" s="3"/>
    </row>
    <row r="101">
      <c r="G101" s="3"/>
      <c r="H101" s="3"/>
    </row>
    <row r="102">
      <c r="G102" s="3"/>
      <c r="H102" s="3"/>
    </row>
    <row r="103">
      <c r="G103" s="3"/>
      <c r="H103" s="3"/>
    </row>
    <row r="104">
      <c r="G104" s="3"/>
      <c r="H104" s="3"/>
    </row>
    <row r="105">
      <c r="G105" s="3"/>
      <c r="H105" s="3"/>
    </row>
    <row r="106">
      <c r="G106" s="3"/>
      <c r="H106" s="3"/>
    </row>
    <row r="107">
      <c r="G107" s="3"/>
      <c r="H107" s="3"/>
    </row>
    <row r="108">
      <c r="G108" s="3"/>
      <c r="H108" s="3"/>
    </row>
    <row r="109">
      <c r="G109" s="3"/>
      <c r="H109" s="3"/>
    </row>
    <row r="110">
      <c r="G110" s="3"/>
      <c r="H110" s="3"/>
    </row>
    <row r="111">
      <c r="G111" s="3"/>
      <c r="H111" s="3"/>
    </row>
    <row r="112">
      <c r="G112" s="3"/>
      <c r="H112" s="3"/>
    </row>
    <row r="113">
      <c r="G113" s="3"/>
      <c r="H113" s="3"/>
    </row>
    <row r="114">
      <c r="G114" s="3"/>
      <c r="H114" s="3"/>
    </row>
    <row r="115">
      <c r="G115" s="3"/>
      <c r="H115" s="3"/>
    </row>
    <row r="116">
      <c r="G116" s="3"/>
      <c r="H116" s="3"/>
    </row>
    <row r="117">
      <c r="G117" s="3"/>
      <c r="H117" s="3"/>
    </row>
    <row r="118">
      <c r="G118" s="3"/>
      <c r="H118" s="3"/>
    </row>
    <row r="119">
      <c r="G119" s="3"/>
      <c r="H119" s="3"/>
    </row>
    <row r="120">
      <c r="G120" s="3"/>
      <c r="H120" s="3"/>
    </row>
    <row r="121">
      <c r="G121" s="3"/>
      <c r="H121" s="3"/>
    </row>
    <row r="122">
      <c r="G122" s="3"/>
      <c r="H122" s="3"/>
    </row>
    <row r="123">
      <c r="G123" s="3"/>
      <c r="H123" s="3"/>
    </row>
    <row r="124">
      <c r="G124" s="3"/>
      <c r="H124" s="3"/>
    </row>
    <row r="125">
      <c r="G125" s="3"/>
      <c r="H125" s="3"/>
    </row>
    <row r="126">
      <c r="G126" s="3"/>
      <c r="H126" s="3"/>
    </row>
    <row r="127">
      <c r="G127" s="3"/>
      <c r="H127" s="3"/>
    </row>
    <row r="128">
      <c r="G128" s="3"/>
      <c r="H128" s="3"/>
    </row>
    <row r="129">
      <c r="G129" s="3"/>
      <c r="H129" s="3"/>
    </row>
    <row r="130">
      <c r="G130" s="3"/>
      <c r="H130" s="3"/>
    </row>
    <row r="131">
      <c r="G131" s="3"/>
      <c r="H131" s="3"/>
    </row>
    <row r="132">
      <c r="G132" s="3"/>
      <c r="H132" s="3"/>
    </row>
    <row r="133">
      <c r="G133" s="3"/>
      <c r="H133" s="3"/>
    </row>
    <row r="134">
      <c r="G134" s="3"/>
      <c r="H134" s="3"/>
    </row>
    <row r="135">
      <c r="G135" s="3"/>
      <c r="H135" s="3"/>
    </row>
    <row r="136">
      <c r="G136" s="3"/>
      <c r="H136" s="3"/>
    </row>
    <row r="137">
      <c r="G137" s="3"/>
      <c r="H137" s="3"/>
    </row>
    <row r="138">
      <c r="G138" s="3"/>
      <c r="H138" s="3"/>
    </row>
    <row r="139">
      <c r="G139" s="3"/>
      <c r="H139" s="3"/>
    </row>
    <row r="140">
      <c r="G140" s="3"/>
      <c r="H140" s="3"/>
    </row>
    <row r="141">
      <c r="G141" s="3"/>
      <c r="H141" s="3"/>
    </row>
    <row r="142">
      <c r="G142" s="3"/>
      <c r="H142" s="3"/>
    </row>
    <row r="143">
      <c r="G143" s="3"/>
      <c r="H143" s="3"/>
    </row>
    <row r="144">
      <c r="G144" s="3"/>
      <c r="H144" s="3"/>
    </row>
    <row r="145">
      <c r="G145" s="3"/>
      <c r="H145" s="3"/>
    </row>
    <row r="146">
      <c r="G146" s="3"/>
      <c r="H146" s="3"/>
    </row>
    <row r="147">
      <c r="G147" s="3"/>
      <c r="H147" s="3"/>
    </row>
    <row r="148">
      <c r="G148" s="3"/>
      <c r="H148" s="3"/>
    </row>
    <row r="149">
      <c r="G149" s="3"/>
      <c r="H149" s="3"/>
    </row>
    <row r="150">
      <c r="G150" s="3"/>
      <c r="H150" s="3"/>
    </row>
    <row r="151">
      <c r="G151" s="3"/>
      <c r="H151" s="3"/>
    </row>
    <row r="152">
      <c r="G152" s="3"/>
      <c r="H152" s="3"/>
    </row>
    <row r="153">
      <c r="G153" s="3"/>
      <c r="H153" s="3"/>
    </row>
    <row r="154">
      <c r="G154" s="3"/>
      <c r="H154" s="3"/>
    </row>
    <row r="155">
      <c r="G155" s="3"/>
      <c r="H155" s="3"/>
    </row>
    <row r="156">
      <c r="G156" s="3"/>
      <c r="H156" s="3"/>
    </row>
    <row r="157">
      <c r="G157" s="3"/>
      <c r="H157" s="3"/>
    </row>
    <row r="158">
      <c r="G158" s="3"/>
      <c r="H158" s="3"/>
    </row>
    <row r="159">
      <c r="G159" s="3"/>
      <c r="H159" s="3"/>
    </row>
    <row r="160">
      <c r="G160" s="3"/>
      <c r="H160" s="3"/>
    </row>
    <row r="161">
      <c r="G161" s="3"/>
      <c r="H161" s="3"/>
    </row>
    <row r="162">
      <c r="G162" s="3"/>
      <c r="H162" s="3"/>
    </row>
    <row r="163">
      <c r="G163" s="3"/>
      <c r="H163" s="3"/>
    </row>
    <row r="164">
      <c r="G164" s="3"/>
      <c r="H164" s="3"/>
    </row>
    <row r="165">
      <c r="G165" s="3"/>
      <c r="H165" s="3"/>
    </row>
    <row r="166">
      <c r="G166" s="3"/>
      <c r="H166" s="3"/>
    </row>
    <row r="167">
      <c r="G167" s="3"/>
      <c r="H167" s="3"/>
    </row>
    <row r="168">
      <c r="G168" s="3"/>
      <c r="H168" s="3"/>
    </row>
    <row r="169">
      <c r="G169" s="3"/>
      <c r="H169" s="3"/>
    </row>
    <row r="170">
      <c r="G170" s="3"/>
      <c r="H170" s="3"/>
    </row>
    <row r="171">
      <c r="G171" s="3"/>
      <c r="H171" s="3"/>
    </row>
    <row r="172">
      <c r="G172" s="3"/>
      <c r="H172" s="3"/>
    </row>
    <row r="173">
      <c r="G173" s="3"/>
      <c r="H173" s="3"/>
    </row>
    <row r="174">
      <c r="G174" s="3"/>
      <c r="H174" s="3"/>
    </row>
    <row r="175">
      <c r="G175" s="3"/>
      <c r="H175" s="3"/>
    </row>
    <row r="176">
      <c r="G176" s="3"/>
      <c r="H176" s="3"/>
    </row>
    <row r="177">
      <c r="G177" s="3"/>
      <c r="H177" s="3"/>
    </row>
    <row r="178">
      <c r="G178" s="3"/>
      <c r="H178" s="3"/>
    </row>
    <row r="179">
      <c r="G179" s="3"/>
      <c r="H179" s="3"/>
    </row>
    <row r="180">
      <c r="G180" s="3"/>
      <c r="H180" s="3"/>
    </row>
    <row r="181">
      <c r="G181" s="3"/>
      <c r="H181" s="3"/>
    </row>
    <row r="182">
      <c r="G182" s="3"/>
      <c r="H182" s="3"/>
    </row>
    <row r="183">
      <c r="G183" s="3"/>
      <c r="H183" s="3"/>
    </row>
    <row r="184">
      <c r="G184" s="3"/>
      <c r="H184" s="3"/>
    </row>
    <row r="185">
      <c r="G185" s="3"/>
      <c r="H185" s="3"/>
    </row>
    <row r="186">
      <c r="G186" s="3"/>
      <c r="H186" s="3"/>
    </row>
    <row r="187">
      <c r="G187" s="3"/>
      <c r="H187" s="3"/>
    </row>
    <row r="188">
      <c r="G188" s="3"/>
      <c r="H188" s="3"/>
    </row>
    <row r="189">
      <c r="G189" s="3"/>
      <c r="H189" s="3"/>
    </row>
    <row r="190">
      <c r="G190" s="3"/>
      <c r="H190" s="3"/>
    </row>
    <row r="191">
      <c r="G191" s="3"/>
      <c r="H191" s="3"/>
    </row>
    <row r="192">
      <c r="G192" s="3"/>
      <c r="H192" s="3"/>
    </row>
    <row r="193">
      <c r="G193" s="3"/>
      <c r="H193" s="3"/>
    </row>
    <row r="194">
      <c r="G194" s="3"/>
      <c r="H194" s="3"/>
    </row>
    <row r="195">
      <c r="G195" s="3"/>
      <c r="H195" s="3"/>
    </row>
    <row r="196">
      <c r="G196" s="3"/>
      <c r="H196" s="3"/>
    </row>
    <row r="197">
      <c r="G197" s="3"/>
      <c r="H197" s="3"/>
    </row>
    <row r="198">
      <c r="G198" s="3"/>
      <c r="H198" s="3"/>
    </row>
    <row r="199">
      <c r="G199" s="3"/>
      <c r="H199" s="3"/>
    </row>
    <row r="200">
      <c r="G200" s="3"/>
      <c r="H200" s="3"/>
    </row>
    <row r="201">
      <c r="G201" s="3"/>
      <c r="H201" s="3"/>
    </row>
    <row r="202">
      <c r="G202" s="3"/>
      <c r="H202" s="3"/>
    </row>
    <row r="203">
      <c r="G203" s="3"/>
      <c r="H203" s="3"/>
    </row>
    <row r="204">
      <c r="G204" s="3"/>
      <c r="H204" s="3"/>
    </row>
    <row r="205">
      <c r="G205" s="3"/>
      <c r="H205" s="3"/>
    </row>
    <row r="206">
      <c r="G206" s="3"/>
      <c r="H206" s="3"/>
    </row>
    <row r="207">
      <c r="G207" s="3"/>
      <c r="H207" s="3"/>
    </row>
    <row r="208">
      <c r="G208" s="3"/>
      <c r="H208" s="3"/>
    </row>
    <row r="209">
      <c r="G209" s="3"/>
      <c r="H209" s="3"/>
    </row>
    <row r="210">
      <c r="G210" s="3"/>
      <c r="H210" s="3"/>
    </row>
    <row r="211">
      <c r="G211" s="3"/>
      <c r="H211" s="3"/>
    </row>
    <row r="212">
      <c r="G212" s="3"/>
      <c r="H212" s="3"/>
    </row>
    <row r="213">
      <c r="G213" s="3"/>
      <c r="H213" s="3"/>
    </row>
    <row r="214">
      <c r="G214" s="3"/>
      <c r="H214" s="3"/>
    </row>
    <row r="215">
      <c r="G215" s="3"/>
      <c r="H215" s="3"/>
    </row>
    <row r="216">
      <c r="G216" s="3"/>
      <c r="H216" s="3"/>
    </row>
    <row r="217">
      <c r="G217" s="3"/>
      <c r="H217" s="3"/>
    </row>
    <row r="218">
      <c r="G218" s="3"/>
      <c r="H218" s="3"/>
    </row>
    <row r="219">
      <c r="G219" s="3"/>
      <c r="H219" s="3"/>
    </row>
    <row r="220">
      <c r="G220" s="3"/>
      <c r="H220" s="3"/>
    </row>
    <row r="221">
      <c r="G221" s="3"/>
      <c r="H221" s="3"/>
    </row>
    <row r="222">
      <c r="G222" s="3"/>
      <c r="H222" s="3"/>
    </row>
    <row r="223">
      <c r="G223" s="3"/>
      <c r="H223" s="3"/>
    </row>
    <row r="224">
      <c r="G224" s="3"/>
      <c r="H224" s="3"/>
    </row>
    <row r="225">
      <c r="G225" s="3"/>
      <c r="H225" s="3"/>
    </row>
    <row r="226">
      <c r="G226" s="3"/>
      <c r="H226" s="3"/>
    </row>
    <row r="227">
      <c r="G227" s="3"/>
      <c r="H227" s="3"/>
    </row>
    <row r="228">
      <c r="G228" s="3"/>
      <c r="H228" s="3"/>
    </row>
    <row r="229">
      <c r="G229" s="3"/>
      <c r="H229" s="3"/>
    </row>
    <row r="230">
      <c r="G230" s="3"/>
      <c r="H230" s="3"/>
    </row>
    <row r="231">
      <c r="G231" s="3"/>
      <c r="H231" s="3"/>
    </row>
    <row r="232">
      <c r="G232" s="3"/>
      <c r="H232" s="3"/>
    </row>
    <row r="233">
      <c r="G233" s="3"/>
      <c r="H233" s="3"/>
    </row>
    <row r="234">
      <c r="G234" s="3"/>
      <c r="H234" s="3"/>
    </row>
    <row r="235">
      <c r="G235" s="3"/>
      <c r="H235" s="3"/>
    </row>
    <row r="236">
      <c r="G236" s="3"/>
      <c r="H236" s="3"/>
    </row>
    <row r="237">
      <c r="G237" s="3"/>
      <c r="H237" s="3"/>
    </row>
    <row r="238">
      <c r="G238" s="3"/>
      <c r="H238" s="3"/>
    </row>
    <row r="239">
      <c r="G239" s="3"/>
      <c r="H239" s="3"/>
    </row>
    <row r="240">
      <c r="G240" s="3"/>
      <c r="H240" s="3"/>
    </row>
    <row r="241">
      <c r="G241" s="3"/>
      <c r="H241" s="3"/>
    </row>
    <row r="242">
      <c r="G242" s="3"/>
      <c r="H242" s="3"/>
    </row>
    <row r="243">
      <c r="G243" s="3"/>
      <c r="H243" s="3"/>
    </row>
    <row r="244">
      <c r="G244" s="3"/>
      <c r="H244" s="3"/>
    </row>
    <row r="245">
      <c r="G245" s="3"/>
      <c r="H245" s="3"/>
    </row>
    <row r="246">
      <c r="G246" s="3"/>
      <c r="H246" s="3"/>
    </row>
    <row r="247">
      <c r="G247" s="3"/>
      <c r="H247" s="3"/>
    </row>
    <row r="248">
      <c r="G248" s="3"/>
      <c r="H248" s="3"/>
    </row>
    <row r="249">
      <c r="G249" s="3"/>
      <c r="H249" s="3"/>
    </row>
    <row r="250">
      <c r="G250" s="3"/>
      <c r="H250" s="3"/>
    </row>
    <row r="251">
      <c r="G251" s="3"/>
      <c r="H251" s="3"/>
    </row>
    <row r="252">
      <c r="G252" s="3"/>
      <c r="H252" s="3"/>
    </row>
    <row r="253">
      <c r="G253" s="3"/>
      <c r="H253" s="3"/>
    </row>
    <row r="254">
      <c r="G254" s="3"/>
      <c r="H254" s="3"/>
    </row>
    <row r="255">
      <c r="G255" s="3"/>
      <c r="H255" s="3"/>
    </row>
    <row r="256">
      <c r="G256" s="3"/>
      <c r="H256" s="3"/>
    </row>
    <row r="257">
      <c r="G257" s="3"/>
      <c r="H257" s="3"/>
    </row>
    <row r="258">
      <c r="G258" s="3"/>
      <c r="H258" s="3"/>
    </row>
    <row r="259">
      <c r="G259" s="3"/>
      <c r="H259" s="3"/>
    </row>
    <row r="260">
      <c r="G260" s="3"/>
      <c r="H260" s="3"/>
    </row>
    <row r="261">
      <c r="G261" s="3"/>
      <c r="H261" s="3"/>
    </row>
    <row r="262">
      <c r="G262" s="3"/>
      <c r="H262" s="3"/>
    </row>
    <row r="263">
      <c r="G263" s="3"/>
      <c r="H263" s="3"/>
    </row>
    <row r="264">
      <c r="G264" s="3"/>
      <c r="H264" s="3"/>
    </row>
    <row r="265">
      <c r="G265" s="3"/>
      <c r="H265" s="3"/>
    </row>
    <row r="266">
      <c r="G266" s="3"/>
      <c r="H266" s="3"/>
    </row>
    <row r="267">
      <c r="G267" s="3"/>
      <c r="H267" s="3"/>
    </row>
    <row r="268">
      <c r="G268" s="3"/>
      <c r="H268" s="3"/>
    </row>
    <row r="269">
      <c r="G269" s="3"/>
      <c r="H269" s="3"/>
    </row>
    <row r="270">
      <c r="G270" s="3"/>
      <c r="H270" s="3"/>
    </row>
    <row r="271">
      <c r="G271" s="3"/>
      <c r="H271" s="3"/>
    </row>
    <row r="272">
      <c r="G272" s="3"/>
      <c r="H272" s="3"/>
    </row>
    <row r="273">
      <c r="G273" s="3"/>
      <c r="H273" s="3"/>
    </row>
    <row r="274">
      <c r="G274" s="3"/>
      <c r="H274" s="3"/>
    </row>
    <row r="275">
      <c r="G275" s="3"/>
      <c r="H275" s="3"/>
    </row>
    <row r="276">
      <c r="G276" s="3"/>
      <c r="H276" s="3"/>
    </row>
    <row r="277">
      <c r="G277" s="3"/>
      <c r="H277" s="3"/>
    </row>
    <row r="278">
      <c r="G278" s="3"/>
      <c r="H278" s="3"/>
    </row>
    <row r="279">
      <c r="G279" s="3"/>
      <c r="H279" s="3"/>
    </row>
    <row r="280">
      <c r="G280" s="3"/>
      <c r="H280" s="3"/>
    </row>
    <row r="281">
      <c r="G281" s="3"/>
      <c r="H281" s="3"/>
    </row>
    <row r="282">
      <c r="G282" s="3"/>
      <c r="H282" s="3"/>
    </row>
    <row r="283">
      <c r="G283" s="3"/>
      <c r="H283" s="3"/>
    </row>
    <row r="284">
      <c r="G284" s="3"/>
      <c r="H284" s="3"/>
    </row>
    <row r="285">
      <c r="G285" s="3"/>
      <c r="H285" s="3"/>
    </row>
    <row r="286">
      <c r="G286" s="3"/>
      <c r="H286" s="3"/>
    </row>
    <row r="287">
      <c r="G287" s="3"/>
      <c r="H287" s="3"/>
    </row>
    <row r="288">
      <c r="G288" s="3"/>
      <c r="H288" s="3"/>
    </row>
    <row r="289">
      <c r="G289" s="3"/>
      <c r="H289" s="3"/>
    </row>
    <row r="290">
      <c r="G290" s="3"/>
      <c r="H290" s="3"/>
    </row>
    <row r="291">
      <c r="G291" s="3"/>
      <c r="H291" s="3"/>
    </row>
    <row r="292">
      <c r="G292" s="3"/>
      <c r="H292" s="3"/>
    </row>
    <row r="293">
      <c r="G293" s="3"/>
      <c r="H293" s="3"/>
    </row>
    <row r="294">
      <c r="G294" s="3"/>
      <c r="H294" s="3"/>
    </row>
    <row r="295">
      <c r="G295" s="3"/>
      <c r="H295" s="3"/>
    </row>
    <row r="296">
      <c r="G296" s="3"/>
      <c r="H296" s="3"/>
    </row>
    <row r="297">
      <c r="G297" s="3"/>
      <c r="H297" s="3"/>
    </row>
    <row r="298">
      <c r="G298" s="3"/>
      <c r="H298" s="3"/>
    </row>
    <row r="299">
      <c r="G299" s="3"/>
      <c r="H299" s="3"/>
    </row>
    <row r="300">
      <c r="G300" s="3"/>
      <c r="H300" s="3"/>
    </row>
    <row r="301">
      <c r="G301" s="3"/>
      <c r="H301" s="3"/>
    </row>
    <row r="302">
      <c r="G302" s="3"/>
      <c r="H302" s="3"/>
    </row>
    <row r="303">
      <c r="G303" s="3"/>
      <c r="H303" s="3"/>
    </row>
    <row r="304">
      <c r="G304" s="3"/>
      <c r="H304" s="3"/>
    </row>
    <row r="305">
      <c r="G305" s="3"/>
      <c r="H305" s="3"/>
    </row>
    <row r="306">
      <c r="G306" s="3"/>
      <c r="H306" s="3"/>
    </row>
    <row r="307">
      <c r="G307" s="3"/>
      <c r="H307" s="3"/>
    </row>
    <row r="308">
      <c r="G308" s="3"/>
      <c r="H308" s="3"/>
    </row>
    <row r="309">
      <c r="G309" s="3"/>
      <c r="H309" s="3"/>
    </row>
    <row r="310">
      <c r="G310" s="3"/>
      <c r="H310" s="3"/>
    </row>
    <row r="311">
      <c r="G311" s="3"/>
      <c r="H311" s="3"/>
    </row>
    <row r="312">
      <c r="G312" s="3"/>
      <c r="H312" s="3"/>
    </row>
    <row r="313">
      <c r="G313" s="3"/>
      <c r="H313" s="3"/>
    </row>
    <row r="314">
      <c r="G314" s="3"/>
      <c r="H314" s="3"/>
    </row>
    <row r="315">
      <c r="G315" s="3"/>
      <c r="H315" s="3"/>
    </row>
    <row r="316">
      <c r="G316" s="3"/>
      <c r="H316" s="3"/>
    </row>
    <row r="317">
      <c r="G317" s="3"/>
      <c r="H317" s="3"/>
    </row>
    <row r="318">
      <c r="G318" s="3"/>
      <c r="H318" s="3"/>
    </row>
    <row r="319">
      <c r="G319" s="3"/>
      <c r="H319" s="3"/>
    </row>
    <row r="320">
      <c r="G320" s="3"/>
      <c r="H320" s="3"/>
    </row>
    <row r="321">
      <c r="G321" s="3"/>
      <c r="H321" s="3"/>
    </row>
    <row r="322">
      <c r="G322" s="3"/>
      <c r="H322" s="3"/>
    </row>
    <row r="323">
      <c r="G323" s="3"/>
      <c r="H323" s="3"/>
    </row>
    <row r="324">
      <c r="G324" s="3"/>
      <c r="H324" s="3"/>
    </row>
    <row r="325">
      <c r="G325" s="3"/>
      <c r="H325" s="3"/>
    </row>
    <row r="326">
      <c r="G326" s="3"/>
      <c r="H326" s="3"/>
    </row>
    <row r="327">
      <c r="G327" s="3"/>
      <c r="H327" s="3"/>
    </row>
    <row r="328">
      <c r="G328" s="3"/>
      <c r="H328" s="3"/>
    </row>
    <row r="329">
      <c r="G329" s="3"/>
      <c r="H329" s="3"/>
    </row>
    <row r="330">
      <c r="G330" s="3"/>
      <c r="H330" s="3"/>
    </row>
    <row r="331">
      <c r="G331" s="3"/>
      <c r="H331" s="3"/>
    </row>
    <row r="332">
      <c r="G332" s="3"/>
      <c r="H332" s="3"/>
    </row>
    <row r="333">
      <c r="G333" s="3"/>
      <c r="H333" s="3"/>
    </row>
    <row r="334">
      <c r="G334" s="3"/>
      <c r="H334" s="3"/>
    </row>
    <row r="335">
      <c r="G335" s="3"/>
      <c r="H335" s="3"/>
    </row>
    <row r="336">
      <c r="G336" s="3"/>
      <c r="H336" s="3"/>
    </row>
    <row r="337">
      <c r="G337" s="3"/>
      <c r="H337" s="3"/>
    </row>
    <row r="338">
      <c r="G338" s="3"/>
      <c r="H338" s="3"/>
    </row>
    <row r="339">
      <c r="G339" s="3"/>
      <c r="H339" s="3"/>
    </row>
    <row r="340">
      <c r="G340" s="3"/>
      <c r="H340" s="3"/>
    </row>
    <row r="341">
      <c r="G341" s="3"/>
      <c r="H341" s="3"/>
    </row>
    <row r="342">
      <c r="G342" s="3"/>
      <c r="H342" s="3"/>
    </row>
    <row r="343">
      <c r="G343" s="3"/>
      <c r="H343" s="3"/>
    </row>
    <row r="344">
      <c r="G344" s="3"/>
      <c r="H344" s="3"/>
    </row>
    <row r="345">
      <c r="G345" s="3"/>
      <c r="H345" s="3"/>
    </row>
    <row r="346">
      <c r="G346" s="3"/>
      <c r="H346" s="3"/>
    </row>
    <row r="347">
      <c r="G347" s="3"/>
      <c r="H347" s="3"/>
    </row>
    <row r="348">
      <c r="G348" s="3"/>
      <c r="H348" s="3"/>
    </row>
    <row r="349">
      <c r="G349" s="3"/>
      <c r="H349" s="3"/>
    </row>
    <row r="350">
      <c r="G350" s="3"/>
      <c r="H350" s="3"/>
    </row>
    <row r="351">
      <c r="G351" s="3"/>
      <c r="H351" s="3"/>
    </row>
    <row r="352">
      <c r="G352" s="3"/>
      <c r="H352" s="3"/>
    </row>
    <row r="353">
      <c r="G353" s="3"/>
      <c r="H353" s="3"/>
    </row>
    <row r="354">
      <c r="G354" s="3"/>
      <c r="H354" s="3"/>
    </row>
    <row r="355">
      <c r="G355" s="3"/>
      <c r="H355" s="3"/>
    </row>
    <row r="356">
      <c r="G356" s="3"/>
      <c r="H356" s="3"/>
    </row>
    <row r="357">
      <c r="G357" s="3"/>
      <c r="H357" s="3"/>
    </row>
    <row r="358">
      <c r="G358" s="3"/>
      <c r="H358" s="3"/>
    </row>
    <row r="359">
      <c r="G359" s="3"/>
      <c r="H359" s="3"/>
    </row>
    <row r="360">
      <c r="G360" s="3"/>
      <c r="H360" s="3"/>
    </row>
    <row r="361">
      <c r="G361" s="3"/>
      <c r="H361" s="3"/>
    </row>
    <row r="362">
      <c r="G362" s="3"/>
      <c r="H362" s="3"/>
    </row>
    <row r="363">
      <c r="G363" s="3"/>
      <c r="H363" s="3"/>
    </row>
    <row r="364">
      <c r="G364" s="3"/>
      <c r="H364" s="3"/>
    </row>
    <row r="365">
      <c r="G365" s="3"/>
      <c r="H365" s="3"/>
    </row>
    <row r="366">
      <c r="G366" s="3"/>
      <c r="H366" s="3"/>
    </row>
    <row r="367">
      <c r="G367" s="3"/>
      <c r="H367" s="3"/>
    </row>
    <row r="368">
      <c r="G368" s="3"/>
      <c r="H368" s="3"/>
    </row>
    <row r="369">
      <c r="G369" s="3"/>
      <c r="H369" s="3"/>
    </row>
    <row r="370">
      <c r="G370" s="3"/>
      <c r="H370" s="3"/>
    </row>
    <row r="371">
      <c r="G371" s="3"/>
      <c r="H371" s="3"/>
    </row>
    <row r="372">
      <c r="G372" s="3"/>
      <c r="H372" s="3"/>
    </row>
    <row r="373">
      <c r="G373" s="3"/>
      <c r="H373" s="3"/>
    </row>
    <row r="374">
      <c r="G374" s="3"/>
      <c r="H374" s="3"/>
    </row>
    <row r="375">
      <c r="G375" s="3"/>
      <c r="H375" s="3"/>
    </row>
    <row r="376">
      <c r="G376" s="3"/>
      <c r="H376" s="3"/>
    </row>
    <row r="377">
      <c r="G377" s="3"/>
      <c r="H377" s="3"/>
    </row>
    <row r="378">
      <c r="G378" s="3"/>
      <c r="H378" s="3"/>
    </row>
    <row r="379">
      <c r="G379" s="3"/>
      <c r="H379" s="3"/>
    </row>
    <row r="380">
      <c r="G380" s="3"/>
      <c r="H380" s="3"/>
    </row>
    <row r="381">
      <c r="G381" s="3"/>
      <c r="H381" s="3"/>
    </row>
    <row r="382">
      <c r="G382" s="3"/>
      <c r="H382" s="3"/>
    </row>
    <row r="383">
      <c r="G383" s="3"/>
      <c r="H383" s="3"/>
    </row>
    <row r="384">
      <c r="G384" s="3"/>
      <c r="H384" s="3"/>
    </row>
    <row r="385">
      <c r="G385" s="3"/>
      <c r="H385" s="3"/>
    </row>
    <row r="386">
      <c r="G386" s="3"/>
      <c r="H386" s="3"/>
    </row>
    <row r="387">
      <c r="G387" s="3"/>
      <c r="H387" s="3"/>
    </row>
    <row r="388">
      <c r="G388" s="3"/>
      <c r="H388" s="3"/>
    </row>
    <row r="389">
      <c r="G389" s="3"/>
      <c r="H389" s="3"/>
    </row>
    <row r="390">
      <c r="G390" s="3"/>
      <c r="H390" s="3"/>
    </row>
    <row r="391">
      <c r="G391" s="3"/>
      <c r="H391" s="3"/>
    </row>
    <row r="392">
      <c r="G392" s="3"/>
      <c r="H392" s="3"/>
    </row>
    <row r="393">
      <c r="G393" s="3"/>
      <c r="H393" s="3"/>
    </row>
    <row r="394">
      <c r="G394" s="3"/>
      <c r="H394" s="3"/>
    </row>
    <row r="395">
      <c r="G395" s="3"/>
      <c r="H395" s="3"/>
    </row>
    <row r="396">
      <c r="G396" s="3"/>
      <c r="H396" s="3"/>
    </row>
    <row r="397">
      <c r="G397" s="3"/>
      <c r="H397" s="3"/>
    </row>
    <row r="398">
      <c r="G398" s="3"/>
      <c r="H398" s="3"/>
    </row>
    <row r="399">
      <c r="G399" s="3"/>
      <c r="H399" s="3"/>
    </row>
    <row r="400">
      <c r="G400" s="3"/>
      <c r="H400" s="3"/>
    </row>
    <row r="401">
      <c r="G401" s="3"/>
      <c r="H401" s="3"/>
    </row>
    <row r="402">
      <c r="G402" s="3"/>
      <c r="H402" s="3"/>
    </row>
    <row r="403">
      <c r="G403" s="3"/>
      <c r="H403" s="3"/>
    </row>
    <row r="404">
      <c r="G404" s="3"/>
      <c r="H404" s="3"/>
    </row>
    <row r="405">
      <c r="G405" s="3"/>
      <c r="H405" s="3"/>
    </row>
    <row r="406">
      <c r="G406" s="3"/>
      <c r="H406" s="3"/>
    </row>
    <row r="407">
      <c r="G407" s="3"/>
      <c r="H407" s="3"/>
    </row>
    <row r="408">
      <c r="G408" s="3"/>
      <c r="H408" s="3"/>
    </row>
    <row r="409">
      <c r="G409" s="3"/>
      <c r="H409" s="3"/>
    </row>
    <row r="410">
      <c r="G410" s="3"/>
      <c r="H410" s="3"/>
    </row>
    <row r="411">
      <c r="G411" s="3"/>
      <c r="H411" s="3"/>
    </row>
    <row r="412">
      <c r="G412" s="3"/>
      <c r="H412" s="3"/>
    </row>
    <row r="413">
      <c r="G413" s="3"/>
      <c r="H413" s="3"/>
    </row>
    <row r="414">
      <c r="G414" s="3"/>
      <c r="H414" s="3"/>
    </row>
    <row r="415">
      <c r="G415" s="3"/>
      <c r="H415" s="3"/>
    </row>
    <row r="416">
      <c r="G416" s="3"/>
      <c r="H416" s="3"/>
    </row>
    <row r="417">
      <c r="G417" s="3"/>
      <c r="H417" s="3"/>
    </row>
    <row r="418">
      <c r="G418" s="3"/>
      <c r="H418" s="3"/>
    </row>
    <row r="419">
      <c r="G419" s="3"/>
      <c r="H419" s="3"/>
    </row>
    <row r="420">
      <c r="G420" s="3"/>
      <c r="H420" s="3"/>
    </row>
    <row r="421">
      <c r="G421" s="3"/>
      <c r="H421" s="3"/>
    </row>
    <row r="422">
      <c r="G422" s="3"/>
      <c r="H422" s="3"/>
    </row>
    <row r="423">
      <c r="G423" s="3"/>
      <c r="H423" s="3"/>
    </row>
    <row r="424">
      <c r="G424" s="3"/>
      <c r="H424" s="3"/>
    </row>
    <row r="425">
      <c r="G425" s="3"/>
      <c r="H425" s="3"/>
    </row>
    <row r="426">
      <c r="G426" s="3"/>
      <c r="H426" s="3"/>
    </row>
    <row r="427">
      <c r="G427" s="3"/>
      <c r="H427" s="3"/>
    </row>
    <row r="428">
      <c r="G428" s="3"/>
      <c r="H428" s="3"/>
    </row>
    <row r="429">
      <c r="G429" s="3"/>
      <c r="H429" s="3"/>
    </row>
    <row r="430">
      <c r="G430" s="3"/>
      <c r="H430" s="3"/>
    </row>
    <row r="431">
      <c r="G431" s="3"/>
      <c r="H431" s="3"/>
    </row>
    <row r="432">
      <c r="G432" s="3"/>
      <c r="H432" s="3"/>
    </row>
    <row r="433">
      <c r="G433" s="3"/>
      <c r="H433" s="3"/>
    </row>
    <row r="434">
      <c r="G434" s="3"/>
      <c r="H434" s="3"/>
    </row>
    <row r="435">
      <c r="G435" s="3"/>
      <c r="H435" s="3"/>
    </row>
    <row r="436">
      <c r="G436" s="3"/>
      <c r="H436" s="3"/>
    </row>
    <row r="437">
      <c r="G437" s="3"/>
      <c r="H437" s="3"/>
    </row>
    <row r="438">
      <c r="G438" s="3"/>
      <c r="H438" s="3"/>
    </row>
    <row r="439">
      <c r="G439" s="3"/>
      <c r="H439" s="3"/>
    </row>
    <row r="440">
      <c r="G440" s="3"/>
      <c r="H440" s="3"/>
    </row>
    <row r="441">
      <c r="G441" s="3"/>
      <c r="H441" s="3"/>
    </row>
    <row r="442">
      <c r="G442" s="3"/>
      <c r="H442" s="3"/>
    </row>
    <row r="443">
      <c r="G443" s="3"/>
      <c r="H443" s="3"/>
    </row>
    <row r="444">
      <c r="G444" s="3"/>
      <c r="H444" s="3"/>
    </row>
    <row r="445">
      <c r="G445" s="3"/>
      <c r="H445" s="3"/>
    </row>
    <row r="446">
      <c r="G446" s="3"/>
      <c r="H446" s="3"/>
    </row>
    <row r="447">
      <c r="G447" s="3"/>
      <c r="H447" s="3"/>
    </row>
    <row r="448">
      <c r="G448" s="3"/>
      <c r="H448" s="3"/>
    </row>
    <row r="449">
      <c r="G449" s="3"/>
      <c r="H449" s="3"/>
    </row>
    <row r="450">
      <c r="G450" s="3"/>
      <c r="H450" s="3"/>
    </row>
    <row r="451">
      <c r="G451" s="3"/>
      <c r="H451" s="3"/>
    </row>
    <row r="452">
      <c r="G452" s="3"/>
      <c r="H452" s="3"/>
    </row>
    <row r="453">
      <c r="G453" s="3"/>
      <c r="H453" s="3"/>
    </row>
    <row r="454">
      <c r="G454" s="3"/>
      <c r="H454" s="3"/>
    </row>
    <row r="455">
      <c r="G455" s="3"/>
      <c r="H455" s="3"/>
    </row>
    <row r="456">
      <c r="G456" s="3"/>
      <c r="H456" s="3"/>
    </row>
    <row r="457">
      <c r="G457" s="3"/>
      <c r="H457" s="3"/>
    </row>
    <row r="458">
      <c r="G458" s="3"/>
      <c r="H458" s="3"/>
    </row>
    <row r="459">
      <c r="G459" s="3"/>
      <c r="H459" s="3"/>
    </row>
    <row r="460">
      <c r="G460" s="3"/>
      <c r="H460" s="3"/>
    </row>
    <row r="461">
      <c r="G461" s="3"/>
      <c r="H461" s="3"/>
    </row>
    <row r="462">
      <c r="G462" s="3"/>
      <c r="H462" s="3"/>
    </row>
    <row r="463">
      <c r="G463" s="3"/>
      <c r="H463" s="3"/>
    </row>
    <row r="464">
      <c r="G464" s="3"/>
      <c r="H464" s="3"/>
    </row>
    <row r="465">
      <c r="G465" s="3"/>
      <c r="H465" s="3"/>
    </row>
    <row r="466">
      <c r="G466" s="3"/>
      <c r="H466" s="3"/>
    </row>
    <row r="467">
      <c r="G467" s="3"/>
      <c r="H467" s="3"/>
    </row>
    <row r="468">
      <c r="G468" s="3"/>
      <c r="H468" s="3"/>
    </row>
    <row r="469">
      <c r="G469" s="3"/>
      <c r="H469" s="3"/>
    </row>
    <row r="470">
      <c r="G470" s="3"/>
      <c r="H470" s="3"/>
    </row>
    <row r="471">
      <c r="G471" s="3"/>
      <c r="H471" s="3"/>
    </row>
    <row r="472">
      <c r="G472" s="3"/>
      <c r="H472" s="3"/>
    </row>
    <row r="473">
      <c r="G473" s="3"/>
      <c r="H473" s="3"/>
    </row>
    <row r="474">
      <c r="G474" s="3"/>
      <c r="H474" s="3"/>
    </row>
    <row r="475">
      <c r="G475" s="3"/>
      <c r="H475" s="3"/>
    </row>
    <row r="476">
      <c r="G476" s="3"/>
      <c r="H476" s="3"/>
    </row>
    <row r="477">
      <c r="G477" s="3"/>
      <c r="H477" s="3"/>
    </row>
    <row r="478">
      <c r="G478" s="3"/>
      <c r="H478" s="3"/>
    </row>
    <row r="479">
      <c r="G479" s="3"/>
      <c r="H479" s="3"/>
    </row>
    <row r="480">
      <c r="G480" s="3"/>
      <c r="H480" s="3"/>
    </row>
    <row r="481">
      <c r="G481" s="3"/>
      <c r="H481" s="3"/>
    </row>
    <row r="482">
      <c r="G482" s="3"/>
      <c r="H482" s="3"/>
    </row>
    <row r="483">
      <c r="G483" s="3"/>
      <c r="H483" s="3"/>
    </row>
    <row r="484">
      <c r="G484" s="3"/>
      <c r="H484" s="3"/>
    </row>
    <row r="485">
      <c r="G485" s="3"/>
      <c r="H485" s="3"/>
    </row>
    <row r="486">
      <c r="G486" s="3"/>
      <c r="H486" s="3"/>
    </row>
    <row r="487">
      <c r="G487" s="3"/>
      <c r="H487" s="3"/>
    </row>
    <row r="488">
      <c r="G488" s="3"/>
      <c r="H488" s="3"/>
    </row>
    <row r="489">
      <c r="G489" s="3"/>
      <c r="H489" s="3"/>
    </row>
    <row r="490">
      <c r="G490" s="3"/>
      <c r="H490" s="3"/>
    </row>
    <row r="491">
      <c r="G491" s="3"/>
      <c r="H491" s="3"/>
    </row>
    <row r="492">
      <c r="G492" s="3"/>
      <c r="H492" s="3"/>
    </row>
    <row r="493">
      <c r="G493" s="3"/>
      <c r="H493" s="3"/>
    </row>
    <row r="494">
      <c r="G494" s="3"/>
      <c r="H494" s="3"/>
    </row>
    <row r="495">
      <c r="G495" s="3"/>
      <c r="H495" s="3"/>
    </row>
    <row r="496">
      <c r="G496" s="3"/>
      <c r="H496" s="3"/>
    </row>
    <row r="497">
      <c r="G497" s="3"/>
      <c r="H497" s="3"/>
    </row>
    <row r="498">
      <c r="G498" s="3"/>
      <c r="H498" s="3"/>
    </row>
    <row r="499">
      <c r="G499" s="3"/>
      <c r="H499" s="3"/>
    </row>
    <row r="500">
      <c r="G500" s="3"/>
      <c r="H500" s="3"/>
    </row>
    <row r="501">
      <c r="G501" s="3"/>
      <c r="H501" s="3"/>
    </row>
    <row r="502">
      <c r="G502" s="3"/>
      <c r="H502" s="3"/>
    </row>
    <row r="503">
      <c r="G503" s="3"/>
      <c r="H503" s="3"/>
    </row>
    <row r="504">
      <c r="G504" s="3"/>
      <c r="H504" s="3"/>
    </row>
    <row r="505">
      <c r="G505" s="3"/>
      <c r="H505" s="3"/>
    </row>
    <row r="506">
      <c r="G506" s="3"/>
      <c r="H506" s="3"/>
    </row>
    <row r="507">
      <c r="G507" s="3"/>
      <c r="H507" s="3"/>
    </row>
    <row r="508">
      <c r="G508" s="3"/>
      <c r="H508" s="3"/>
    </row>
    <row r="509">
      <c r="G509" s="3"/>
      <c r="H509" s="3"/>
    </row>
    <row r="510">
      <c r="G510" s="3"/>
      <c r="H510" s="3"/>
    </row>
    <row r="511">
      <c r="G511" s="3"/>
      <c r="H511" s="3"/>
    </row>
    <row r="512">
      <c r="G512" s="3"/>
      <c r="H512" s="3"/>
    </row>
    <row r="513">
      <c r="G513" s="3"/>
      <c r="H513" s="3"/>
    </row>
    <row r="514">
      <c r="G514" s="3"/>
      <c r="H514" s="3"/>
    </row>
    <row r="515">
      <c r="G515" s="3"/>
      <c r="H515" s="3"/>
    </row>
    <row r="516">
      <c r="G516" s="3"/>
      <c r="H516" s="3"/>
    </row>
    <row r="517">
      <c r="G517" s="3"/>
      <c r="H517" s="3"/>
    </row>
    <row r="518">
      <c r="G518" s="3"/>
      <c r="H518" s="3"/>
    </row>
    <row r="519">
      <c r="G519" s="3"/>
      <c r="H519" s="3"/>
    </row>
    <row r="520">
      <c r="G520" s="3"/>
      <c r="H520" s="3"/>
    </row>
    <row r="521">
      <c r="G521" s="3"/>
      <c r="H521" s="3"/>
    </row>
    <row r="522">
      <c r="G522" s="3"/>
      <c r="H522" s="3"/>
    </row>
    <row r="523">
      <c r="G523" s="3"/>
      <c r="H523" s="3"/>
    </row>
    <row r="524">
      <c r="G524" s="3"/>
      <c r="H524" s="3"/>
    </row>
    <row r="525">
      <c r="G525" s="3"/>
      <c r="H525" s="3"/>
    </row>
    <row r="526">
      <c r="G526" s="3"/>
      <c r="H526" s="3"/>
    </row>
    <row r="527">
      <c r="G527" s="3"/>
      <c r="H527" s="3"/>
    </row>
    <row r="528">
      <c r="G528" s="3"/>
      <c r="H528" s="3"/>
    </row>
    <row r="529">
      <c r="G529" s="3"/>
      <c r="H529" s="3"/>
    </row>
    <row r="530">
      <c r="G530" s="3"/>
      <c r="H530" s="3"/>
    </row>
    <row r="531">
      <c r="G531" s="3"/>
      <c r="H531" s="3"/>
    </row>
    <row r="532">
      <c r="G532" s="3"/>
      <c r="H532" s="3"/>
    </row>
    <row r="533">
      <c r="G533" s="3"/>
      <c r="H533" s="3"/>
    </row>
    <row r="534">
      <c r="G534" s="3"/>
      <c r="H534" s="3"/>
    </row>
    <row r="535">
      <c r="G535" s="3"/>
      <c r="H535" s="3"/>
    </row>
    <row r="536">
      <c r="G536" s="3"/>
      <c r="H536" s="3"/>
    </row>
    <row r="537">
      <c r="G537" s="3"/>
      <c r="H537" s="3"/>
    </row>
    <row r="538">
      <c r="G538" s="3"/>
      <c r="H538" s="3"/>
    </row>
    <row r="539">
      <c r="G539" s="3"/>
      <c r="H539" s="3"/>
    </row>
    <row r="540">
      <c r="G540" s="3"/>
      <c r="H540" s="3"/>
    </row>
    <row r="541">
      <c r="G541" s="3"/>
      <c r="H541" s="3"/>
    </row>
    <row r="542">
      <c r="G542" s="3"/>
      <c r="H542" s="3"/>
    </row>
    <row r="543">
      <c r="G543" s="3"/>
      <c r="H543" s="3"/>
    </row>
    <row r="544">
      <c r="G544" s="3"/>
      <c r="H544" s="3"/>
    </row>
    <row r="545">
      <c r="G545" s="3"/>
      <c r="H545" s="3"/>
    </row>
    <row r="546">
      <c r="G546" s="3"/>
      <c r="H546" s="3"/>
    </row>
    <row r="547">
      <c r="G547" s="3"/>
      <c r="H547" s="3"/>
    </row>
    <row r="548">
      <c r="G548" s="3"/>
      <c r="H548" s="3"/>
    </row>
    <row r="549">
      <c r="G549" s="3"/>
      <c r="H549" s="3"/>
    </row>
    <row r="550">
      <c r="G550" s="3"/>
      <c r="H550" s="3"/>
    </row>
    <row r="551">
      <c r="G551" s="3"/>
      <c r="H551" s="3"/>
    </row>
    <row r="552">
      <c r="G552" s="3"/>
      <c r="H552" s="3"/>
    </row>
    <row r="553">
      <c r="G553" s="3"/>
      <c r="H553" s="3"/>
    </row>
    <row r="554">
      <c r="G554" s="3"/>
      <c r="H554" s="3"/>
    </row>
    <row r="555">
      <c r="G555" s="3"/>
      <c r="H555" s="3"/>
    </row>
    <row r="556">
      <c r="G556" s="3"/>
      <c r="H556" s="3"/>
    </row>
    <row r="557">
      <c r="G557" s="3"/>
      <c r="H557" s="3"/>
    </row>
    <row r="558">
      <c r="G558" s="3"/>
      <c r="H558" s="3"/>
    </row>
    <row r="559">
      <c r="G559" s="3"/>
      <c r="H559" s="3"/>
    </row>
    <row r="560">
      <c r="G560" s="3"/>
      <c r="H560" s="3"/>
    </row>
    <row r="561">
      <c r="G561" s="3"/>
      <c r="H561" s="3"/>
    </row>
    <row r="562">
      <c r="G562" s="3"/>
      <c r="H562" s="3"/>
    </row>
    <row r="563">
      <c r="G563" s="3"/>
      <c r="H563" s="3"/>
    </row>
    <row r="564">
      <c r="G564" s="3"/>
      <c r="H564" s="3"/>
    </row>
    <row r="565">
      <c r="G565" s="3"/>
      <c r="H565" s="3"/>
    </row>
    <row r="566">
      <c r="G566" s="3"/>
      <c r="H566" s="3"/>
    </row>
    <row r="567">
      <c r="G567" s="3"/>
      <c r="H567" s="3"/>
    </row>
    <row r="568">
      <c r="G568" s="3"/>
      <c r="H568" s="3"/>
    </row>
    <row r="569">
      <c r="G569" s="3"/>
      <c r="H569" s="3"/>
    </row>
    <row r="570">
      <c r="G570" s="3"/>
      <c r="H570" s="3"/>
    </row>
    <row r="571">
      <c r="G571" s="3"/>
      <c r="H571" s="3"/>
    </row>
    <row r="572">
      <c r="G572" s="3"/>
      <c r="H572" s="3"/>
    </row>
    <row r="573">
      <c r="G573" s="3"/>
      <c r="H573" s="3"/>
    </row>
    <row r="574">
      <c r="G574" s="3"/>
      <c r="H574" s="3"/>
    </row>
    <row r="575">
      <c r="G575" s="3"/>
      <c r="H575" s="3"/>
    </row>
    <row r="576">
      <c r="G576" s="3"/>
      <c r="H576" s="3"/>
    </row>
    <row r="577">
      <c r="G577" s="3"/>
      <c r="H577" s="3"/>
    </row>
    <row r="578">
      <c r="G578" s="3"/>
      <c r="H578" s="3"/>
    </row>
    <row r="579">
      <c r="G579" s="3"/>
      <c r="H579" s="3"/>
    </row>
    <row r="580">
      <c r="G580" s="3"/>
      <c r="H580" s="3"/>
    </row>
    <row r="581">
      <c r="G581" s="3"/>
      <c r="H581" s="3"/>
    </row>
    <row r="582">
      <c r="G582" s="3"/>
      <c r="H582" s="3"/>
    </row>
    <row r="583">
      <c r="G583" s="3"/>
      <c r="H583" s="3"/>
    </row>
    <row r="584">
      <c r="G584" s="3"/>
      <c r="H584" s="3"/>
    </row>
    <row r="585">
      <c r="G585" s="3"/>
      <c r="H585" s="3"/>
    </row>
    <row r="586">
      <c r="G586" s="3"/>
      <c r="H586" s="3"/>
    </row>
    <row r="587">
      <c r="G587" s="3"/>
      <c r="H587" s="3"/>
    </row>
    <row r="588">
      <c r="G588" s="3"/>
      <c r="H588" s="3"/>
    </row>
    <row r="589">
      <c r="G589" s="3"/>
      <c r="H589" s="3"/>
    </row>
    <row r="590">
      <c r="G590" s="3"/>
      <c r="H590" s="3"/>
    </row>
    <row r="591">
      <c r="G591" s="3"/>
      <c r="H591" s="3"/>
    </row>
    <row r="592">
      <c r="G592" s="3"/>
      <c r="H592" s="3"/>
    </row>
    <row r="593">
      <c r="G593" s="3"/>
      <c r="H593" s="3"/>
    </row>
    <row r="594">
      <c r="G594" s="3"/>
      <c r="H594" s="3"/>
    </row>
    <row r="595">
      <c r="G595" s="3"/>
      <c r="H595" s="3"/>
    </row>
    <row r="596">
      <c r="G596" s="3"/>
      <c r="H596" s="3"/>
    </row>
    <row r="597">
      <c r="G597" s="3"/>
      <c r="H597" s="3"/>
    </row>
    <row r="598">
      <c r="G598" s="3"/>
      <c r="H598" s="3"/>
    </row>
    <row r="599">
      <c r="G599" s="3"/>
      <c r="H599" s="3"/>
    </row>
    <row r="600">
      <c r="G600" s="3"/>
      <c r="H600" s="3"/>
    </row>
    <row r="601">
      <c r="G601" s="3"/>
      <c r="H601" s="3"/>
    </row>
    <row r="602">
      <c r="G602" s="3"/>
      <c r="H602" s="3"/>
    </row>
    <row r="603">
      <c r="G603" s="3"/>
      <c r="H603" s="3"/>
    </row>
    <row r="604">
      <c r="G604" s="3"/>
      <c r="H604" s="3"/>
    </row>
    <row r="605">
      <c r="G605" s="3"/>
      <c r="H605" s="3"/>
    </row>
    <row r="606">
      <c r="G606" s="3"/>
      <c r="H606" s="3"/>
    </row>
    <row r="607">
      <c r="G607" s="3"/>
      <c r="H607" s="3"/>
    </row>
    <row r="608">
      <c r="G608" s="3"/>
      <c r="H608" s="3"/>
    </row>
    <row r="609">
      <c r="G609" s="3"/>
      <c r="H609" s="3"/>
    </row>
    <row r="610">
      <c r="G610" s="3"/>
      <c r="H610" s="3"/>
    </row>
    <row r="611">
      <c r="G611" s="3"/>
      <c r="H611" s="3"/>
    </row>
    <row r="612">
      <c r="G612" s="3"/>
      <c r="H612" s="3"/>
    </row>
    <row r="613">
      <c r="G613" s="3"/>
      <c r="H613" s="3"/>
    </row>
    <row r="614">
      <c r="G614" s="3"/>
      <c r="H614" s="3"/>
    </row>
    <row r="615">
      <c r="G615" s="3"/>
      <c r="H615" s="3"/>
    </row>
    <row r="616">
      <c r="G616" s="3"/>
      <c r="H616" s="3"/>
    </row>
    <row r="617">
      <c r="G617" s="3"/>
      <c r="H617" s="3"/>
    </row>
    <row r="618">
      <c r="G618" s="3"/>
      <c r="H618" s="3"/>
    </row>
    <row r="619">
      <c r="G619" s="3"/>
      <c r="H619" s="3"/>
    </row>
    <row r="620">
      <c r="G620" s="3"/>
      <c r="H620" s="3"/>
    </row>
    <row r="621">
      <c r="G621" s="3"/>
      <c r="H621" s="3"/>
    </row>
    <row r="622">
      <c r="G622" s="3"/>
      <c r="H622" s="3"/>
    </row>
    <row r="623">
      <c r="G623" s="3"/>
      <c r="H623" s="3"/>
    </row>
    <row r="624">
      <c r="G624" s="3"/>
      <c r="H624" s="3"/>
    </row>
    <row r="625">
      <c r="G625" s="3"/>
      <c r="H625" s="3"/>
    </row>
    <row r="626">
      <c r="G626" s="3"/>
      <c r="H626" s="3"/>
    </row>
    <row r="627">
      <c r="G627" s="3"/>
      <c r="H627" s="3"/>
    </row>
    <row r="628">
      <c r="G628" s="3"/>
      <c r="H628" s="3"/>
    </row>
    <row r="629">
      <c r="G629" s="3"/>
      <c r="H629" s="3"/>
    </row>
    <row r="630">
      <c r="G630" s="3"/>
      <c r="H630" s="3"/>
    </row>
    <row r="631">
      <c r="G631" s="3"/>
      <c r="H631" s="3"/>
    </row>
    <row r="632">
      <c r="G632" s="3"/>
      <c r="H632" s="3"/>
    </row>
    <row r="633">
      <c r="G633" s="3"/>
      <c r="H633" s="3"/>
    </row>
    <row r="634">
      <c r="G634" s="3"/>
      <c r="H634" s="3"/>
    </row>
    <row r="635">
      <c r="G635" s="3"/>
      <c r="H635" s="3"/>
    </row>
    <row r="636">
      <c r="G636" s="3"/>
      <c r="H636" s="3"/>
    </row>
    <row r="637">
      <c r="G637" s="3"/>
      <c r="H637" s="3"/>
    </row>
    <row r="638">
      <c r="G638" s="3"/>
      <c r="H638" s="3"/>
    </row>
    <row r="639">
      <c r="G639" s="3"/>
      <c r="H639" s="3"/>
    </row>
    <row r="640">
      <c r="G640" s="3"/>
      <c r="H640" s="3"/>
    </row>
    <row r="641">
      <c r="G641" s="3"/>
      <c r="H641" s="3"/>
    </row>
    <row r="642">
      <c r="G642" s="3"/>
      <c r="H642" s="3"/>
    </row>
    <row r="643">
      <c r="G643" s="3"/>
      <c r="H643" s="3"/>
    </row>
    <row r="644">
      <c r="G644" s="3"/>
      <c r="H644" s="3"/>
    </row>
    <row r="645">
      <c r="G645" s="3"/>
      <c r="H645" s="3"/>
    </row>
    <row r="646">
      <c r="G646" s="3"/>
      <c r="H646" s="3"/>
    </row>
    <row r="647">
      <c r="G647" s="3"/>
      <c r="H647" s="3"/>
    </row>
    <row r="648">
      <c r="G648" s="3"/>
      <c r="H648" s="3"/>
    </row>
    <row r="649">
      <c r="G649" s="3"/>
      <c r="H649" s="3"/>
    </row>
    <row r="650">
      <c r="G650" s="3"/>
      <c r="H650" s="3"/>
    </row>
    <row r="651">
      <c r="G651" s="3"/>
      <c r="H651" s="3"/>
    </row>
    <row r="652">
      <c r="G652" s="3"/>
      <c r="H652" s="3"/>
    </row>
    <row r="653">
      <c r="G653" s="3"/>
      <c r="H653" s="3"/>
    </row>
    <row r="654">
      <c r="G654" s="3"/>
      <c r="H654" s="3"/>
    </row>
    <row r="655">
      <c r="G655" s="3"/>
      <c r="H655" s="3"/>
    </row>
    <row r="656">
      <c r="G656" s="3"/>
      <c r="H656" s="3"/>
    </row>
    <row r="657">
      <c r="G657" s="3"/>
      <c r="H657" s="3"/>
    </row>
    <row r="658">
      <c r="G658" s="3"/>
      <c r="H658" s="3"/>
    </row>
    <row r="659">
      <c r="G659" s="3"/>
      <c r="H659" s="3"/>
    </row>
    <row r="660">
      <c r="G660" s="3"/>
      <c r="H660" s="3"/>
    </row>
    <row r="661">
      <c r="G661" s="3"/>
      <c r="H661" s="3"/>
    </row>
    <row r="662">
      <c r="G662" s="3"/>
      <c r="H662" s="3"/>
    </row>
    <row r="663">
      <c r="G663" s="3"/>
      <c r="H663" s="3"/>
    </row>
    <row r="664">
      <c r="G664" s="3"/>
      <c r="H664" s="3"/>
    </row>
    <row r="665">
      <c r="G665" s="3"/>
      <c r="H665" s="3"/>
    </row>
    <row r="666">
      <c r="G666" s="3"/>
      <c r="H666" s="3"/>
    </row>
    <row r="667">
      <c r="G667" s="3"/>
      <c r="H667" s="3"/>
    </row>
    <row r="668">
      <c r="G668" s="3"/>
      <c r="H668" s="3"/>
    </row>
    <row r="669">
      <c r="G669" s="3"/>
      <c r="H669" s="3"/>
    </row>
    <row r="670">
      <c r="G670" s="3"/>
      <c r="H670" s="3"/>
    </row>
    <row r="671">
      <c r="G671" s="3"/>
      <c r="H671" s="3"/>
    </row>
    <row r="672">
      <c r="G672" s="3"/>
      <c r="H672" s="3"/>
    </row>
    <row r="673">
      <c r="G673" s="3"/>
      <c r="H673" s="3"/>
    </row>
    <row r="674">
      <c r="G674" s="3"/>
      <c r="H674" s="3"/>
    </row>
    <row r="675">
      <c r="G675" s="3"/>
      <c r="H675" s="3"/>
    </row>
    <row r="676">
      <c r="G676" s="3"/>
      <c r="H676" s="3"/>
    </row>
    <row r="677">
      <c r="G677" s="3"/>
      <c r="H677" s="3"/>
    </row>
    <row r="678">
      <c r="G678" s="3"/>
      <c r="H678" s="3"/>
    </row>
    <row r="679">
      <c r="G679" s="3"/>
      <c r="H679" s="3"/>
    </row>
    <row r="680">
      <c r="G680" s="3"/>
      <c r="H680" s="3"/>
    </row>
    <row r="681">
      <c r="G681" s="3"/>
      <c r="H681" s="3"/>
    </row>
    <row r="682">
      <c r="G682" s="3"/>
      <c r="H682" s="3"/>
    </row>
    <row r="683">
      <c r="G683" s="3"/>
      <c r="H683" s="3"/>
    </row>
    <row r="684">
      <c r="G684" s="3"/>
      <c r="H684" s="3"/>
    </row>
    <row r="685">
      <c r="G685" s="3"/>
      <c r="H685" s="3"/>
    </row>
    <row r="686">
      <c r="G686" s="3"/>
      <c r="H686" s="3"/>
    </row>
    <row r="687">
      <c r="G687" s="3"/>
      <c r="H687" s="3"/>
    </row>
    <row r="688">
      <c r="G688" s="3"/>
      <c r="H688" s="3"/>
    </row>
    <row r="689">
      <c r="G689" s="3"/>
      <c r="H689" s="3"/>
    </row>
    <row r="690">
      <c r="G690" s="3"/>
      <c r="H690" s="3"/>
    </row>
    <row r="691">
      <c r="G691" s="3"/>
      <c r="H691" s="3"/>
    </row>
    <row r="692">
      <c r="G692" s="3"/>
      <c r="H692" s="3"/>
    </row>
    <row r="693">
      <c r="G693" s="3"/>
      <c r="H693" s="3"/>
    </row>
    <row r="694">
      <c r="G694" s="3"/>
      <c r="H694" s="3"/>
    </row>
    <row r="695">
      <c r="G695" s="3"/>
      <c r="H695" s="3"/>
    </row>
    <row r="696">
      <c r="G696" s="3"/>
      <c r="H696" s="3"/>
    </row>
    <row r="697">
      <c r="G697" s="3"/>
      <c r="H697" s="3"/>
    </row>
    <row r="698">
      <c r="G698" s="3"/>
      <c r="H698" s="3"/>
    </row>
    <row r="699">
      <c r="G699" s="3"/>
      <c r="H699" s="3"/>
    </row>
    <row r="700">
      <c r="G700" s="3"/>
      <c r="H700" s="3"/>
    </row>
    <row r="701">
      <c r="G701" s="3"/>
      <c r="H701" s="3"/>
    </row>
    <row r="702">
      <c r="G702" s="3"/>
      <c r="H702" s="3"/>
    </row>
    <row r="703">
      <c r="G703" s="3"/>
      <c r="H703" s="3"/>
    </row>
    <row r="704">
      <c r="G704" s="3"/>
      <c r="H704" s="3"/>
    </row>
    <row r="705">
      <c r="G705" s="3"/>
      <c r="H705" s="3"/>
    </row>
    <row r="706">
      <c r="G706" s="3"/>
      <c r="H706" s="3"/>
    </row>
    <row r="707">
      <c r="G707" s="3"/>
      <c r="H707" s="3"/>
    </row>
    <row r="708">
      <c r="G708" s="3"/>
      <c r="H708" s="3"/>
    </row>
    <row r="709">
      <c r="G709" s="3"/>
      <c r="H709" s="3"/>
    </row>
    <row r="710">
      <c r="G710" s="3"/>
      <c r="H710" s="3"/>
    </row>
    <row r="711">
      <c r="G711" s="3"/>
      <c r="H711" s="3"/>
    </row>
    <row r="712">
      <c r="G712" s="3"/>
      <c r="H712" s="3"/>
    </row>
    <row r="713">
      <c r="G713" s="3"/>
      <c r="H713" s="3"/>
    </row>
    <row r="714">
      <c r="G714" s="3"/>
      <c r="H714" s="3"/>
    </row>
    <row r="715">
      <c r="G715" s="3"/>
      <c r="H715" s="3"/>
    </row>
    <row r="716">
      <c r="G716" s="3"/>
      <c r="H716" s="3"/>
    </row>
    <row r="717">
      <c r="G717" s="3"/>
      <c r="H717" s="3"/>
    </row>
    <row r="718">
      <c r="G718" s="3"/>
      <c r="H718" s="3"/>
    </row>
    <row r="719">
      <c r="G719" s="3"/>
      <c r="H719" s="3"/>
    </row>
    <row r="720">
      <c r="G720" s="3"/>
      <c r="H720" s="3"/>
    </row>
    <row r="721">
      <c r="G721" s="3"/>
      <c r="H721" s="3"/>
    </row>
    <row r="722">
      <c r="G722" s="3"/>
      <c r="H722" s="3"/>
    </row>
    <row r="723">
      <c r="G723" s="3"/>
      <c r="H723" s="3"/>
    </row>
    <row r="724">
      <c r="G724" s="3"/>
      <c r="H724" s="3"/>
    </row>
    <row r="725">
      <c r="G725" s="3"/>
      <c r="H725" s="3"/>
    </row>
    <row r="726">
      <c r="G726" s="3"/>
      <c r="H726" s="3"/>
    </row>
    <row r="727">
      <c r="G727" s="3"/>
      <c r="H727" s="3"/>
    </row>
    <row r="728">
      <c r="G728" s="3"/>
      <c r="H728" s="3"/>
    </row>
    <row r="729">
      <c r="G729" s="3"/>
      <c r="H729" s="3"/>
    </row>
    <row r="730">
      <c r="G730" s="3"/>
      <c r="H730" s="3"/>
    </row>
    <row r="731">
      <c r="G731" s="3"/>
      <c r="H731" s="3"/>
    </row>
    <row r="732">
      <c r="G732" s="3"/>
      <c r="H732" s="3"/>
    </row>
    <row r="733">
      <c r="G733" s="3"/>
      <c r="H733" s="3"/>
    </row>
    <row r="734">
      <c r="G734" s="3"/>
      <c r="H734" s="3"/>
    </row>
    <row r="735">
      <c r="G735" s="3"/>
      <c r="H735" s="3"/>
    </row>
    <row r="736">
      <c r="G736" s="3"/>
      <c r="H736" s="3"/>
    </row>
    <row r="737">
      <c r="G737" s="3"/>
      <c r="H737" s="3"/>
    </row>
    <row r="738">
      <c r="G738" s="3"/>
      <c r="H738" s="3"/>
    </row>
    <row r="739">
      <c r="G739" s="3"/>
      <c r="H739" s="3"/>
    </row>
    <row r="740">
      <c r="G740" s="3"/>
      <c r="H740" s="3"/>
    </row>
    <row r="741">
      <c r="G741" s="3"/>
      <c r="H741" s="3"/>
    </row>
    <row r="742">
      <c r="G742" s="3"/>
      <c r="H742" s="3"/>
    </row>
    <row r="743">
      <c r="G743" s="3"/>
      <c r="H743" s="3"/>
    </row>
    <row r="744">
      <c r="G744" s="3"/>
      <c r="H744" s="3"/>
    </row>
    <row r="745">
      <c r="G745" s="3"/>
      <c r="H745" s="3"/>
    </row>
    <row r="746">
      <c r="G746" s="3"/>
      <c r="H746" s="3"/>
    </row>
    <row r="747">
      <c r="G747" s="3"/>
      <c r="H747" s="3"/>
    </row>
    <row r="748">
      <c r="G748" s="3"/>
      <c r="H748" s="3"/>
    </row>
    <row r="749">
      <c r="G749" s="3"/>
      <c r="H749" s="3"/>
    </row>
    <row r="750">
      <c r="G750" s="3"/>
      <c r="H750" s="3"/>
    </row>
    <row r="751">
      <c r="G751" s="3"/>
      <c r="H751" s="3"/>
    </row>
    <row r="752">
      <c r="G752" s="3"/>
      <c r="H752" s="3"/>
    </row>
    <row r="753">
      <c r="G753" s="3"/>
      <c r="H753" s="3"/>
    </row>
    <row r="754">
      <c r="G754" s="3"/>
      <c r="H754" s="3"/>
    </row>
    <row r="755">
      <c r="G755" s="3"/>
      <c r="H755" s="3"/>
    </row>
    <row r="756">
      <c r="G756" s="3"/>
      <c r="H756" s="3"/>
    </row>
    <row r="757">
      <c r="G757" s="3"/>
      <c r="H757" s="3"/>
    </row>
    <row r="758">
      <c r="G758" s="3"/>
      <c r="H758" s="3"/>
    </row>
    <row r="759">
      <c r="G759" s="3"/>
      <c r="H759" s="3"/>
    </row>
    <row r="760">
      <c r="G760" s="3"/>
      <c r="H760" s="3"/>
    </row>
    <row r="761">
      <c r="G761" s="3"/>
      <c r="H761" s="3"/>
    </row>
    <row r="762">
      <c r="G762" s="3"/>
      <c r="H762" s="3"/>
    </row>
    <row r="763">
      <c r="G763" s="3"/>
      <c r="H763" s="3"/>
    </row>
    <row r="764">
      <c r="G764" s="3"/>
      <c r="H764" s="3"/>
    </row>
    <row r="765">
      <c r="G765" s="3"/>
      <c r="H765" s="3"/>
    </row>
    <row r="766">
      <c r="G766" s="3"/>
      <c r="H766" s="3"/>
    </row>
    <row r="767">
      <c r="G767" s="3"/>
      <c r="H767" s="3"/>
    </row>
    <row r="768">
      <c r="G768" s="3"/>
      <c r="H768" s="3"/>
    </row>
    <row r="769">
      <c r="G769" s="3"/>
      <c r="H769" s="3"/>
    </row>
    <row r="770">
      <c r="G770" s="3"/>
      <c r="H770" s="3"/>
    </row>
    <row r="771">
      <c r="G771" s="3"/>
      <c r="H771" s="3"/>
    </row>
    <row r="772">
      <c r="G772" s="3"/>
      <c r="H772" s="3"/>
    </row>
    <row r="773">
      <c r="G773" s="3"/>
      <c r="H773" s="3"/>
    </row>
    <row r="774">
      <c r="G774" s="3"/>
      <c r="H774" s="3"/>
    </row>
    <row r="775">
      <c r="G775" s="3"/>
      <c r="H775" s="3"/>
    </row>
    <row r="776">
      <c r="G776" s="3"/>
      <c r="H776" s="3"/>
    </row>
    <row r="777">
      <c r="G777" s="3"/>
      <c r="H777" s="3"/>
    </row>
    <row r="778">
      <c r="G778" s="3"/>
      <c r="H778" s="3"/>
    </row>
    <row r="779">
      <c r="G779" s="3"/>
      <c r="H779" s="3"/>
    </row>
    <row r="780">
      <c r="G780" s="3"/>
      <c r="H780" s="3"/>
    </row>
    <row r="781">
      <c r="G781" s="3"/>
      <c r="H781" s="3"/>
    </row>
    <row r="782">
      <c r="G782" s="3"/>
      <c r="H782" s="3"/>
    </row>
    <row r="783">
      <c r="G783" s="3"/>
      <c r="H783" s="3"/>
    </row>
    <row r="784">
      <c r="G784" s="3"/>
      <c r="H784" s="3"/>
    </row>
    <row r="785">
      <c r="G785" s="3"/>
      <c r="H785" s="3"/>
    </row>
    <row r="786">
      <c r="G786" s="3"/>
      <c r="H786" s="3"/>
    </row>
    <row r="787">
      <c r="G787" s="3"/>
      <c r="H787" s="3"/>
    </row>
    <row r="788">
      <c r="G788" s="3"/>
      <c r="H788" s="3"/>
    </row>
    <row r="789">
      <c r="G789" s="3"/>
      <c r="H789" s="3"/>
    </row>
    <row r="790">
      <c r="G790" s="3"/>
      <c r="H790" s="3"/>
    </row>
    <row r="791">
      <c r="G791" s="3"/>
      <c r="H791" s="3"/>
    </row>
    <row r="792">
      <c r="G792" s="3"/>
      <c r="H792" s="3"/>
    </row>
    <row r="793">
      <c r="G793" s="3"/>
      <c r="H793" s="3"/>
    </row>
    <row r="794">
      <c r="G794" s="3"/>
      <c r="H794" s="3"/>
    </row>
    <row r="795">
      <c r="G795" s="3"/>
      <c r="H795" s="3"/>
    </row>
    <row r="796">
      <c r="G796" s="3"/>
      <c r="H796" s="3"/>
    </row>
    <row r="797">
      <c r="G797" s="3"/>
      <c r="H797" s="3"/>
    </row>
    <row r="798">
      <c r="G798" s="3"/>
      <c r="H798" s="3"/>
    </row>
    <row r="799">
      <c r="G799" s="3"/>
      <c r="H799" s="3"/>
    </row>
    <row r="800">
      <c r="G800" s="3"/>
      <c r="H800" s="3"/>
    </row>
    <row r="801">
      <c r="G801" s="3"/>
      <c r="H801" s="3"/>
    </row>
    <row r="802">
      <c r="G802" s="3"/>
      <c r="H802" s="3"/>
    </row>
    <row r="803">
      <c r="G803" s="3"/>
      <c r="H803" s="3"/>
    </row>
    <row r="804">
      <c r="G804" s="3"/>
      <c r="H804" s="3"/>
    </row>
    <row r="805">
      <c r="G805" s="3"/>
      <c r="H805" s="3"/>
    </row>
    <row r="806">
      <c r="G806" s="3"/>
      <c r="H806" s="3"/>
    </row>
    <row r="807">
      <c r="G807" s="3"/>
      <c r="H807" s="3"/>
    </row>
    <row r="808">
      <c r="G808" s="3"/>
      <c r="H808" s="3"/>
    </row>
    <row r="809">
      <c r="G809" s="3"/>
      <c r="H809" s="3"/>
    </row>
    <row r="810">
      <c r="G810" s="3"/>
      <c r="H810" s="3"/>
    </row>
    <row r="811">
      <c r="G811" s="3"/>
      <c r="H811" s="3"/>
    </row>
    <row r="812">
      <c r="G812" s="3"/>
      <c r="H812" s="3"/>
    </row>
    <row r="813">
      <c r="G813" s="3"/>
      <c r="H813" s="3"/>
    </row>
    <row r="814">
      <c r="G814" s="3"/>
      <c r="H814" s="3"/>
    </row>
    <row r="815">
      <c r="G815" s="3"/>
      <c r="H815" s="3"/>
    </row>
    <row r="816">
      <c r="G816" s="3"/>
      <c r="H816" s="3"/>
    </row>
    <row r="817">
      <c r="G817" s="3"/>
      <c r="H817" s="3"/>
    </row>
    <row r="818">
      <c r="G818" s="3"/>
      <c r="H818" s="3"/>
    </row>
    <row r="819">
      <c r="G819" s="3"/>
      <c r="H819" s="3"/>
    </row>
    <row r="820">
      <c r="G820" s="3"/>
      <c r="H820" s="3"/>
    </row>
    <row r="821">
      <c r="G821" s="3"/>
      <c r="H821" s="3"/>
    </row>
    <row r="822">
      <c r="G822" s="3"/>
      <c r="H822" s="3"/>
    </row>
    <row r="823">
      <c r="G823" s="3"/>
      <c r="H823" s="3"/>
    </row>
    <row r="824">
      <c r="G824" s="3"/>
      <c r="H824" s="3"/>
    </row>
    <row r="825">
      <c r="G825" s="3"/>
      <c r="H825" s="3"/>
    </row>
    <row r="826">
      <c r="G826" s="3"/>
      <c r="H826" s="3"/>
    </row>
    <row r="827">
      <c r="G827" s="3"/>
      <c r="H827" s="3"/>
    </row>
    <row r="828">
      <c r="G828" s="3"/>
      <c r="H828" s="3"/>
    </row>
    <row r="829">
      <c r="G829" s="3"/>
      <c r="H829" s="3"/>
    </row>
    <row r="830">
      <c r="G830" s="3"/>
      <c r="H830" s="3"/>
    </row>
    <row r="831">
      <c r="G831" s="3"/>
      <c r="H831" s="3"/>
    </row>
    <row r="832">
      <c r="G832" s="3"/>
      <c r="H832" s="3"/>
    </row>
    <row r="833">
      <c r="G833" s="3"/>
      <c r="H833" s="3"/>
    </row>
    <row r="834">
      <c r="G834" s="3"/>
      <c r="H834" s="3"/>
    </row>
    <row r="835">
      <c r="G835" s="3"/>
      <c r="H835" s="3"/>
    </row>
    <row r="836">
      <c r="G836" s="3"/>
      <c r="H836" s="3"/>
    </row>
    <row r="837">
      <c r="G837" s="3"/>
      <c r="H837" s="3"/>
    </row>
    <row r="838">
      <c r="G838" s="3"/>
      <c r="H838" s="3"/>
    </row>
    <row r="839">
      <c r="G839" s="3"/>
      <c r="H839" s="3"/>
    </row>
    <row r="840">
      <c r="G840" s="3"/>
      <c r="H840" s="3"/>
    </row>
    <row r="841">
      <c r="G841" s="3"/>
      <c r="H841" s="3"/>
    </row>
    <row r="842">
      <c r="G842" s="3"/>
      <c r="H842" s="3"/>
    </row>
    <row r="843">
      <c r="G843" s="3"/>
      <c r="H843" s="3"/>
    </row>
    <row r="844">
      <c r="G844" s="3"/>
      <c r="H844" s="3"/>
    </row>
    <row r="845">
      <c r="G845" s="3"/>
      <c r="H845" s="3"/>
    </row>
    <row r="846">
      <c r="G846" s="3"/>
      <c r="H846" s="3"/>
    </row>
    <row r="847">
      <c r="G847" s="3"/>
      <c r="H847" s="3"/>
    </row>
    <row r="848">
      <c r="G848" s="3"/>
      <c r="H848" s="3"/>
    </row>
    <row r="849">
      <c r="G849" s="3"/>
      <c r="H849" s="3"/>
    </row>
    <row r="850">
      <c r="G850" s="3"/>
      <c r="H850" s="3"/>
    </row>
    <row r="851">
      <c r="G851" s="3"/>
      <c r="H851" s="3"/>
    </row>
    <row r="852">
      <c r="G852" s="3"/>
      <c r="H852" s="3"/>
    </row>
    <row r="853">
      <c r="G853" s="3"/>
      <c r="H853" s="3"/>
    </row>
    <row r="854">
      <c r="G854" s="3"/>
      <c r="H854" s="3"/>
    </row>
    <row r="855">
      <c r="G855" s="3"/>
      <c r="H855" s="3"/>
    </row>
    <row r="856">
      <c r="G856" s="3"/>
      <c r="H856" s="3"/>
    </row>
    <row r="857">
      <c r="G857" s="3"/>
      <c r="H857" s="3"/>
    </row>
    <row r="858">
      <c r="G858" s="3"/>
      <c r="H858" s="3"/>
    </row>
    <row r="859">
      <c r="G859" s="3"/>
      <c r="H859" s="3"/>
    </row>
    <row r="860">
      <c r="G860" s="3"/>
      <c r="H860" s="3"/>
    </row>
    <row r="861">
      <c r="G861" s="3"/>
      <c r="H861" s="3"/>
    </row>
    <row r="862">
      <c r="G862" s="3"/>
      <c r="H862" s="3"/>
    </row>
    <row r="863">
      <c r="G863" s="3"/>
      <c r="H863" s="3"/>
    </row>
    <row r="864">
      <c r="G864" s="3"/>
      <c r="H864" s="3"/>
    </row>
    <row r="865">
      <c r="G865" s="3"/>
      <c r="H865" s="3"/>
    </row>
    <row r="866">
      <c r="G866" s="3"/>
      <c r="H866" s="3"/>
    </row>
    <row r="867">
      <c r="G867" s="3"/>
      <c r="H867" s="3"/>
    </row>
    <row r="868">
      <c r="G868" s="3"/>
      <c r="H868" s="3"/>
    </row>
    <row r="869">
      <c r="G869" s="3"/>
      <c r="H869" s="3"/>
    </row>
    <row r="870">
      <c r="G870" s="3"/>
      <c r="H870" s="3"/>
    </row>
    <row r="871">
      <c r="G871" s="3"/>
      <c r="H871" s="3"/>
    </row>
    <row r="872">
      <c r="G872" s="3"/>
      <c r="H872" s="3"/>
    </row>
    <row r="873">
      <c r="G873" s="3"/>
      <c r="H873" s="3"/>
    </row>
    <row r="874">
      <c r="G874" s="3"/>
      <c r="H874" s="3"/>
    </row>
    <row r="875">
      <c r="G875" s="3"/>
      <c r="H875" s="3"/>
    </row>
    <row r="876">
      <c r="G876" s="3"/>
      <c r="H876" s="3"/>
    </row>
    <row r="877">
      <c r="G877" s="3"/>
      <c r="H877" s="3"/>
    </row>
    <row r="878">
      <c r="G878" s="3"/>
      <c r="H878" s="3"/>
    </row>
    <row r="879">
      <c r="G879" s="3"/>
      <c r="H879" s="3"/>
    </row>
    <row r="880">
      <c r="G880" s="3"/>
      <c r="H880" s="3"/>
    </row>
    <row r="881">
      <c r="G881" s="3"/>
      <c r="H881" s="3"/>
    </row>
    <row r="882">
      <c r="G882" s="3"/>
      <c r="H882" s="3"/>
    </row>
    <row r="883">
      <c r="G883" s="3"/>
      <c r="H883" s="3"/>
    </row>
    <row r="884">
      <c r="G884" s="3"/>
      <c r="H884" s="3"/>
    </row>
    <row r="885">
      <c r="G885" s="3"/>
      <c r="H885" s="3"/>
    </row>
    <row r="886">
      <c r="G886" s="3"/>
      <c r="H886" s="3"/>
    </row>
    <row r="887">
      <c r="G887" s="3"/>
      <c r="H887" s="3"/>
    </row>
    <row r="888">
      <c r="G888" s="3"/>
      <c r="H888" s="3"/>
    </row>
    <row r="889">
      <c r="G889" s="3"/>
      <c r="H889" s="3"/>
    </row>
    <row r="890">
      <c r="G890" s="3"/>
      <c r="H890" s="3"/>
    </row>
    <row r="891">
      <c r="G891" s="3"/>
      <c r="H891" s="3"/>
    </row>
    <row r="892">
      <c r="G892" s="3"/>
      <c r="H892" s="3"/>
    </row>
    <row r="893">
      <c r="G893" s="3"/>
      <c r="H893" s="3"/>
    </row>
    <row r="894">
      <c r="G894" s="3"/>
      <c r="H894" s="3"/>
    </row>
    <row r="895">
      <c r="G895" s="3"/>
      <c r="H895" s="3"/>
    </row>
    <row r="896">
      <c r="G896" s="3"/>
      <c r="H896" s="3"/>
    </row>
    <row r="897">
      <c r="G897" s="3"/>
      <c r="H897" s="3"/>
    </row>
    <row r="898">
      <c r="G898" s="3"/>
      <c r="H898" s="3"/>
    </row>
    <row r="899">
      <c r="G899" s="3"/>
      <c r="H899" s="3"/>
    </row>
    <row r="900">
      <c r="G900" s="3"/>
      <c r="H900" s="3"/>
    </row>
    <row r="901">
      <c r="G901" s="3"/>
      <c r="H901" s="3"/>
    </row>
    <row r="902">
      <c r="G902" s="3"/>
      <c r="H902" s="3"/>
    </row>
    <row r="903">
      <c r="G903" s="3"/>
      <c r="H903" s="3"/>
    </row>
    <row r="904">
      <c r="G904" s="3"/>
      <c r="H904" s="3"/>
    </row>
    <row r="905">
      <c r="G905" s="3"/>
      <c r="H905" s="3"/>
    </row>
    <row r="906">
      <c r="G906" s="3"/>
      <c r="H906" s="3"/>
    </row>
    <row r="907">
      <c r="G907" s="3"/>
      <c r="H907" s="3"/>
    </row>
    <row r="908">
      <c r="G908" s="3"/>
      <c r="H908" s="3"/>
    </row>
    <row r="909">
      <c r="G909" s="3"/>
      <c r="H909" s="3"/>
    </row>
    <row r="910">
      <c r="G910" s="3"/>
      <c r="H910" s="3"/>
    </row>
    <row r="911">
      <c r="G911" s="3"/>
      <c r="H911" s="3"/>
    </row>
    <row r="912">
      <c r="G912" s="3"/>
      <c r="H912" s="3"/>
    </row>
    <row r="913">
      <c r="G913" s="3"/>
      <c r="H913" s="3"/>
    </row>
    <row r="914">
      <c r="G914" s="3"/>
      <c r="H914" s="3"/>
    </row>
    <row r="915">
      <c r="G915" s="3"/>
      <c r="H915" s="3"/>
    </row>
    <row r="916">
      <c r="G916" s="3"/>
      <c r="H916" s="3"/>
    </row>
    <row r="917">
      <c r="G917" s="3"/>
      <c r="H917" s="3"/>
    </row>
    <row r="918">
      <c r="G918" s="3"/>
      <c r="H918" s="3"/>
    </row>
    <row r="919">
      <c r="G919" s="3"/>
      <c r="H919" s="3"/>
    </row>
    <row r="920">
      <c r="G920" s="3"/>
      <c r="H920" s="3"/>
    </row>
    <row r="921">
      <c r="G921" s="3"/>
      <c r="H921" s="3"/>
    </row>
    <row r="922">
      <c r="G922" s="3"/>
      <c r="H922" s="3"/>
    </row>
    <row r="923">
      <c r="G923" s="3"/>
      <c r="H923" s="3"/>
    </row>
    <row r="924">
      <c r="G924" s="3"/>
      <c r="H924" s="3"/>
    </row>
    <row r="925">
      <c r="G925" s="3"/>
      <c r="H925" s="3"/>
    </row>
    <row r="926">
      <c r="G926" s="3"/>
      <c r="H926" s="3"/>
    </row>
    <row r="927">
      <c r="G927" s="3"/>
      <c r="H927" s="3"/>
    </row>
    <row r="928">
      <c r="G928" s="3"/>
      <c r="H928" s="3"/>
    </row>
    <row r="929">
      <c r="G929" s="3"/>
      <c r="H929" s="3"/>
    </row>
    <row r="930">
      <c r="G930" s="3"/>
      <c r="H930" s="3"/>
    </row>
    <row r="931">
      <c r="G931" s="3"/>
      <c r="H931" s="3"/>
    </row>
    <row r="932">
      <c r="G932" s="3"/>
      <c r="H932" s="3"/>
    </row>
    <row r="933">
      <c r="G933" s="3"/>
      <c r="H933" s="3"/>
    </row>
    <row r="934">
      <c r="G934" s="3"/>
      <c r="H934" s="3"/>
    </row>
    <row r="935">
      <c r="G935" s="3"/>
      <c r="H935" s="3"/>
    </row>
    <row r="936">
      <c r="G936" s="3"/>
      <c r="H936" s="3"/>
    </row>
    <row r="937">
      <c r="G937" s="3"/>
      <c r="H937" s="3"/>
    </row>
    <row r="938">
      <c r="G938" s="3"/>
      <c r="H938" s="3"/>
    </row>
    <row r="939">
      <c r="G939" s="3"/>
      <c r="H939" s="3"/>
    </row>
    <row r="940">
      <c r="G940" s="3"/>
      <c r="H940" s="3"/>
    </row>
    <row r="941">
      <c r="G941" s="3"/>
      <c r="H941" s="3"/>
    </row>
    <row r="942">
      <c r="G942" s="3"/>
      <c r="H942" s="3"/>
    </row>
    <row r="943">
      <c r="G943" s="3"/>
      <c r="H943" s="3"/>
    </row>
    <row r="944">
      <c r="G944" s="3"/>
      <c r="H944" s="3"/>
    </row>
    <row r="945">
      <c r="G945" s="3"/>
      <c r="H945" s="3"/>
    </row>
    <row r="946">
      <c r="G946" s="3"/>
      <c r="H946" s="3"/>
    </row>
    <row r="947">
      <c r="G947" s="3"/>
      <c r="H947" s="3"/>
    </row>
    <row r="948">
      <c r="G948" s="3"/>
      <c r="H948" s="3"/>
    </row>
    <row r="949">
      <c r="G949" s="3"/>
      <c r="H949" s="3"/>
    </row>
    <row r="950">
      <c r="G950" s="3"/>
      <c r="H950" s="3"/>
    </row>
    <row r="951">
      <c r="G951" s="3"/>
      <c r="H951" s="3"/>
    </row>
    <row r="952">
      <c r="G952" s="3"/>
      <c r="H952" s="3"/>
    </row>
    <row r="953">
      <c r="G953" s="3"/>
      <c r="H953" s="3"/>
    </row>
    <row r="954">
      <c r="G954" s="3"/>
      <c r="H954" s="3"/>
    </row>
    <row r="955">
      <c r="G955" s="3"/>
      <c r="H955" s="3"/>
    </row>
    <row r="956">
      <c r="G956" s="3"/>
      <c r="H956" s="3"/>
    </row>
    <row r="957">
      <c r="G957" s="3"/>
      <c r="H957" s="3"/>
    </row>
    <row r="958">
      <c r="G958" s="3"/>
      <c r="H958" s="3"/>
    </row>
    <row r="959">
      <c r="G959" s="3"/>
      <c r="H959" s="3"/>
    </row>
    <row r="960">
      <c r="G960" s="3"/>
      <c r="H960" s="3"/>
    </row>
    <row r="961">
      <c r="G961" s="3"/>
      <c r="H961" s="3"/>
    </row>
    <row r="962">
      <c r="G962" s="3"/>
      <c r="H962" s="3"/>
    </row>
    <row r="963">
      <c r="G963" s="3"/>
      <c r="H963" s="3"/>
    </row>
    <row r="964">
      <c r="G964" s="3"/>
      <c r="H964" s="3"/>
    </row>
    <row r="965">
      <c r="G965" s="3"/>
      <c r="H965" s="3"/>
    </row>
    <row r="966">
      <c r="G966" s="3"/>
      <c r="H966" s="3"/>
    </row>
    <row r="967">
      <c r="G967" s="3"/>
      <c r="H967" s="3"/>
    </row>
    <row r="968">
      <c r="G968" s="3"/>
      <c r="H968" s="3"/>
    </row>
    <row r="969">
      <c r="G969" s="3"/>
      <c r="H969" s="3"/>
    </row>
    <row r="970">
      <c r="G970" s="3"/>
      <c r="H970" s="3"/>
    </row>
    <row r="971">
      <c r="G971" s="3"/>
      <c r="H971" s="3"/>
    </row>
    <row r="972">
      <c r="G972" s="3"/>
      <c r="H972" s="3"/>
    </row>
    <row r="973">
      <c r="G973" s="3"/>
      <c r="H973" s="3"/>
    </row>
    <row r="974">
      <c r="G974" s="3"/>
      <c r="H974" s="3"/>
    </row>
    <row r="975">
      <c r="G975" s="3"/>
      <c r="H975" s="3"/>
    </row>
    <row r="976">
      <c r="G976" s="3"/>
      <c r="H976" s="3"/>
    </row>
    <row r="977">
      <c r="G977" s="3"/>
      <c r="H977" s="3"/>
    </row>
    <row r="978">
      <c r="G978" s="3"/>
      <c r="H978" s="3"/>
    </row>
    <row r="979">
      <c r="G979" s="3"/>
      <c r="H979" s="3"/>
    </row>
    <row r="980">
      <c r="G980" s="3"/>
      <c r="H980" s="3"/>
    </row>
    <row r="981">
      <c r="G981" s="3"/>
      <c r="H981" s="3"/>
    </row>
    <row r="982">
      <c r="G982" s="3"/>
      <c r="H982" s="3"/>
    </row>
    <row r="983">
      <c r="G983" s="3"/>
      <c r="H983" s="3"/>
    </row>
    <row r="984">
      <c r="G984" s="3"/>
      <c r="H984" s="3"/>
    </row>
    <row r="985">
      <c r="G985" s="3"/>
      <c r="H985" s="3"/>
    </row>
    <row r="986">
      <c r="G986" s="3"/>
      <c r="H986" s="3"/>
    </row>
    <row r="987">
      <c r="G987" s="3"/>
      <c r="H987" s="3"/>
    </row>
    <row r="988">
      <c r="G988" s="3"/>
      <c r="H988" s="3"/>
    </row>
    <row r="989">
      <c r="G989" s="3"/>
      <c r="H989" s="3"/>
    </row>
    <row r="990">
      <c r="G990" s="3"/>
      <c r="H990" s="3"/>
    </row>
    <row r="991">
      <c r="G991" s="3"/>
      <c r="H991" s="3"/>
    </row>
    <row r="992">
      <c r="G992" s="3"/>
      <c r="H992" s="3"/>
    </row>
    <row r="993">
      <c r="G993" s="3"/>
      <c r="H993" s="3"/>
    </row>
    <row r="994">
      <c r="G994" s="3"/>
      <c r="H994" s="3"/>
    </row>
    <row r="995">
      <c r="G995" s="3"/>
      <c r="H995" s="3"/>
    </row>
    <row r="996">
      <c r="G996" s="3"/>
      <c r="H996" s="3"/>
    </row>
    <row r="997">
      <c r="G997" s="3"/>
      <c r="H997" s="3"/>
    </row>
    <row r="998">
      <c r="G998" s="3"/>
      <c r="H998" s="3"/>
    </row>
    <row r="999">
      <c r="G999" s="3"/>
      <c r="H999" s="3"/>
    </row>
    <row r="1000">
      <c r="G1000" s="3"/>
      <c r="H1000" s="3"/>
    </row>
  </sheetData>
  <dataValidations>
    <dataValidation type="list" allowBlank="1" sqref="G2:G1000">
      <formula1>Settings!$C$2:$C1000</formula1>
    </dataValidation>
    <dataValidation type="list" allowBlank="1" sqref="H2:H1000">
      <formula1>Settings!$E$2:$E1000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5"/>
    <col customWidth="1" min="2" max="2" width="22.25"/>
    <col customWidth="1" min="3" max="3" width="16.75"/>
    <col customWidth="1" min="4" max="4" width="17.88"/>
    <col customWidth="1" min="5" max="5" width="28.13"/>
  </cols>
  <sheetData>
    <row r="1">
      <c r="A1" s="1" t="s">
        <v>179</v>
      </c>
      <c r="B1" s="1" t="s">
        <v>180</v>
      </c>
      <c r="C1" s="37"/>
      <c r="D1" s="1" t="s">
        <v>12</v>
      </c>
      <c r="E1" s="1" t="s">
        <v>181</v>
      </c>
    </row>
    <row r="2">
      <c r="A2" s="3" t="str">
        <f t="array" ref="A2">INDEX(Settings!B2:B11, ROW()-1)</f>
        <v>Payroll</v>
      </c>
      <c r="B2" s="2">
        <f>SUMIF(Expenses!$D:$D, A2, Expenses!$E:$E)</f>
        <v>5600</v>
      </c>
      <c r="D2" s="3" t="str">
        <f t="array" ref="D2">IF(ISBLANK(INDEX(Clients!B2:B21, ROW()-1)), "", INDEX(Clients!B2:B21, ROW()-1))</f>
        <v>Inventa Systems</v>
      </c>
      <c r="E2" s="2">
        <f>IF(ISBLANK(D2), "", SUMIF(Income!$C:$C, D2, Income!$F:$F))</f>
        <v>45000</v>
      </c>
    </row>
    <row r="3">
      <c r="A3" s="3" t="str">
        <f t="array" ref="A3">INDEX(Settings!B3:B12, ROW()-1)</f>
        <v>Marketing</v>
      </c>
      <c r="B3" s="2">
        <f>SUMIF(Expenses!$D:$D, A3, Expenses!$E:$E)</f>
        <v>13272</v>
      </c>
      <c r="D3" s="3" t="str">
        <f t="array" ref="D3">IF(ISBLANK(INDEX(Clients!B3:B22, ROW()-1)), "", INDEX(Clients!B3:B22, ROW()-1))</f>
        <v>TechSentinals</v>
      </c>
      <c r="E3" s="2">
        <f>IF(ISBLANK(D3), "", SUMIF(Income!$C:$C, D3, Income!$F:$F))</f>
        <v>47500</v>
      </c>
    </row>
    <row r="4">
      <c r="A4" s="3" t="str">
        <f t="array" ref="A4">INDEX(Settings!B4:B13, ROW()-1)</f>
        <v>Travel</v>
      </c>
      <c r="B4" s="2">
        <f>SUMIF(Expenses!$D:$D, A4, Expenses!$E:$E)</f>
        <v>5000</v>
      </c>
      <c r="D4" s="3" t="str">
        <f t="array" ref="D4">IF(ISBLANK(INDEX(Clients!B4:B23, ROW()-1)), "", INDEX(Clients!B4:B23, ROW()-1))</f>
        <v>Strikar lifescience llp</v>
      </c>
      <c r="E4" s="2">
        <f>IF(ISBLANK(D4), "", SUMIF(Income!$C:$C, D4, Income!$F:$F))</f>
        <v>39000</v>
      </c>
    </row>
    <row r="5">
      <c r="A5" s="3" t="str">
        <f t="array" ref="A5">INDEX(Settings!B5:B14, ROW()-1)</f>
        <v>Hardware</v>
      </c>
      <c r="B5" s="2">
        <f>SUMIF(Expenses!$D:$D, A5, Expenses!$E:$E)</f>
        <v>13000</v>
      </c>
      <c r="D5" s="3" t="str">
        <f t="array" ref="D5">IF(ISBLANK(INDEX(Clients!B5:B24, ROW()-1)), "", INDEX(Clients!B5:B24, ROW()-1))</f>
        <v/>
      </c>
      <c r="E5" s="2">
        <f>IF(ISBLANK(D5), "", SUMIF(Income!$C:$C, D5, Income!$F:$F))</f>
        <v>0</v>
      </c>
    </row>
    <row r="6">
      <c r="A6" s="3" t="str">
        <f t="array" ref="A6">INDEX(Settings!B6:B15, ROW()-1)</f>
        <v>Other</v>
      </c>
      <c r="B6" s="2">
        <f>SUMIF(Expenses!$D:$D, A6, Expenses!$E:$E)</f>
        <v>32416.02</v>
      </c>
      <c r="D6" s="3" t="str">
        <f t="array" ref="D6">IF(ISBLANK(INDEX(Clients!B6:B25, ROW()-1)), "", INDEX(Clients!B6:B25, ROW()-1))</f>
        <v/>
      </c>
      <c r="E6" s="2">
        <f>IF(ISBLANK(D6), "", SUMIF(Income!$C:$C, D6, Income!$F:$F))</f>
        <v>0</v>
      </c>
    </row>
    <row r="7">
      <c r="A7" s="3" t="str">
        <f t="array" ref="A7">INDEX(Settings!B7:B16, ROW()-1)</f>
        <v/>
      </c>
      <c r="B7" s="2">
        <f>SUMIF(Expenses!$D:$D, A7, Expenses!$E:$E)</f>
        <v>0</v>
      </c>
      <c r="D7" s="3" t="str">
        <f t="array" ref="D7">IF(ISBLANK(INDEX(Clients!B7:B26, ROW()-1)), "", INDEX(Clients!B7:B26, ROW()-1))</f>
        <v/>
      </c>
      <c r="E7" s="2">
        <f>IF(ISBLANK(D7), "", SUMIF(Income!$C:$C, D7, Income!$F:$F))</f>
        <v>0</v>
      </c>
    </row>
    <row r="8">
      <c r="A8" s="3" t="str">
        <f t="array" ref="A8">INDEX(Settings!B8:B17, ROW()-1)</f>
        <v/>
      </c>
      <c r="B8" s="2">
        <f>SUMIF(Expenses!$D:$D, A8, Expenses!$E:$E)</f>
        <v>0</v>
      </c>
      <c r="D8" s="3" t="str">
        <f t="array" ref="D8">IF(ISBLANK(INDEX(Clients!B8:B27, ROW()-1)), "", INDEX(Clients!B8:B27, ROW()-1))</f>
        <v/>
      </c>
      <c r="E8" s="2">
        <f>IF(ISBLANK(D8), "", SUMIF(Income!$C:$C, D8, Income!$F:$F))</f>
        <v>0</v>
      </c>
    </row>
    <row r="9">
      <c r="A9" s="3" t="str">
        <f t="array" ref="A9">INDEX(Settings!B9:B18, ROW()-1)</f>
        <v/>
      </c>
      <c r="B9" s="2">
        <f>SUMIF(Expenses!$D:$D, A9, Expenses!$E:$E)</f>
        <v>0</v>
      </c>
      <c r="D9" s="3" t="str">
        <f t="array" ref="D9">IF(ISBLANK(INDEX(Clients!B9:B28, ROW()-1)), "", INDEX(Clients!B9:B28, ROW()-1))</f>
        <v/>
      </c>
      <c r="E9" s="2">
        <f>IF(ISBLANK(D9), "", SUMIF(Income!$C:$C, D9, Income!$F:$F))</f>
        <v>0</v>
      </c>
    </row>
    <row r="10">
      <c r="A10" s="3" t="str">
        <f t="array" ref="A10">INDEX(Settings!B10:B19, ROW()-1)</f>
        <v/>
      </c>
      <c r="B10" s="2">
        <f>SUMIF(Expenses!$D:$D, A10, Expenses!$E:$E)</f>
        <v>0</v>
      </c>
      <c r="D10" s="3" t="str">
        <f t="array" ref="D10">IF(ISBLANK(INDEX(Clients!B10:B29, ROW()-1)), "", INDEX(Clients!B10:B29, ROW()-1))</f>
        <v/>
      </c>
      <c r="E10" s="2">
        <f>IF(ISBLANK(D10), "", SUMIF(Income!$C:$C, D10, Income!$F:$F))</f>
        <v>0</v>
      </c>
    </row>
    <row r="11">
      <c r="A11" s="3" t="str">
        <f t="array" ref="A11">INDEX(Settings!B11:B20, ROW()-1)</f>
        <v/>
      </c>
      <c r="B11" s="2">
        <f>SUMIF(Expenses!$D:$D, A11, Expenses!$E:$E)</f>
        <v>0</v>
      </c>
      <c r="D11" s="3" t="str">
        <f t="array" ref="D11">IF(ISBLANK(INDEX(Clients!B11:B30, ROW()-1)), "", INDEX(Clients!B11:B30, ROW()-1))</f>
        <v/>
      </c>
      <c r="E11" s="2">
        <f>IF(ISBLANK(D11), "", SUMIF(Income!$C:$C, D11, Income!$F:$F))</f>
        <v>0</v>
      </c>
    </row>
    <row r="12">
      <c r="B12" s="2"/>
      <c r="D12" s="3" t="str">
        <f t="array" ref="D12">IF(ISBLANK(INDEX(Clients!B12:B31, ROW()-1)), "", INDEX(Clients!B12:B31, ROW()-1))</f>
        <v/>
      </c>
      <c r="E12" s="2">
        <f>IF(ISBLANK(D12), "", SUMIF(Income!$C:$C, D12, Income!$F:$F))</f>
        <v>0</v>
      </c>
    </row>
    <row r="13">
      <c r="B13" s="2"/>
      <c r="D13" s="3" t="str">
        <f t="array" ref="D13">IF(ISBLANK(INDEX(Clients!B13:B32, ROW()-1)), "", INDEX(Clients!B13:B32, ROW()-1))</f>
        <v/>
      </c>
      <c r="E13" s="2">
        <f>IF(ISBLANK(D13), "", SUMIF(Income!$C:$C, D13, Income!$F:$F))</f>
        <v>0</v>
      </c>
    </row>
    <row r="14">
      <c r="B14" s="2"/>
      <c r="D14" s="3" t="str">
        <f t="array" ref="D14">IF(ISBLANK(INDEX(Clients!B14:B33, ROW()-1)), "", INDEX(Clients!B14:B33, ROW()-1))</f>
        <v/>
      </c>
      <c r="E14" s="2">
        <f>IF(ISBLANK(D14), "", SUMIF(Income!$C:$C, D14, Income!$F:$F))</f>
        <v>0</v>
      </c>
    </row>
    <row r="15">
      <c r="B15" s="2"/>
      <c r="D15" s="3" t="str">
        <f t="array" ref="D15">IF(ISBLANK(INDEX(Clients!B15:B34, ROW()-1)), "", INDEX(Clients!B15:B34, ROW()-1))</f>
        <v/>
      </c>
      <c r="E15" s="2">
        <f>IF(ISBLANK(D15), "", SUMIF(Income!$C:$C, D15, Income!$F:$F))</f>
        <v>0</v>
      </c>
    </row>
    <row r="16">
      <c r="B16" s="2"/>
      <c r="D16" s="3" t="str">
        <f t="array" ref="D16">IF(ISBLANK(INDEX(Clients!B16:B35, ROW()-1)), "", INDEX(Clients!B16:B35, ROW()-1))</f>
        <v/>
      </c>
      <c r="E16" s="2">
        <f>IF(ISBLANK(D16), "", SUMIF(Income!$C:$C, D16, Income!$F:$F))</f>
        <v>0</v>
      </c>
    </row>
    <row r="17">
      <c r="B17" s="2"/>
      <c r="D17" s="3" t="str">
        <f t="array" ref="D17">IF(ISBLANK(INDEX(Clients!B17:B36, ROW()-1)), "", INDEX(Clients!B17:B36, ROW()-1))</f>
        <v/>
      </c>
      <c r="E17" s="2">
        <f>IF(ISBLANK(D17), "", SUMIF(Income!$C:$C, D17, Income!$F:$F))</f>
        <v>0</v>
      </c>
    </row>
    <row r="18">
      <c r="B18" s="2"/>
      <c r="D18" s="3" t="str">
        <f t="array" ref="D18">IF(ISBLANK(INDEX(Clients!B18:B37, ROW()-1)), "", INDEX(Clients!B18:B37, ROW()-1))</f>
        <v/>
      </c>
      <c r="E18" s="2">
        <f>IF(ISBLANK(D18), "", SUMIF(Income!$C:$C, D18, Income!$F:$F))</f>
        <v>0</v>
      </c>
    </row>
    <row r="19">
      <c r="B19" s="2"/>
      <c r="D19" s="3" t="str">
        <f t="array" ref="D19">IF(ISBLANK(INDEX(Clients!B19:B38, ROW()-1)), "", INDEX(Clients!B19:B38, ROW()-1))</f>
        <v/>
      </c>
      <c r="E19" s="2">
        <f>IF(ISBLANK(D19), "", SUMIF(Income!$C:$C, D19, Income!$F:$F))</f>
        <v>0</v>
      </c>
    </row>
    <row r="20">
      <c r="B20" s="2"/>
      <c r="D20" s="3" t="str">
        <f t="array" ref="D20">IF(ISBLANK(INDEX(Clients!B20:B39, ROW()-1)), "", INDEX(Clients!B20:B39, ROW()-1))</f>
        <v/>
      </c>
      <c r="E20" s="2">
        <f>IF(ISBLANK(D20), "", SUMIF(Income!$C:$C, D20, Income!$F:$F))</f>
        <v>0</v>
      </c>
    </row>
    <row r="21">
      <c r="B21" s="2"/>
      <c r="D21" s="3" t="str">
        <f t="array" ref="D21">IF(ISBLANK(INDEX(Clients!B21:B40, ROW()-1)), "", INDEX(Clients!B21:B40, ROW()-1))</f>
        <v/>
      </c>
      <c r="E21" s="2">
        <f>IF(ISBLANK(D21), "", SUMIF(Income!$C:$C, D21, Income!$F:$F))</f>
        <v>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4.25"/>
    <col customWidth="1" min="2" max="2" width="29.63"/>
    <col customWidth="1" min="3" max="3" width="19.0"/>
    <col customWidth="1" min="4" max="4" width="25.0"/>
    <col customWidth="1" min="5" max="5" width="23.63"/>
    <col customWidth="1" min="6" max="6" width="19.63"/>
  </cols>
  <sheetData>
    <row r="1" ht="22.5" customHeight="1">
      <c r="A1" s="4" t="s">
        <v>182</v>
      </c>
      <c r="B1" s="4" t="s">
        <v>183</v>
      </c>
      <c r="C1" s="4" t="s">
        <v>184</v>
      </c>
      <c r="D1" s="4" t="s">
        <v>185</v>
      </c>
      <c r="E1" s="4" t="s">
        <v>186</v>
      </c>
      <c r="F1" s="4" t="s">
        <v>187</v>
      </c>
    </row>
    <row r="2" ht="22.5" customHeight="1">
      <c r="A2" s="38" t="s">
        <v>188</v>
      </c>
      <c r="B2" s="38" t="s">
        <v>111</v>
      </c>
      <c r="C2" s="38" t="s">
        <v>94</v>
      </c>
      <c r="D2" s="38" t="s">
        <v>26</v>
      </c>
      <c r="E2" s="38" t="s">
        <v>163</v>
      </c>
      <c r="F2" s="38" t="s">
        <v>189</v>
      </c>
    </row>
    <row r="3" ht="22.5" customHeight="1">
      <c r="A3" s="38" t="s">
        <v>46</v>
      </c>
      <c r="B3" s="38" t="s">
        <v>71</v>
      </c>
      <c r="C3" s="38" t="s">
        <v>24</v>
      </c>
      <c r="D3" s="38" t="s">
        <v>190</v>
      </c>
      <c r="E3" s="6" t="s">
        <v>143</v>
      </c>
      <c r="F3" s="38" t="s">
        <v>191</v>
      </c>
    </row>
    <row r="4" ht="22.5" customHeight="1">
      <c r="A4" s="38" t="s">
        <v>192</v>
      </c>
      <c r="B4" s="38" t="s">
        <v>21</v>
      </c>
      <c r="C4" s="38" t="s">
        <v>193</v>
      </c>
      <c r="D4" s="38" t="s">
        <v>23</v>
      </c>
      <c r="E4" s="6" t="s">
        <v>194</v>
      </c>
      <c r="F4" s="38" t="s">
        <v>173</v>
      </c>
    </row>
    <row r="5" ht="22.5" customHeight="1">
      <c r="A5" s="38" t="s">
        <v>97</v>
      </c>
      <c r="B5" s="38" t="s">
        <v>108</v>
      </c>
      <c r="C5" s="38" t="s">
        <v>195</v>
      </c>
      <c r="D5" s="38" t="s">
        <v>196</v>
      </c>
      <c r="E5" s="6" t="s">
        <v>197</v>
      </c>
      <c r="F5" s="38" t="s">
        <v>198</v>
      </c>
    </row>
    <row r="6" ht="22.5" customHeight="1">
      <c r="A6" s="38" t="s">
        <v>199</v>
      </c>
      <c r="B6" s="38" t="s">
        <v>98</v>
      </c>
      <c r="C6" s="38" t="s">
        <v>200</v>
      </c>
      <c r="D6" s="38" t="s">
        <v>201</v>
      </c>
      <c r="E6" s="38"/>
      <c r="F6" s="38" t="s">
        <v>202</v>
      </c>
    </row>
    <row r="7" ht="22.5" customHeight="1">
      <c r="A7" s="38" t="s">
        <v>25</v>
      </c>
      <c r="B7" s="38" t="s">
        <v>203</v>
      </c>
      <c r="C7" s="38" t="s">
        <v>204</v>
      </c>
      <c r="D7" s="38" t="s">
        <v>205</v>
      </c>
      <c r="E7" s="38" t="s">
        <v>206</v>
      </c>
      <c r="F7" s="38" t="s">
        <v>206</v>
      </c>
    </row>
    <row r="8" ht="22.5" customHeight="1">
      <c r="A8" s="38" t="s">
        <v>206</v>
      </c>
      <c r="B8" s="38" t="s">
        <v>76</v>
      </c>
      <c r="C8" s="38" t="s">
        <v>206</v>
      </c>
      <c r="D8" s="38" t="s">
        <v>207</v>
      </c>
      <c r="E8" s="38" t="s">
        <v>206</v>
      </c>
      <c r="F8" s="38" t="s">
        <v>206</v>
      </c>
    </row>
    <row r="9" ht="22.5" customHeight="1">
      <c r="A9" s="38" t="s">
        <v>206</v>
      </c>
      <c r="B9" s="38" t="s">
        <v>208</v>
      </c>
      <c r="C9" s="38" t="s">
        <v>206</v>
      </c>
      <c r="D9" s="38" t="s">
        <v>206</v>
      </c>
      <c r="E9" s="38" t="s">
        <v>206</v>
      </c>
      <c r="F9" s="38" t="s">
        <v>206</v>
      </c>
    </row>
    <row r="10" ht="22.5" customHeight="1">
      <c r="A10" s="38" t="s">
        <v>206</v>
      </c>
      <c r="B10" s="38" t="s">
        <v>25</v>
      </c>
      <c r="C10" s="38" t="s">
        <v>206</v>
      </c>
      <c r="D10" s="38" t="s">
        <v>206</v>
      </c>
      <c r="E10" s="38" t="s">
        <v>206</v>
      </c>
      <c r="F10" s="38" t="s">
        <v>206</v>
      </c>
    </row>
    <row r="11" ht="22.5" customHeight="1">
      <c r="B11" s="6" t="s">
        <v>97</v>
      </c>
    </row>
  </sheetData>
  <drawing r:id="rId1"/>
  <tableParts count="1">
    <tablePart r:id="rId3"/>
  </tableParts>
</worksheet>
</file>